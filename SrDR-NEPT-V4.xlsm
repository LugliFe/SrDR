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Questa_cartella_di_lavoro"/>
  <bookViews>
    <workbookView xWindow="2265" yWindow="7260" windowWidth="16380" windowHeight="8070" tabRatio="650"/>
  </bookViews>
  <sheets>
    <sheet name="Data" sheetId="1" r:id="rId1"/>
    <sheet name="Results" sheetId="2" r:id="rId2"/>
  </sheets>
  <calcPr calcId="145621"/>
</workbook>
</file>

<file path=xl/calcChain.xml><?xml version="1.0" encoding="utf-8"?>
<calcChain xmlns="http://schemas.openxmlformats.org/spreadsheetml/2006/main">
  <c r="EC3" i="1" l="1"/>
  <c r="EB3" i="1"/>
  <c r="EA3" i="1"/>
  <c r="ED3" i="1"/>
  <c r="ED2" i="1"/>
  <c r="EC2" i="1"/>
  <c r="EB2" i="1"/>
  <c r="EA2" i="1"/>
  <c r="J2" i="1"/>
  <c r="P348" i="1"/>
  <c r="Y348" i="1" s="1"/>
  <c r="AH348" i="1" s="1"/>
  <c r="J3" i="1"/>
  <c r="K3" i="1"/>
  <c r="J4" i="1"/>
  <c r="J5" i="1"/>
  <c r="K5" i="1"/>
  <c r="B11" i="1"/>
  <c r="B12" i="1"/>
  <c r="B13" i="1"/>
  <c r="S348" i="1"/>
  <c r="R342" i="1"/>
  <c r="T245" i="1"/>
  <c r="T297" i="1"/>
  <c r="AC297" i="1" s="1"/>
  <c r="AL297" i="1" s="1"/>
  <c r="U111" i="1"/>
  <c r="T224" i="1"/>
  <c r="AC224" i="1" s="1"/>
  <c r="AL224" i="1" s="1"/>
  <c r="T291" i="1"/>
  <c r="T252" i="1"/>
  <c r="AC252" i="1" s="1"/>
  <c r="AL252" i="1" s="1"/>
  <c r="U151" i="1"/>
  <c r="U120" i="1"/>
  <c r="U160" i="1"/>
  <c r="Q105" i="1"/>
  <c r="T102" i="1"/>
  <c r="AC102" i="1" s="1"/>
  <c r="AL102" i="1" s="1"/>
  <c r="O68" i="1"/>
  <c r="X68" i="1" s="1"/>
  <c r="AG68" i="1" s="1"/>
  <c r="Q82" i="1"/>
  <c r="R103" i="1"/>
  <c r="Q108" i="1"/>
  <c r="O155" i="1"/>
  <c r="X155" i="1" s="1"/>
  <c r="AG155" i="1" s="1"/>
  <c r="R169" i="1"/>
  <c r="S195" i="1"/>
  <c r="V208" i="1"/>
  <c r="T171" i="1"/>
  <c r="T184" i="1"/>
  <c r="O233" i="1"/>
  <c r="X233" i="1" s="1"/>
  <c r="AG233" i="1" s="1"/>
  <c r="V245" i="1"/>
  <c r="Q145" i="1"/>
  <c r="R184" i="1"/>
  <c r="R73" i="1"/>
  <c r="O100" i="1"/>
  <c r="X100" i="1" s="1"/>
  <c r="AG100" i="1" s="1"/>
  <c r="R119" i="1"/>
  <c r="T109" i="1"/>
  <c r="AC109" i="1" s="1"/>
  <c r="AL109" i="1" s="1"/>
  <c r="P131" i="1"/>
  <c r="Y131" i="1" s="1"/>
  <c r="AH131" i="1" s="1"/>
  <c r="V135" i="1"/>
  <c r="R146" i="1"/>
  <c r="T158" i="1"/>
  <c r="S191" i="1"/>
  <c r="V119" i="1"/>
  <c r="Q214" i="1"/>
  <c r="R136" i="1"/>
  <c r="U218" i="1"/>
  <c r="R226" i="1"/>
  <c r="U270" i="1"/>
  <c r="O285" i="1"/>
  <c r="X285" i="1" s="1"/>
  <c r="AG285" i="1" s="1"/>
  <c r="O195" i="1"/>
  <c r="X195" i="1" s="1"/>
  <c r="AG195" i="1" s="1"/>
  <c r="T213" i="1"/>
  <c r="AC213" i="1" s="1"/>
  <c r="AL213" i="1" s="1"/>
  <c r="Q74" i="1"/>
  <c r="R95" i="1"/>
  <c r="Q121" i="1"/>
  <c r="P140" i="1"/>
  <c r="Y140" i="1" s="1"/>
  <c r="AH140" i="1" s="1"/>
  <c r="P150" i="1"/>
  <c r="Y150" i="1" s="1"/>
  <c r="AH150" i="1" s="1"/>
  <c r="Q162" i="1"/>
  <c r="U75" i="1"/>
  <c r="P105" i="1"/>
  <c r="Y105" i="1" s="1"/>
  <c r="AH105" i="1" s="1"/>
  <c r="P113" i="1"/>
  <c r="Y113" i="1" s="1"/>
  <c r="AH113" i="1" s="1"/>
  <c r="U137" i="1"/>
  <c r="P135" i="1"/>
  <c r="Y135" i="1" s="1"/>
  <c r="AH135" i="1" s="1"/>
  <c r="O76" i="1"/>
  <c r="X76" i="1" s="1"/>
  <c r="AG76" i="1" s="1"/>
  <c r="R79" i="1"/>
  <c r="T108" i="1"/>
  <c r="O94" i="1"/>
  <c r="X94" i="1" s="1"/>
  <c r="AG94" i="1" s="1"/>
  <c r="R128" i="1"/>
  <c r="O73" i="1"/>
  <c r="X73" i="1" s="1"/>
  <c r="AG73" i="1" s="1"/>
  <c r="P154" i="1"/>
  <c r="Y154" i="1" s="1"/>
  <c r="O102" i="1"/>
  <c r="X102" i="1" s="1"/>
  <c r="AG102" i="1" s="1"/>
  <c r="O168" i="1"/>
  <c r="X168" i="1" s="1"/>
  <c r="AG168" i="1" s="1"/>
  <c r="R189" i="1"/>
  <c r="P161" i="1"/>
  <c r="Y161" i="1" s="1"/>
  <c r="Q179" i="1"/>
  <c r="T214" i="1"/>
  <c r="Q125" i="1"/>
  <c r="S204" i="1"/>
  <c r="Q211" i="1"/>
  <c r="R238" i="1"/>
  <c r="Q247" i="1"/>
  <c r="P268" i="1"/>
  <c r="Y268" i="1" s="1"/>
  <c r="O105" i="1"/>
  <c r="X105" i="1" s="1"/>
  <c r="AG105" i="1" s="1"/>
  <c r="Q151" i="1"/>
  <c r="P202" i="1"/>
  <c r="Y202" i="1" s="1"/>
  <c r="AH202" i="1" s="1"/>
  <c r="T221" i="1"/>
  <c r="V228" i="1"/>
  <c r="S239" i="1"/>
  <c r="T262" i="1"/>
  <c r="AC262" i="1" s="1"/>
  <c r="AL262" i="1" s="1"/>
  <c r="R273" i="1"/>
  <c r="T281" i="1"/>
  <c r="AC281" i="1" s="1"/>
  <c r="AL281" i="1" s="1"/>
  <c r="R247" i="1"/>
  <c r="R231" i="1"/>
  <c r="S214" i="1"/>
  <c r="Q271" i="1"/>
  <c r="Q235" i="1"/>
  <c r="T207" i="1"/>
  <c r="S223" i="1"/>
  <c r="V183" i="1"/>
  <c r="U166" i="1"/>
  <c r="R78" i="1"/>
  <c r="T149" i="1"/>
  <c r="U102" i="1"/>
  <c r="U128" i="1"/>
  <c r="P143" i="1"/>
  <c r="Y143" i="1" s="1"/>
  <c r="AH143" i="1" s="1"/>
  <c r="T115" i="1"/>
  <c r="AC115" i="1" s="1"/>
  <c r="AL115" i="1" s="1"/>
  <c r="O188" i="1"/>
  <c r="X188" i="1" s="1"/>
  <c r="AG188" i="1" s="1"/>
  <c r="V146" i="1"/>
  <c r="O125" i="1"/>
  <c r="X125" i="1" s="1"/>
  <c r="AG125" i="1" s="1"/>
  <c r="Q153" i="1"/>
  <c r="P80" i="1"/>
  <c r="Y80" i="1" s="1"/>
  <c r="AH80" i="1" s="1"/>
  <c r="V80" i="1"/>
  <c r="S198" i="1"/>
  <c r="V161" i="1"/>
  <c r="U130" i="1"/>
  <c r="O265" i="1"/>
  <c r="X265" i="1" s="1"/>
  <c r="AG265" i="1" s="1"/>
  <c r="P244" i="1"/>
  <c r="Y244" i="1" s="1"/>
  <c r="AH244" i="1" s="1"/>
  <c r="O225" i="1"/>
  <c r="X225" i="1" s="1"/>
  <c r="AG225" i="1" s="1"/>
  <c r="U194" i="1"/>
  <c r="U172" i="1"/>
  <c r="R142" i="1"/>
  <c r="O116" i="1"/>
  <c r="X116" i="1" s="1"/>
  <c r="AG116" i="1" s="1"/>
  <c r="Q206" i="1"/>
  <c r="Q198" i="1"/>
  <c r="V170" i="1"/>
  <c r="Q160" i="1"/>
  <c r="U147" i="1"/>
  <c r="T190" i="1"/>
  <c r="O184" i="1"/>
  <c r="Q154" i="1"/>
  <c r="U133" i="1"/>
  <c r="P119" i="1"/>
  <c r="Y119" i="1" s="1"/>
  <c r="AH119" i="1" s="1"/>
  <c r="R164" i="1"/>
  <c r="T157" i="1"/>
  <c r="R148" i="1"/>
  <c r="R109" i="1"/>
  <c r="U141" i="1"/>
  <c r="R120" i="1"/>
  <c r="T72" i="1"/>
  <c r="AC72" i="1" s="1"/>
  <c r="AL72" i="1" s="1"/>
  <c r="P109" i="1"/>
  <c r="Y109" i="1" s="1"/>
  <c r="AH109" i="1" s="1"/>
  <c r="Q123" i="1"/>
  <c r="R89" i="1"/>
  <c r="P74" i="1"/>
  <c r="Y74" i="1" s="1"/>
  <c r="AH74" i="1" s="1"/>
  <c r="O219" i="1"/>
  <c r="X219" i="1" s="1"/>
  <c r="AG219" i="1" s="1"/>
  <c r="P189" i="1"/>
  <c r="Y189" i="1" s="1"/>
  <c r="AH189" i="1" s="1"/>
  <c r="O169" i="1"/>
  <c r="X169" i="1" s="1"/>
  <c r="AG169" i="1" s="1"/>
  <c r="R290" i="1"/>
  <c r="U282" i="1"/>
  <c r="S276" i="1"/>
  <c r="P264" i="1"/>
  <c r="Y264" i="1" s="1"/>
  <c r="AH264" i="1" s="1"/>
  <c r="V257" i="1"/>
  <c r="O245" i="1"/>
  <c r="X245" i="1" s="1"/>
  <c r="AG245" i="1" s="1"/>
  <c r="U238" i="1"/>
  <c r="Q231" i="1"/>
  <c r="U214" i="1"/>
  <c r="R206" i="1"/>
  <c r="P200" i="1"/>
  <c r="Y200" i="1" s="1"/>
  <c r="AH200" i="1" s="1"/>
  <c r="V182" i="1"/>
  <c r="O174" i="1"/>
  <c r="X174" i="1" s="1"/>
  <c r="AG174" i="1" s="1"/>
  <c r="P148" i="1"/>
  <c r="Y148" i="1" s="1"/>
  <c r="U126" i="1"/>
  <c r="T83" i="1"/>
  <c r="AC83" i="1" s="1"/>
  <c r="AL83" i="1" s="1"/>
  <c r="R213" i="1"/>
  <c r="P207" i="1"/>
  <c r="Y207" i="1" s="1"/>
  <c r="Q192" i="1"/>
  <c r="V173" i="1"/>
  <c r="V141" i="1"/>
  <c r="U193" i="1"/>
  <c r="V184" i="1"/>
  <c r="V176" i="1"/>
  <c r="T162" i="1"/>
  <c r="AC162" i="1" s="1"/>
  <c r="AL162" i="1" s="1"/>
  <c r="T150" i="1"/>
  <c r="O129" i="1"/>
  <c r="X129" i="1" s="1"/>
  <c r="AG129" i="1" s="1"/>
  <c r="O112" i="1"/>
  <c r="X112" i="1" s="1"/>
  <c r="AG112" i="1" s="1"/>
  <c r="T153" i="1"/>
  <c r="AC153" i="1" s="1"/>
  <c r="AL153" i="1" s="1"/>
  <c r="R147" i="1"/>
  <c r="Q127" i="1"/>
  <c r="U145" i="1"/>
  <c r="R138" i="1"/>
  <c r="V115" i="1"/>
  <c r="P85" i="1"/>
  <c r="Y85" i="1" s="1"/>
  <c r="AH85" i="1" s="1"/>
  <c r="T128" i="1"/>
  <c r="AC128" i="1" s="1"/>
  <c r="AL128" i="1" s="1"/>
  <c r="O110" i="1"/>
  <c r="X110" i="1" s="1"/>
  <c r="AG110" i="1" s="1"/>
  <c r="Q99" i="1"/>
  <c r="Q75" i="1"/>
  <c r="P97" i="1"/>
  <c r="Y97" i="1" s="1"/>
  <c r="AH97" i="1" s="1"/>
  <c r="V104" i="1"/>
  <c r="Q78" i="1"/>
  <c r="U100" i="1"/>
  <c r="R83" i="1"/>
  <c r="R139" i="1"/>
  <c r="P133" i="1"/>
  <c r="Y133" i="1" s="1"/>
  <c r="T124" i="1"/>
  <c r="T112" i="1"/>
  <c r="V101" i="1"/>
  <c r="V121" i="1"/>
  <c r="Q115" i="1"/>
  <c r="P108" i="1"/>
  <c r="Y108" i="1" s="1"/>
  <c r="U89" i="1"/>
  <c r="S83" i="1"/>
  <c r="V76" i="1"/>
  <c r="Q101" i="1"/>
  <c r="R92" i="1"/>
  <c r="R84" i="1"/>
  <c r="T77" i="1"/>
  <c r="T69" i="1"/>
  <c r="AC69" i="1" s="1"/>
  <c r="AL69" i="1" s="1"/>
  <c r="S80" i="1"/>
  <c r="U122" i="1"/>
  <c r="R114" i="1"/>
  <c r="Q107" i="1"/>
  <c r="V90" i="1"/>
  <c r="Q80" i="1"/>
  <c r="U97" i="1"/>
  <c r="T90" i="1"/>
  <c r="R81" i="1"/>
  <c r="V72" i="1"/>
  <c r="T97" i="1"/>
  <c r="Q85" i="1"/>
  <c r="S78" i="1"/>
  <c r="S70" i="1"/>
  <c r="R112" i="1"/>
  <c r="Q68" i="1"/>
  <c r="P72" i="1"/>
  <c r="Y72" i="1" s="1"/>
  <c r="AH72" i="1" s="1"/>
  <c r="R159" i="1"/>
  <c r="V186" i="1"/>
  <c r="S207" i="1"/>
  <c r="P88" i="1"/>
  <c r="Y88" i="1" s="1"/>
  <c r="AH88" i="1" s="1"/>
  <c r="V157" i="1"/>
  <c r="U202" i="1"/>
  <c r="P240" i="1"/>
  <c r="Y240" i="1" s="1"/>
  <c r="AH240" i="1" s="1"/>
  <c r="S260" i="1"/>
  <c r="Q279" i="1"/>
  <c r="R203" i="1"/>
  <c r="Q187" i="1"/>
  <c r="T143" i="1"/>
  <c r="AC143" i="1" s="1"/>
  <c r="AL143" i="1" s="1"/>
  <c r="O70" i="1"/>
  <c r="X70" i="1" s="1"/>
  <c r="AG70" i="1" s="1"/>
  <c r="U285" i="1"/>
  <c r="O274" i="1"/>
  <c r="X274" i="1" s="1"/>
  <c r="AG274" i="1" s="1"/>
  <c r="S261" i="1"/>
  <c r="T249" i="1"/>
  <c r="O239" i="1"/>
  <c r="X239" i="1" s="1"/>
  <c r="AG239" i="1" s="1"/>
  <c r="O182" i="1"/>
  <c r="X182" i="1" s="1"/>
  <c r="AG182" i="1" s="1"/>
  <c r="S288" i="1"/>
  <c r="T227" i="1"/>
  <c r="R210" i="1"/>
  <c r="U191" i="1"/>
  <c r="P168" i="1"/>
  <c r="Y168" i="1" s="1"/>
  <c r="AH168" i="1" s="1"/>
  <c r="U213" i="1"/>
  <c r="AD213" i="1" s="1"/>
  <c r="AM213" i="1" s="1"/>
  <c r="O196" i="1"/>
  <c r="X196" i="1" s="1"/>
  <c r="AG196" i="1" s="1"/>
  <c r="R170" i="1"/>
  <c r="R157" i="1"/>
  <c r="Q134" i="1"/>
  <c r="V126" i="1"/>
  <c r="U84" i="1"/>
  <c r="Q128" i="1"/>
  <c r="V147" i="1"/>
  <c r="Q158" i="1"/>
  <c r="T135" i="1"/>
  <c r="V196" i="1"/>
  <c r="T134" i="1"/>
  <c r="O193" i="1"/>
  <c r="X193" i="1" s="1"/>
  <c r="AG193" i="1" s="1"/>
  <c r="O229" i="1"/>
  <c r="X229" i="1" s="1"/>
  <c r="AG229" i="1" s="1"/>
  <c r="R286" i="1"/>
  <c r="R190" i="1"/>
  <c r="AA190" i="1" s="1"/>
  <c r="R227" i="1"/>
  <c r="O214" i="1"/>
  <c r="X214" i="1" s="1"/>
  <c r="AG214" i="1" s="1"/>
  <c r="P197" i="1"/>
  <c r="Y197" i="1" s="1"/>
  <c r="AH197" i="1" s="1"/>
  <c r="O173" i="1"/>
  <c r="X173" i="1" s="1"/>
  <c r="AG173" i="1" s="1"/>
  <c r="T131" i="1"/>
  <c r="AC131" i="1" s="1"/>
  <c r="AL131" i="1" s="1"/>
  <c r="O287" i="1"/>
  <c r="X287" i="1" s="1"/>
  <c r="AG287" i="1" s="1"/>
  <c r="S271" i="1"/>
  <c r="O255" i="1"/>
  <c r="X255" i="1" s="1"/>
  <c r="AG255" i="1" s="1"/>
  <c r="T233" i="1"/>
  <c r="AC233" i="1" s="1"/>
  <c r="AL233" i="1" s="1"/>
  <c r="T173" i="1"/>
  <c r="R270" i="1"/>
  <c r="U230" i="1"/>
  <c r="U178" i="1"/>
  <c r="P211" i="1"/>
  <c r="Y211" i="1" s="1"/>
  <c r="AH211" i="1" s="1"/>
  <c r="O143" i="1"/>
  <c r="X143" i="1" s="1"/>
  <c r="AG143" i="1" s="1"/>
  <c r="V143" i="1"/>
  <c r="U124" i="1"/>
  <c r="AD124" i="1" s="1"/>
  <c r="AM124" i="1" s="1"/>
  <c r="S81" i="1"/>
  <c r="T154" i="1"/>
  <c r="T188" i="1"/>
  <c r="AC188" i="1" s="1"/>
  <c r="AL188" i="1" s="1"/>
  <c r="Q172" i="1"/>
  <c r="O241" i="1"/>
  <c r="X241" i="1" s="1"/>
  <c r="AG241" i="1" s="1"/>
  <c r="P230" i="1"/>
  <c r="Y230" i="1" s="1"/>
  <c r="O258" i="1"/>
  <c r="X258" i="1" s="1"/>
  <c r="AG258" i="1" s="1"/>
  <c r="P281" i="1"/>
  <c r="Y281" i="1" s="1"/>
  <c r="AH281" i="1" s="1"/>
  <c r="T177" i="1"/>
  <c r="V206" i="1"/>
  <c r="P226" i="1"/>
  <c r="Y226" i="1" s="1"/>
  <c r="AH226" i="1" s="1"/>
  <c r="P239" i="1"/>
  <c r="Y239" i="1" s="1"/>
  <c r="AH239" i="1" s="1"/>
  <c r="V259" i="1"/>
  <c r="R269" i="1"/>
  <c r="Q278" i="1"/>
  <c r="U287" i="1"/>
  <c r="V295" i="1"/>
  <c r="R97" i="1"/>
  <c r="T229" i="1"/>
  <c r="Q204" i="1"/>
  <c r="R155" i="1"/>
  <c r="V282" i="1"/>
  <c r="Q183" i="1"/>
  <c r="Q251" i="1"/>
  <c r="V81" i="1"/>
  <c r="P130" i="1"/>
  <c r="Y130" i="1" s="1"/>
  <c r="AH130" i="1" s="1"/>
  <c r="T199" i="1"/>
  <c r="O191" i="1"/>
  <c r="X191" i="1" s="1"/>
  <c r="AG191" i="1" s="1"/>
  <c r="P118" i="1"/>
  <c r="Y118" i="1" s="1"/>
  <c r="AH118" i="1" s="1"/>
  <c r="U69" i="1"/>
  <c r="P260" i="1"/>
  <c r="Y260" i="1" s="1"/>
  <c r="O236" i="1"/>
  <c r="X236" i="1" s="1"/>
  <c r="AG236" i="1" s="1"/>
  <c r="T278" i="1"/>
  <c r="AC278" i="1" s="1"/>
  <c r="AL278" i="1" s="1"/>
  <c r="Q168" i="1"/>
  <c r="Q220" i="1"/>
  <c r="V240" i="1"/>
  <c r="R253" i="1"/>
  <c r="U265" i="1"/>
  <c r="V124" i="1"/>
  <c r="S326" i="1"/>
  <c r="R312" i="1"/>
  <c r="Q305" i="1"/>
  <c r="U296" i="1"/>
  <c r="O286" i="1"/>
  <c r="X286" i="1" s="1"/>
  <c r="AG286" i="1" s="1"/>
  <c r="R272" i="1"/>
  <c r="S254" i="1"/>
  <c r="Q236" i="1"/>
  <c r="P193" i="1"/>
  <c r="Y193" i="1" s="1"/>
  <c r="AH193" i="1" s="1"/>
  <c r="Q282" i="1"/>
  <c r="R200" i="1"/>
  <c r="V166" i="1"/>
  <c r="Q329" i="1"/>
  <c r="P322" i="1"/>
  <c r="Y322" i="1" s="1"/>
  <c r="AH322" i="1" s="1"/>
  <c r="O315" i="1"/>
  <c r="X315" i="1" s="1"/>
  <c r="AG315" i="1" s="1"/>
  <c r="V307" i="1"/>
  <c r="R300" i="1"/>
  <c r="T290" i="1"/>
  <c r="T277" i="1"/>
  <c r="P261" i="1"/>
  <c r="Y261" i="1" s="1"/>
  <c r="AH261" i="1" s="1"/>
  <c r="P245" i="1"/>
  <c r="Y245" i="1" s="1"/>
  <c r="AH245" i="1" s="1"/>
  <c r="U215" i="1"/>
  <c r="R116" i="1"/>
  <c r="P249" i="1"/>
  <c r="Y249" i="1" s="1"/>
  <c r="AH249" i="1" s="1"/>
  <c r="S252" i="1"/>
  <c r="R149" i="1"/>
  <c r="P216" i="1"/>
  <c r="Y216" i="1" s="1"/>
  <c r="AH216" i="1" s="1"/>
  <c r="P291" i="1"/>
  <c r="Y291" i="1" s="1"/>
  <c r="AH291" i="1" s="1"/>
  <c r="P242" i="1"/>
  <c r="Y242" i="1" s="1"/>
  <c r="AH242" i="1" s="1"/>
  <c r="R275" i="1"/>
  <c r="S298" i="1"/>
  <c r="T313" i="1"/>
  <c r="V327" i="1"/>
  <c r="Q337" i="1"/>
  <c r="R344" i="1"/>
  <c r="O280" i="1"/>
  <c r="X280" i="1" s="1"/>
  <c r="AG280" i="1" s="1"/>
  <c r="S235" i="1"/>
  <c r="P243" i="1"/>
  <c r="Y243" i="1" s="1"/>
  <c r="AH243" i="1" s="1"/>
  <c r="Q325" i="1"/>
  <c r="T305" i="1"/>
  <c r="V278" i="1"/>
  <c r="V230" i="1"/>
  <c r="Q225" i="1"/>
  <c r="O98" i="1"/>
  <c r="X98" i="1" s="1"/>
  <c r="AG98" i="1" s="1"/>
  <c r="S251" i="1"/>
  <c r="U312" i="1"/>
  <c r="U223" i="1"/>
  <c r="Q333" i="1"/>
  <c r="R352" i="1"/>
  <c r="T193" i="1"/>
  <c r="T250" i="1"/>
  <c r="AC250" i="1" s="1"/>
  <c r="AL250" i="1" s="1"/>
  <c r="T288" i="1"/>
  <c r="U309" i="1"/>
  <c r="U325" i="1"/>
  <c r="Q335" i="1"/>
  <c r="T344" i="1"/>
  <c r="Q354" i="1"/>
  <c r="T361" i="1"/>
  <c r="AC361" i="1" s="1"/>
  <c r="AL361" i="1" s="1"/>
  <c r="U368" i="1"/>
  <c r="V375" i="1"/>
  <c r="V313" i="1"/>
  <c r="V294" i="1"/>
  <c r="O278" i="1"/>
  <c r="X278" i="1" s="1"/>
  <c r="AG278" i="1" s="1"/>
  <c r="O259" i="1"/>
  <c r="X259" i="1" s="1"/>
  <c r="AG259" i="1" s="1"/>
  <c r="O240" i="1"/>
  <c r="X240" i="1" s="1"/>
  <c r="AG240" i="1" s="1"/>
  <c r="V218" i="1"/>
  <c r="R191" i="1"/>
  <c r="Q147" i="1"/>
  <c r="V351" i="1"/>
  <c r="P342" i="1"/>
  <c r="Y342" i="1" s="1"/>
  <c r="AH342" i="1" s="1"/>
  <c r="U332" i="1"/>
  <c r="O308" i="1"/>
  <c r="X308" i="1" s="1"/>
  <c r="AG308" i="1" s="1"/>
  <c r="P285" i="1"/>
  <c r="Y285" i="1" s="1"/>
  <c r="AH285" i="1" s="1"/>
  <c r="P266" i="1"/>
  <c r="Y266" i="1" s="1"/>
  <c r="AH266" i="1" s="1"/>
  <c r="P247" i="1"/>
  <c r="Y247" i="1" s="1"/>
  <c r="AH247" i="1" s="1"/>
  <c r="Q228" i="1"/>
  <c r="V202" i="1"/>
  <c r="T167" i="1"/>
  <c r="S354" i="1"/>
  <c r="T345" i="1"/>
  <c r="AC345" i="1" s="1"/>
  <c r="AL345" i="1" s="1"/>
  <c r="R336" i="1"/>
  <c r="P318" i="1"/>
  <c r="Y318" i="1" s="1"/>
  <c r="AH318" i="1" s="1"/>
  <c r="T261" i="1"/>
  <c r="AC261" i="1" s="1"/>
  <c r="AL261" i="1" s="1"/>
  <c r="O187" i="1"/>
  <c r="X187" i="1" s="1"/>
  <c r="AG187" i="1" s="1"/>
  <c r="O627" i="1"/>
  <c r="X627" i="1" s="1"/>
  <c r="AG627" i="1" s="1"/>
  <c r="O560" i="1"/>
  <c r="X560" i="1" s="1"/>
  <c r="AG560" i="1" s="1"/>
  <c r="S483" i="1"/>
  <c r="S329" i="1"/>
  <c r="U564" i="1"/>
  <c r="V398" i="1"/>
  <c r="S655" i="1"/>
  <c r="O567" i="1"/>
  <c r="X567" i="1" s="1"/>
  <c r="AG567" i="1" s="1"/>
  <c r="Q453" i="1"/>
  <c r="Q649" i="1"/>
  <c r="O516" i="1"/>
  <c r="X516" i="1" s="1"/>
  <c r="AG516" i="1" s="1"/>
  <c r="O642" i="1"/>
  <c r="X642" i="1" s="1"/>
  <c r="AG642" i="1" s="1"/>
  <c r="Q579" i="1"/>
  <c r="Q126" i="1"/>
  <c r="S263" i="1"/>
  <c r="V483" i="1"/>
  <c r="S642" i="1"/>
  <c r="Q427" i="1"/>
  <c r="R654" i="1"/>
  <c r="U457" i="1"/>
  <c r="Q67" i="1"/>
  <c r="S657" i="1"/>
  <c r="R622" i="1"/>
  <c r="O571" i="1"/>
  <c r="X571" i="1" s="1"/>
  <c r="AG571" i="1" s="1"/>
  <c r="P514" i="1"/>
  <c r="Y514" i="1" s="1"/>
  <c r="AH514" i="1" s="1"/>
  <c r="Q457" i="1"/>
  <c r="Q372" i="1"/>
  <c r="P607" i="1"/>
  <c r="Y607" i="1" s="1"/>
  <c r="AH607" i="1" s="1"/>
  <c r="O67" i="1"/>
  <c r="X67" i="1" s="1"/>
  <c r="AG67" i="1" s="1"/>
  <c r="V649" i="1"/>
  <c r="S555" i="1"/>
  <c r="U441" i="1"/>
  <c r="Q574" i="1"/>
  <c r="U497" i="1"/>
  <c r="U378" i="1"/>
  <c r="Q593" i="1"/>
  <c r="P442" i="1"/>
  <c r="Y442" i="1" s="1"/>
  <c r="AH442" i="1" s="1"/>
  <c r="Q666" i="1"/>
  <c r="R588" i="1"/>
  <c r="S474" i="1"/>
  <c r="U251" i="1"/>
  <c r="P333" i="1"/>
  <c r="Y333" i="1" s="1"/>
  <c r="AH333" i="1" s="1"/>
  <c r="V518" i="1"/>
  <c r="O230" i="1"/>
  <c r="X230" i="1" s="1"/>
  <c r="AG230" i="1" s="1"/>
  <c r="V384" i="1"/>
  <c r="P466" i="1"/>
  <c r="Y466" i="1" s="1"/>
  <c r="AH466" i="1" s="1"/>
  <c r="T533" i="1"/>
  <c r="AC533" i="1" s="1"/>
  <c r="AL533" i="1" s="1"/>
  <c r="U604" i="1"/>
  <c r="U508" i="1"/>
  <c r="Q569" i="1"/>
  <c r="V515" i="1"/>
  <c r="S603" i="1"/>
  <c r="R493" i="1"/>
  <c r="P416" i="1"/>
  <c r="Y416" i="1" s="1"/>
  <c r="AH416" i="1" s="1"/>
  <c r="Q276" i="1"/>
  <c r="S636" i="1"/>
  <c r="V414" i="1"/>
  <c r="S646" i="1"/>
  <c r="T602" i="1"/>
  <c r="AC602" i="1" s="1"/>
  <c r="AL602" i="1" s="1"/>
  <c r="Q446" i="1"/>
  <c r="O499" i="1"/>
  <c r="X499" i="1" s="1"/>
  <c r="AG499" i="1" s="1"/>
  <c r="Q517" i="1"/>
  <c r="R601" i="1"/>
  <c r="U575" i="1"/>
  <c r="Q459" i="1"/>
  <c r="O637" i="1"/>
  <c r="X637" i="1" s="1"/>
  <c r="AG637" i="1" s="1"/>
  <c r="S614" i="1"/>
  <c r="Q502" i="1"/>
  <c r="Q346" i="1"/>
  <c r="P660" i="1"/>
  <c r="Y660" i="1" s="1"/>
  <c r="AH660" i="1" s="1"/>
  <c r="U612" i="1"/>
  <c r="T538" i="1"/>
  <c r="AC538" i="1" s="1"/>
  <c r="AL538" i="1" s="1"/>
  <c r="Q462" i="1"/>
  <c r="V175" i="1"/>
  <c r="T652" i="1"/>
  <c r="AC652" i="1" s="1"/>
  <c r="AL652" i="1" s="1"/>
  <c r="U484" i="1"/>
  <c r="S506" i="1"/>
  <c r="P587" i="1"/>
  <c r="Y587" i="1" s="1"/>
  <c r="AH587" i="1" s="1"/>
  <c r="S561" i="1"/>
  <c r="V608" i="1"/>
  <c r="Q327" i="1"/>
  <c r="R533" i="1"/>
  <c r="T646" i="1"/>
  <c r="AC646" i="1" s="1"/>
  <c r="AL646" i="1" s="1"/>
  <c r="V258" i="1"/>
  <c r="S631" i="1"/>
  <c r="U399" i="1"/>
  <c r="S463" i="1"/>
  <c r="T437" i="1"/>
  <c r="P647" i="1"/>
  <c r="Y647" i="1" s="1"/>
  <c r="AH647" i="1" s="1"/>
  <c r="P551" i="1"/>
  <c r="Y551" i="1" s="1"/>
  <c r="AH551" i="1" s="1"/>
  <c r="Q436" i="1"/>
  <c r="P630" i="1"/>
  <c r="Y630" i="1" s="1"/>
  <c r="AH630" i="1" s="1"/>
  <c r="S486" i="1"/>
  <c r="S618" i="1"/>
  <c r="R508" i="1"/>
  <c r="T360" i="1"/>
  <c r="AC360" i="1" s="1"/>
  <c r="AL360" i="1" s="1"/>
  <c r="U589" i="1"/>
  <c r="U436" i="1"/>
  <c r="U563" i="1"/>
  <c r="P396" i="1"/>
  <c r="Y396" i="1" s="1"/>
  <c r="AH396" i="1" s="1"/>
  <c r="O434" i="1"/>
  <c r="X434" i="1" s="1"/>
  <c r="AG434" i="1" s="1"/>
  <c r="P368" i="1"/>
  <c r="Y368" i="1" s="1"/>
  <c r="AH368" i="1" s="1"/>
  <c r="P586" i="1"/>
  <c r="Y586" i="1" s="1"/>
  <c r="AH586" i="1" s="1"/>
  <c r="P433" i="1"/>
  <c r="Y433" i="1" s="1"/>
  <c r="AH433" i="1" s="1"/>
  <c r="S663" i="1"/>
  <c r="O583" i="1"/>
  <c r="X583" i="1" s="1"/>
  <c r="AG583" i="1" s="1"/>
  <c r="Q469" i="1"/>
  <c r="P222" i="1"/>
  <c r="Y222" i="1" s="1"/>
  <c r="AH222" i="1" s="1"/>
  <c r="V659" i="1"/>
  <c r="R537" i="1"/>
  <c r="T304" i="1"/>
  <c r="AC304" i="1" s="1"/>
  <c r="AL304" i="1" s="1"/>
  <c r="U511" i="1"/>
  <c r="Q611" i="1"/>
  <c r="T346" i="1"/>
  <c r="AC346" i="1" s="1"/>
  <c r="AL346" i="1" s="1"/>
  <c r="V523" i="1"/>
  <c r="U608" i="1"/>
  <c r="O495" i="1"/>
  <c r="X495" i="1" s="1"/>
  <c r="AG495" i="1" s="1"/>
  <c r="U326" i="1"/>
  <c r="O572" i="1"/>
  <c r="X572" i="1" s="1"/>
  <c r="AG572" i="1" s="1"/>
  <c r="T411" i="1"/>
  <c r="AC411" i="1" s="1"/>
  <c r="AL411" i="1" s="1"/>
  <c r="O546" i="1"/>
  <c r="X546" i="1" s="1"/>
  <c r="AG546" i="1" s="1"/>
  <c r="S360" i="1"/>
  <c r="T356" i="1"/>
  <c r="AC356" i="1" s="1"/>
  <c r="AL356" i="1" s="1"/>
  <c r="O656" i="1"/>
  <c r="X656" i="1" s="1"/>
  <c r="AG656" i="1" s="1"/>
  <c r="V567" i="1"/>
  <c r="P454" i="1"/>
  <c r="Y454" i="1" s="1"/>
  <c r="AH454" i="1" s="1"/>
  <c r="T649" i="1"/>
  <c r="AC649" i="1" s="1"/>
  <c r="AL649" i="1" s="1"/>
  <c r="V516" i="1"/>
  <c r="R643" i="1"/>
  <c r="Q444" i="1"/>
  <c r="Q610" i="1"/>
  <c r="R457" i="1"/>
  <c r="Q620" i="1"/>
  <c r="P404" i="1"/>
  <c r="Y404" i="1" s="1"/>
  <c r="AH404" i="1" s="1"/>
  <c r="R546" i="1"/>
  <c r="Q472" i="1"/>
  <c r="T455" i="1"/>
  <c r="AC455" i="1" s="1"/>
  <c r="AL455" i="1" s="1"/>
  <c r="R571" i="1"/>
  <c r="S408" i="1"/>
  <c r="V529" i="1"/>
  <c r="U334" i="1"/>
  <c r="P488" i="1"/>
  <c r="Y488" i="1" s="1"/>
  <c r="AH488" i="1" s="1"/>
  <c r="V317" i="1"/>
  <c r="Q430" i="1"/>
  <c r="V616" i="1"/>
  <c r="T432" i="1"/>
  <c r="AC432" i="1" s="1"/>
  <c r="AL432" i="1" s="1"/>
  <c r="T607" i="1"/>
  <c r="AC607" i="1" s="1"/>
  <c r="AL607" i="1" s="1"/>
  <c r="T517" i="1"/>
  <c r="AC517" i="1" s="1"/>
  <c r="AL517" i="1" s="1"/>
  <c r="U650" i="1"/>
  <c r="T581" i="1"/>
  <c r="AC581" i="1" s="1"/>
  <c r="AL581" i="1" s="1"/>
  <c r="U430" i="1"/>
  <c r="U521" i="1"/>
  <c r="U524" i="1"/>
  <c r="R525" i="1"/>
  <c r="R628" i="1"/>
  <c r="S656" i="1"/>
  <c r="V207" i="1"/>
  <c r="P634" i="1"/>
  <c r="Y634" i="1" s="1"/>
  <c r="AH634" i="1" s="1"/>
  <c r="V576" i="1"/>
  <c r="R613" i="1"/>
  <c r="R379" i="1"/>
  <c r="U624" i="1"/>
  <c r="P420" i="1"/>
  <c r="Y420" i="1" s="1"/>
  <c r="T643" i="1"/>
  <c r="S509" i="1"/>
  <c r="O292" i="1"/>
  <c r="X292" i="1" s="1"/>
  <c r="AG292" i="1" s="1"/>
  <c r="U394" i="1"/>
  <c r="T436" i="1"/>
  <c r="R480" i="1"/>
  <c r="R557" i="1"/>
  <c r="P248" i="1"/>
  <c r="Y248" i="1" s="1"/>
  <c r="AH248" i="1" s="1"/>
  <c r="P354" i="1"/>
  <c r="Y354" i="1" s="1"/>
  <c r="AH354" i="1" s="1"/>
  <c r="O272" i="1"/>
  <c r="X272" i="1" s="1"/>
  <c r="AG272" i="1" s="1"/>
  <c r="S327" i="1"/>
  <c r="O353" i="1"/>
  <c r="X353" i="1" s="1"/>
  <c r="AG353" i="1" s="1"/>
  <c r="U372" i="1"/>
  <c r="V387" i="1"/>
  <c r="P402" i="1"/>
  <c r="Y402" i="1" s="1"/>
  <c r="AH402" i="1" s="1"/>
  <c r="U71" i="1"/>
  <c r="U284" i="1"/>
  <c r="O189" i="1"/>
  <c r="X189" i="1" s="1"/>
  <c r="AG189" i="1" s="1"/>
  <c r="V297" i="1"/>
  <c r="U335" i="1"/>
  <c r="P378" i="1"/>
  <c r="Y378" i="1" s="1"/>
  <c r="AH378" i="1" s="1"/>
  <c r="R392" i="1"/>
  <c r="S406" i="1"/>
  <c r="T155" i="1"/>
  <c r="AC155" i="1" s="1"/>
  <c r="AL155" i="1" s="1"/>
  <c r="U224" i="1"/>
  <c r="O263" i="1"/>
  <c r="X263" i="1" s="1"/>
  <c r="AG263" i="1" s="1"/>
  <c r="O158" i="1"/>
  <c r="X158" i="1" s="1"/>
  <c r="AG158" i="1" s="1"/>
  <c r="T331" i="1"/>
  <c r="AC331" i="1" s="1"/>
  <c r="AL331" i="1" s="1"/>
  <c r="R404" i="1"/>
  <c r="U208" i="1"/>
  <c r="R265" i="1"/>
  <c r="U299" i="1"/>
  <c r="U318" i="1"/>
  <c r="U337" i="1"/>
  <c r="T370" i="1"/>
  <c r="AC370" i="1" s="1"/>
  <c r="AL370" i="1" s="1"/>
  <c r="S353" i="1"/>
  <c r="R388" i="1"/>
  <c r="U90" i="1"/>
  <c r="V236" i="1"/>
  <c r="S285" i="1"/>
  <c r="P308" i="1"/>
  <c r="Y308" i="1" s="1"/>
  <c r="AH308" i="1" s="1"/>
  <c r="T324" i="1"/>
  <c r="AC324" i="1" s="1"/>
  <c r="AL324" i="1" s="1"/>
  <c r="S336" i="1"/>
  <c r="T659" i="1"/>
  <c r="AC659" i="1" s="1"/>
  <c r="AL659" i="1" s="1"/>
  <c r="S429" i="1"/>
  <c r="V467" i="1"/>
  <c r="R560" i="1"/>
  <c r="O555" i="1"/>
  <c r="X555" i="1" s="1"/>
  <c r="AG555" i="1" s="1"/>
  <c r="T501" i="1"/>
  <c r="Q257" i="1"/>
  <c r="P365" i="1"/>
  <c r="Y365" i="1" s="1"/>
  <c r="AH365" i="1" s="1"/>
  <c r="O327" i="1"/>
  <c r="X327" i="1" s="1"/>
  <c r="AG327" i="1" s="1"/>
  <c r="P217" i="1"/>
  <c r="Y217" i="1" s="1"/>
  <c r="AH217" i="1" s="1"/>
  <c r="R307" i="1"/>
  <c r="S340" i="1"/>
  <c r="O363" i="1"/>
  <c r="X363" i="1" s="1"/>
  <c r="AG363" i="1" s="1"/>
  <c r="S658" i="1"/>
  <c r="U317" i="1"/>
  <c r="V629" i="1"/>
  <c r="Q652" i="1"/>
  <c r="T534" i="1"/>
  <c r="U257" i="1"/>
  <c r="O350" i="1"/>
  <c r="X350" i="1" s="1"/>
  <c r="AG350" i="1" s="1"/>
  <c r="U380" i="1"/>
  <c r="R400" i="1"/>
  <c r="U162" i="1"/>
  <c r="Q345" i="1"/>
  <c r="O291" i="1"/>
  <c r="X291" i="1" s="1"/>
  <c r="AG291" i="1" s="1"/>
  <c r="R345" i="1"/>
  <c r="Q369" i="1"/>
  <c r="S390" i="1"/>
  <c r="V411" i="1"/>
  <c r="R196" i="1"/>
  <c r="Q258" i="1"/>
  <c r="S262" i="1"/>
  <c r="U356" i="1"/>
  <c r="U400" i="1"/>
  <c r="R233" i="1"/>
  <c r="V287" i="1"/>
  <c r="V344" i="1"/>
  <c r="S363" i="1"/>
  <c r="R248" i="1"/>
  <c r="R368" i="1"/>
  <c r="S402" i="1"/>
  <c r="O231" i="1"/>
  <c r="X231" i="1" s="1"/>
  <c r="AG231" i="1" s="1"/>
  <c r="Q296" i="1"/>
  <c r="S317" i="1"/>
  <c r="Q334" i="1"/>
  <c r="U350" i="1"/>
  <c r="V360" i="1"/>
  <c r="U369" i="1"/>
  <c r="R389" i="1"/>
  <c r="Q398" i="1"/>
  <c r="V408" i="1"/>
  <c r="U417" i="1"/>
  <c r="T426" i="1"/>
  <c r="AC426" i="1" s="1"/>
  <c r="AL426" i="1" s="1"/>
  <c r="R437" i="1"/>
  <c r="V252" i="1"/>
  <c r="R301" i="1"/>
  <c r="O325" i="1"/>
  <c r="X325" i="1" s="1"/>
  <c r="AG325" i="1" s="1"/>
  <c r="T348" i="1"/>
  <c r="AC348" i="1" s="1"/>
  <c r="AL348" i="1" s="1"/>
  <c r="U371" i="1"/>
  <c r="S389" i="1"/>
  <c r="R407" i="1"/>
  <c r="S243" i="1"/>
  <c r="T357" i="1"/>
  <c r="AC357" i="1" s="1"/>
  <c r="AL357" i="1" s="1"/>
  <c r="P398" i="1"/>
  <c r="Y398" i="1" s="1"/>
  <c r="AH398" i="1" s="1"/>
  <c r="T228" i="1"/>
  <c r="AE228" i="1" s="1"/>
  <c r="AN228" i="1" s="1"/>
  <c r="P289" i="1"/>
  <c r="Y289" i="1" s="1"/>
  <c r="AH289" i="1" s="1"/>
  <c r="T314" i="1"/>
  <c r="P343" i="1"/>
  <c r="Y343" i="1" s="1"/>
  <c r="AH343" i="1" s="1"/>
  <c r="O364" i="1"/>
  <c r="X364" i="1" s="1"/>
  <c r="AG364" i="1" s="1"/>
  <c r="Q378" i="1"/>
  <c r="T430" i="1"/>
  <c r="Q248" i="1"/>
  <c r="R267" i="1"/>
  <c r="S362" i="1"/>
  <c r="U408" i="1"/>
  <c r="U235" i="1"/>
  <c r="R293" i="1"/>
  <c r="U321" i="1"/>
  <c r="U365" i="1"/>
  <c r="U381" i="1"/>
  <c r="U393" i="1"/>
  <c r="U405" i="1"/>
  <c r="R417" i="1"/>
  <c r="P427" i="1"/>
  <c r="Y427" i="1" s="1"/>
  <c r="AH427" i="1" s="1"/>
  <c r="V190" i="1"/>
  <c r="R255" i="1"/>
  <c r="V298" i="1"/>
  <c r="U323" i="1"/>
  <c r="V349" i="1"/>
  <c r="O370" i="1"/>
  <c r="X370" i="1" s="1"/>
  <c r="AG370" i="1" s="1"/>
  <c r="T388" i="1"/>
  <c r="AC388" i="1" s="1"/>
  <c r="AL388" i="1" s="1"/>
  <c r="Q408" i="1"/>
  <c r="S421" i="1"/>
  <c r="O431" i="1"/>
  <c r="X431" i="1" s="1"/>
  <c r="AG431" i="1" s="1"/>
  <c r="S440" i="1"/>
  <c r="T447" i="1"/>
  <c r="U454" i="1"/>
  <c r="V461" i="1"/>
  <c r="O469" i="1"/>
  <c r="X469" i="1" s="1"/>
  <c r="AG469" i="1" s="1"/>
  <c r="P476" i="1"/>
  <c r="Y476" i="1" s="1"/>
  <c r="AH476" i="1" s="1"/>
  <c r="Q483" i="1"/>
  <c r="R490" i="1"/>
  <c r="S504" i="1"/>
  <c r="T511" i="1"/>
  <c r="AC511" i="1" s="1"/>
  <c r="AL511" i="1" s="1"/>
  <c r="U518" i="1"/>
  <c r="V525" i="1"/>
  <c r="O533" i="1"/>
  <c r="X533" i="1" s="1"/>
  <c r="AG533" i="1" s="1"/>
  <c r="P540" i="1"/>
  <c r="Y540" i="1" s="1"/>
  <c r="AH540" i="1" s="1"/>
  <c r="O407" i="1"/>
  <c r="X407" i="1" s="1"/>
  <c r="AG407" i="1" s="1"/>
  <c r="P270" i="1"/>
  <c r="Y270" i="1" s="1"/>
  <c r="AH270" i="1" s="1"/>
  <c r="S320" i="1"/>
  <c r="U357" i="1"/>
  <c r="R381" i="1"/>
  <c r="P419" i="1"/>
  <c r="Y419" i="1" s="1"/>
  <c r="AH419" i="1" s="1"/>
  <c r="Q438" i="1"/>
  <c r="U264" i="1"/>
  <c r="Q326" i="1"/>
  <c r="R383" i="1"/>
  <c r="P409" i="1"/>
  <c r="Y409" i="1" s="1"/>
  <c r="AH409" i="1" s="1"/>
  <c r="P425" i="1"/>
  <c r="Y425" i="1" s="1"/>
  <c r="AH425" i="1" s="1"/>
  <c r="S437" i="1"/>
  <c r="P448" i="1"/>
  <c r="Y448" i="1" s="1"/>
  <c r="AH448" i="1" s="1"/>
  <c r="U466" i="1"/>
  <c r="S476" i="1"/>
  <c r="V485" i="1"/>
  <c r="Q495" i="1"/>
  <c r="O505" i="1"/>
  <c r="X505" i="1" s="1"/>
  <c r="AG505" i="1" s="1"/>
  <c r="R514" i="1"/>
  <c r="T523" i="1"/>
  <c r="AE523" i="1" s="1"/>
  <c r="AN523" i="1" s="1"/>
  <c r="R542" i="1"/>
  <c r="S556" i="1"/>
  <c r="P546" i="1"/>
  <c r="Y546" i="1" s="1"/>
  <c r="AH546" i="1" s="1"/>
  <c r="Q615" i="1"/>
  <c r="O332" i="1"/>
  <c r="X332" i="1" s="1"/>
  <c r="AG332" i="1" s="1"/>
  <c r="P618" i="1"/>
  <c r="Y618" i="1" s="1"/>
  <c r="AH618" i="1" s="1"/>
  <c r="U348" i="1"/>
  <c r="S324" i="1"/>
  <c r="P370" i="1"/>
  <c r="Y370" i="1" s="1"/>
  <c r="AH370" i="1" s="1"/>
  <c r="Q393" i="1"/>
  <c r="Q409" i="1"/>
  <c r="V238" i="1"/>
  <c r="U322" i="1"/>
  <c r="Q357" i="1"/>
  <c r="T138" i="1"/>
  <c r="R239" i="1"/>
  <c r="T292" i="1"/>
  <c r="P325" i="1"/>
  <c r="Y325" i="1" s="1"/>
  <c r="S386" i="1"/>
  <c r="R132" i="1"/>
  <c r="V306" i="1"/>
  <c r="Q328" i="1"/>
  <c r="R354" i="1"/>
  <c r="V343" i="1"/>
  <c r="T328" i="1"/>
  <c r="AC328" i="1" s="1"/>
  <c r="AL328" i="1" s="1"/>
  <c r="U384" i="1"/>
  <c r="U261" i="1"/>
  <c r="U305" i="1"/>
  <c r="P327" i="1"/>
  <c r="Y327" i="1" s="1"/>
  <c r="AH327" i="1" s="1"/>
  <c r="T343" i="1"/>
  <c r="S355" i="1"/>
  <c r="Q366" i="1"/>
  <c r="P375" i="1"/>
  <c r="Y375" i="1" s="1"/>
  <c r="AH375" i="1" s="1"/>
  <c r="O384" i="1"/>
  <c r="X384" i="1" s="1"/>
  <c r="AG384" i="1" s="1"/>
  <c r="T394" i="1"/>
  <c r="AC394" i="1" s="1"/>
  <c r="AL394" i="1" s="1"/>
  <c r="S403" i="1"/>
  <c r="P423" i="1"/>
  <c r="Y423" i="1" s="1"/>
  <c r="AH423" i="1" s="1"/>
  <c r="O432" i="1"/>
  <c r="X432" i="1" s="1"/>
  <c r="AG432" i="1" s="1"/>
  <c r="Q100" i="1"/>
  <c r="O234" i="1"/>
  <c r="X234" i="1" s="1"/>
  <c r="AG234" i="1" s="1"/>
  <c r="R281" i="1"/>
  <c r="U310" i="1"/>
  <c r="Q339" i="1"/>
  <c r="P361" i="1"/>
  <c r="Y361" i="1" s="1"/>
  <c r="AH361" i="1" s="1"/>
  <c r="V378" i="1"/>
  <c r="Q400" i="1"/>
  <c r="R243" i="1"/>
  <c r="O318" i="1"/>
  <c r="X318" i="1" s="1"/>
  <c r="AG318" i="1" s="1"/>
  <c r="V383" i="1"/>
  <c r="P144" i="1"/>
  <c r="Y144" i="1" s="1"/>
  <c r="AH144" i="1" s="1"/>
  <c r="T254" i="1"/>
  <c r="P305" i="1"/>
  <c r="Y305" i="1" s="1"/>
  <c r="AH305" i="1" s="1"/>
  <c r="V328" i="1"/>
  <c r="S352" i="1"/>
  <c r="U373" i="1"/>
  <c r="R385" i="1"/>
  <c r="R397" i="1"/>
  <c r="S411" i="1"/>
  <c r="S423" i="1"/>
  <c r="P435" i="1"/>
  <c r="Y435" i="1" s="1"/>
  <c r="R220" i="1"/>
  <c r="P286" i="1"/>
  <c r="Y286" i="1" s="1"/>
  <c r="O319" i="1"/>
  <c r="X319" i="1" s="1"/>
  <c r="AG319" i="1" s="1"/>
  <c r="R339" i="1"/>
  <c r="U170" i="1"/>
  <c r="T273" i="1"/>
  <c r="S307" i="1"/>
  <c r="Q331" i="1"/>
  <c r="T358" i="1"/>
  <c r="AC358" i="1" s="1"/>
  <c r="AL358" i="1" s="1"/>
  <c r="T374" i="1"/>
  <c r="T386" i="1"/>
  <c r="V400" i="1"/>
  <c r="V412" i="1"/>
  <c r="Q422" i="1"/>
  <c r="S431" i="1"/>
  <c r="U121" i="1"/>
  <c r="Q229" i="1"/>
  <c r="O279" i="1"/>
  <c r="X279" i="1" s="1"/>
  <c r="AG279" i="1" s="1"/>
  <c r="O312" i="1"/>
  <c r="X312" i="1" s="1"/>
  <c r="AG312" i="1" s="1"/>
  <c r="V336" i="1"/>
  <c r="Q360" i="1"/>
  <c r="U379" i="1"/>
  <c r="U416" i="1"/>
  <c r="R426" i="1"/>
  <c r="U435" i="1"/>
  <c r="P444" i="1"/>
  <c r="Y444" i="1" s="1"/>
  <c r="AH444" i="1" s="1"/>
  <c r="Q451" i="1"/>
  <c r="R458" i="1"/>
  <c r="S472" i="1"/>
  <c r="T479" i="1"/>
  <c r="AC479" i="1" s="1"/>
  <c r="AL479" i="1" s="1"/>
  <c r="U486" i="1"/>
  <c r="V493" i="1"/>
  <c r="O501" i="1"/>
  <c r="X501" i="1" s="1"/>
  <c r="AG501" i="1" s="1"/>
  <c r="P508" i="1"/>
  <c r="Y508" i="1" s="1"/>
  <c r="AH508" i="1" s="1"/>
  <c r="Q515" i="1"/>
  <c r="R522" i="1"/>
  <c r="S536" i="1"/>
  <c r="S197" i="1"/>
  <c r="S378" i="1"/>
  <c r="V215" i="1"/>
  <c r="S301" i="1"/>
  <c r="S339" i="1"/>
  <c r="O372" i="1"/>
  <c r="X372" i="1" s="1"/>
  <c r="AG372" i="1" s="1"/>
  <c r="T390" i="1"/>
  <c r="AC390" i="1" s="1"/>
  <c r="AL390" i="1" s="1"/>
  <c r="U409" i="1"/>
  <c r="V428" i="1"/>
  <c r="P206" i="1"/>
  <c r="Y206" i="1" s="1"/>
  <c r="AH206" i="1" s="1"/>
  <c r="T303" i="1"/>
  <c r="AC303" i="1" s="1"/>
  <c r="AL303" i="1" s="1"/>
  <c r="S341" i="1"/>
  <c r="V370" i="1"/>
  <c r="U395" i="1"/>
  <c r="S418" i="1"/>
  <c r="T431" i="1"/>
  <c r="AC431" i="1" s="1"/>
  <c r="AL431" i="1" s="1"/>
  <c r="Q443" i="1"/>
  <c r="S452" i="1"/>
  <c r="R462" i="1"/>
  <c r="T471" i="1"/>
  <c r="AC471" i="1" s="1"/>
  <c r="AL471" i="1" s="1"/>
  <c r="O481" i="1"/>
  <c r="X481" i="1" s="1"/>
  <c r="AG481" i="1" s="1"/>
  <c r="U490" i="1"/>
  <c r="P500" i="1"/>
  <c r="Y500" i="1" s="1"/>
  <c r="Q519" i="1"/>
  <c r="S528" i="1"/>
  <c r="V537" i="1"/>
  <c r="V545" i="1"/>
  <c r="O553" i="1"/>
  <c r="X553" i="1" s="1"/>
  <c r="AG553" i="1" s="1"/>
  <c r="Q582" i="1"/>
  <c r="S649" i="1"/>
  <c r="AP649" i="1" s="1"/>
  <c r="AQ649" i="1" s="1"/>
  <c r="R366" i="1"/>
  <c r="O337" i="1"/>
  <c r="X337" i="1" s="1"/>
  <c r="AG337" i="1" s="1"/>
  <c r="O395" i="1"/>
  <c r="X395" i="1" s="1"/>
  <c r="AG395" i="1" s="1"/>
  <c r="Q332" i="1"/>
  <c r="Q385" i="1"/>
  <c r="R187" i="1"/>
  <c r="P350" i="1"/>
  <c r="Y350" i="1" s="1"/>
  <c r="AH350" i="1" s="1"/>
  <c r="P390" i="1"/>
  <c r="Y390" i="1" s="1"/>
  <c r="AH390" i="1" s="1"/>
  <c r="P283" i="1"/>
  <c r="Y283" i="1" s="1"/>
  <c r="AH283" i="1" s="1"/>
  <c r="R335" i="1"/>
  <c r="O355" i="1"/>
  <c r="X355" i="1" s="1"/>
  <c r="AG355" i="1" s="1"/>
  <c r="O399" i="1"/>
  <c r="X399" i="1" s="1"/>
  <c r="AG399" i="1" s="1"/>
  <c r="U280" i="1"/>
  <c r="U331" i="1"/>
  <c r="P359" i="1"/>
  <c r="Y359" i="1" s="1"/>
  <c r="AH359" i="1" s="1"/>
  <c r="S491" i="1"/>
  <c r="S364" i="1"/>
  <c r="S393" i="1"/>
  <c r="Q197" i="1"/>
  <c r="P201" i="1"/>
  <c r="Y201" i="1" s="1"/>
  <c r="AH201" i="1" s="1"/>
  <c r="O379" i="1"/>
  <c r="X379" i="1" s="1"/>
  <c r="AG379" i="1" s="1"/>
  <c r="S414" i="1"/>
  <c r="P253" i="1"/>
  <c r="Y253" i="1" s="1"/>
  <c r="AH253" i="1" s="1"/>
  <c r="S366" i="1"/>
  <c r="U404" i="1"/>
  <c r="O244" i="1"/>
  <c r="X244" i="1" s="1"/>
  <c r="AG244" i="1" s="1"/>
  <c r="T350" i="1"/>
  <c r="V199" i="1"/>
  <c r="R309" i="1"/>
  <c r="U361" i="1"/>
  <c r="T347" i="1"/>
  <c r="AC347" i="1" s="1"/>
  <c r="AL347" i="1" s="1"/>
  <c r="Q205" i="1"/>
  <c r="Q315" i="1"/>
  <c r="O346" i="1"/>
  <c r="X346" i="1" s="1"/>
  <c r="AG346" i="1" s="1"/>
  <c r="O368" i="1"/>
  <c r="X368" i="1" s="1"/>
  <c r="AG368" i="1" s="1"/>
  <c r="S387" i="1"/>
  <c r="R405" i="1"/>
  <c r="V424" i="1"/>
  <c r="T176" i="1"/>
  <c r="AC176" i="1" s="1"/>
  <c r="AL176" i="1" s="1"/>
  <c r="V290" i="1"/>
  <c r="O344" i="1"/>
  <c r="X344" i="1" s="1"/>
  <c r="AG344" i="1" s="1"/>
  <c r="O386" i="1"/>
  <c r="X386" i="1" s="1"/>
  <c r="AG386" i="1" s="1"/>
  <c r="R340" i="1"/>
  <c r="O391" i="1"/>
  <c r="X391" i="1" s="1"/>
  <c r="AG391" i="1" s="1"/>
  <c r="S279" i="1"/>
  <c r="S333" i="1"/>
  <c r="O376" i="1"/>
  <c r="X376" i="1" s="1"/>
  <c r="AG376" i="1" s="1"/>
  <c r="Q402" i="1"/>
  <c r="U425" i="1"/>
  <c r="R236" i="1"/>
  <c r="S213" i="1"/>
  <c r="S394" i="1"/>
  <c r="R284" i="1"/>
  <c r="T340" i="1"/>
  <c r="R377" i="1"/>
  <c r="P403" i="1"/>
  <c r="Y403" i="1" s="1"/>
  <c r="AH403" i="1" s="1"/>
  <c r="Q167" i="1"/>
  <c r="V292" i="1"/>
  <c r="U342" i="1"/>
  <c r="Q384" i="1"/>
  <c r="Q419" i="1"/>
  <c r="P438" i="1"/>
  <c r="Y438" i="1" s="1"/>
  <c r="AH438" i="1" s="1"/>
  <c r="O453" i="1"/>
  <c r="X453" i="1" s="1"/>
  <c r="AG453" i="1" s="1"/>
  <c r="Q467" i="1"/>
  <c r="T495" i="1"/>
  <c r="V509" i="1"/>
  <c r="P524" i="1"/>
  <c r="Y524" i="1" s="1"/>
  <c r="AH524" i="1" s="1"/>
  <c r="R538" i="1"/>
  <c r="U392" i="1"/>
  <c r="P311" i="1"/>
  <c r="Y311" i="1" s="1"/>
  <c r="AH311" i="1" s="1"/>
  <c r="T414" i="1"/>
  <c r="AE414" i="1" s="1"/>
  <c r="AN414" i="1" s="1"/>
  <c r="T238" i="1"/>
  <c r="P351" i="1"/>
  <c r="Y351" i="1" s="1"/>
  <c r="AH351" i="1" s="1"/>
  <c r="O402" i="1"/>
  <c r="X402" i="1" s="1"/>
  <c r="AG402" i="1" s="1"/>
  <c r="S434" i="1"/>
  <c r="Q455" i="1"/>
  <c r="V473" i="1"/>
  <c r="O493" i="1"/>
  <c r="X493" i="1" s="1"/>
  <c r="AG493" i="1" s="1"/>
  <c r="P512" i="1"/>
  <c r="Y512" i="1" s="1"/>
  <c r="AH512" i="1" s="1"/>
  <c r="U530" i="1"/>
  <c r="T547" i="1"/>
  <c r="AC547" i="1" s="1"/>
  <c r="AL547" i="1" s="1"/>
  <c r="P560" i="1"/>
  <c r="Y560" i="1" s="1"/>
  <c r="AH560" i="1" s="1"/>
  <c r="Q567" i="1"/>
  <c r="R574" i="1"/>
  <c r="S588" i="1"/>
  <c r="T595" i="1"/>
  <c r="AC595" i="1" s="1"/>
  <c r="AL595" i="1" s="1"/>
  <c r="U602" i="1"/>
  <c r="V609" i="1"/>
  <c r="S192" i="1"/>
  <c r="U241" i="1"/>
  <c r="U279" i="1"/>
  <c r="R305" i="1"/>
  <c r="Q324" i="1"/>
  <c r="Q343" i="1"/>
  <c r="V348" i="1"/>
  <c r="P414" i="1"/>
  <c r="Y414" i="1" s="1"/>
  <c r="O282" i="1"/>
  <c r="X282" i="1" s="1"/>
  <c r="AG282" i="1" s="1"/>
  <c r="R325" i="1"/>
  <c r="R361" i="1"/>
  <c r="S383" i="1"/>
  <c r="T402" i="1"/>
  <c r="AC402" i="1" s="1"/>
  <c r="AL402" i="1" s="1"/>
  <c r="U421" i="1"/>
  <c r="T276" i="1"/>
  <c r="AB276" i="1" s="1"/>
  <c r="AK276" i="1" s="1"/>
  <c r="S328" i="1"/>
  <c r="O362" i="1"/>
  <c r="X362" i="1" s="1"/>
  <c r="AG362" i="1" s="1"/>
  <c r="V386" i="1"/>
  <c r="U411" i="1"/>
  <c r="V426" i="1"/>
  <c r="R439" i="1"/>
  <c r="O449" i="1"/>
  <c r="X449" i="1" s="1"/>
  <c r="AG449" i="1" s="1"/>
  <c r="U458" i="1"/>
  <c r="P468" i="1"/>
  <c r="Y468" i="1" s="1"/>
  <c r="Q487" i="1"/>
  <c r="S496" i="1"/>
  <c r="V505" i="1"/>
  <c r="T515" i="1"/>
  <c r="O525" i="1"/>
  <c r="X525" i="1" s="1"/>
  <c r="AG525" i="1" s="1"/>
  <c r="R534" i="1"/>
  <c r="Q543" i="1"/>
  <c r="R550" i="1"/>
  <c r="S564" i="1"/>
  <c r="T571" i="1"/>
  <c r="U578" i="1"/>
  <c r="V585" i="1"/>
  <c r="O593" i="1"/>
  <c r="X593" i="1" s="1"/>
  <c r="AG593" i="1" s="1"/>
  <c r="P600" i="1"/>
  <c r="Y600" i="1" s="1"/>
  <c r="AH600" i="1" s="1"/>
  <c r="Q607" i="1"/>
  <c r="R163" i="1"/>
  <c r="S227" i="1"/>
  <c r="S265" i="1"/>
  <c r="Q298" i="1"/>
  <c r="P317" i="1"/>
  <c r="Y317" i="1" s="1"/>
  <c r="AH317" i="1" s="1"/>
  <c r="P336" i="1"/>
  <c r="Y336" i="1" s="1"/>
  <c r="AH336" i="1" s="1"/>
  <c r="P355" i="1"/>
  <c r="Y355" i="1" s="1"/>
  <c r="AH355" i="1" s="1"/>
  <c r="T383" i="1"/>
  <c r="V397" i="1"/>
  <c r="P412" i="1"/>
  <c r="Y412" i="1" s="1"/>
  <c r="V422" i="1"/>
  <c r="R432" i="1"/>
  <c r="S441" i="1"/>
  <c r="T448" i="1"/>
  <c r="AC448" i="1" s="1"/>
  <c r="AL448" i="1" s="1"/>
  <c r="U455" i="1"/>
  <c r="V462" i="1"/>
  <c r="O470" i="1"/>
  <c r="X470" i="1" s="1"/>
  <c r="AG470" i="1" s="1"/>
  <c r="P477" i="1"/>
  <c r="Y477" i="1" s="1"/>
  <c r="AH477" i="1" s="1"/>
  <c r="Q484" i="1"/>
  <c r="R491" i="1"/>
  <c r="S505" i="1"/>
  <c r="T512" i="1"/>
  <c r="AC512" i="1" s="1"/>
  <c r="AL512" i="1" s="1"/>
  <c r="U519" i="1"/>
  <c r="V526" i="1"/>
  <c r="O534" i="1"/>
  <c r="X534" i="1" s="1"/>
  <c r="AG534" i="1" s="1"/>
  <c r="P541" i="1"/>
  <c r="Y541" i="1" s="1"/>
  <c r="AH541" i="1" s="1"/>
  <c r="Q548" i="1"/>
  <c r="R555" i="1"/>
  <c r="S569" i="1"/>
  <c r="T576" i="1"/>
  <c r="AE576" i="1" s="1"/>
  <c r="AN576" i="1" s="1"/>
  <c r="U583" i="1"/>
  <c r="V590" i="1"/>
  <c r="O598" i="1"/>
  <c r="X598" i="1" s="1"/>
  <c r="AG598" i="1" s="1"/>
  <c r="P605" i="1"/>
  <c r="Y605" i="1" s="1"/>
  <c r="AH605" i="1" s="1"/>
  <c r="Q612" i="1"/>
  <c r="R619" i="1"/>
  <c r="S633" i="1"/>
  <c r="T640" i="1"/>
  <c r="U647" i="1"/>
  <c r="V235" i="1"/>
  <c r="P312" i="1"/>
  <c r="Y312" i="1" s="1"/>
  <c r="P251" i="1"/>
  <c r="Y251" i="1" s="1"/>
  <c r="AH251" i="1" s="1"/>
  <c r="R351" i="1"/>
  <c r="V396" i="1"/>
  <c r="T434" i="1"/>
  <c r="P319" i="1"/>
  <c r="Y319" i="1" s="1"/>
  <c r="AH319" i="1" s="1"/>
  <c r="O378" i="1"/>
  <c r="X378" i="1" s="1"/>
  <c r="AG378" i="1" s="1"/>
  <c r="U422" i="1"/>
  <c r="R446" i="1"/>
  <c r="O465" i="1"/>
  <c r="X465" i="1" s="1"/>
  <c r="AG465" i="1" s="1"/>
  <c r="P484" i="1"/>
  <c r="Y484" i="1" s="1"/>
  <c r="AH484" i="1" s="1"/>
  <c r="Q503" i="1"/>
  <c r="V521" i="1"/>
  <c r="O541" i="1"/>
  <c r="X541" i="1" s="1"/>
  <c r="AG541" i="1" s="1"/>
  <c r="Q555" i="1"/>
  <c r="T583" i="1"/>
  <c r="V597" i="1"/>
  <c r="Q109" i="1"/>
  <c r="T253" i="1"/>
  <c r="AC253" i="1" s="1"/>
  <c r="AL253" i="1" s="1"/>
  <c r="Q311" i="1"/>
  <c r="O348" i="1"/>
  <c r="X348" i="1" s="1"/>
  <c r="AG348" i="1" s="1"/>
  <c r="S368" i="1"/>
  <c r="P388" i="1"/>
  <c r="Y388" i="1" s="1"/>
  <c r="U406" i="1"/>
  <c r="R422" i="1"/>
  <c r="R435" i="1"/>
  <c r="O446" i="1"/>
  <c r="X446" i="1" s="1"/>
  <c r="AG446" i="1" s="1"/>
  <c r="R455" i="1"/>
  <c r="P465" i="1"/>
  <c r="Y465" i="1" s="1"/>
  <c r="U483" i="1"/>
  <c r="S493" i="1"/>
  <c r="V502" i="1"/>
  <c r="Q512" i="1"/>
  <c r="O522" i="1"/>
  <c r="X522" i="1" s="1"/>
  <c r="AG522" i="1" s="1"/>
  <c r="R531" i="1"/>
  <c r="T540" i="1"/>
  <c r="U559" i="1"/>
  <c r="P569" i="1"/>
  <c r="Y569" i="1" s="1"/>
  <c r="AH569" i="1" s="1"/>
  <c r="V578" i="1"/>
  <c r="Q588" i="1"/>
  <c r="S597" i="1"/>
  <c r="AP597" i="1" s="1"/>
  <c r="R607" i="1"/>
  <c r="AA607" i="1" s="1"/>
  <c r="T616" i="1"/>
  <c r="O626" i="1"/>
  <c r="X626" i="1" s="1"/>
  <c r="AG626" i="1" s="1"/>
  <c r="U635" i="1"/>
  <c r="P645" i="1"/>
  <c r="Y645" i="1" s="1"/>
  <c r="AH645" i="1" s="1"/>
  <c r="P231" i="1"/>
  <c r="Y231" i="1" s="1"/>
  <c r="AH231" i="1" s="1"/>
  <c r="P307" i="1"/>
  <c r="Y307" i="1" s="1"/>
  <c r="AH307" i="1" s="1"/>
  <c r="O345" i="1"/>
  <c r="X345" i="1" s="1"/>
  <c r="AG345" i="1" s="1"/>
  <c r="P376" i="1"/>
  <c r="Y376" i="1" s="1"/>
  <c r="AH376" i="1" s="1"/>
  <c r="V342" i="1"/>
  <c r="O276" i="1"/>
  <c r="X276" i="1" s="1"/>
  <c r="AG276" i="1" s="1"/>
  <c r="S359" i="1"/>
  <c r="R401" i="1"/>
  <c r="S439" i="1"/>
  <c r="R327" i="1"/>
  <c r="P385" i="1"/>
  <c r="Y385" i="1" s="1"/>
  <c r="AH385" i="1" s="1"/>
  <c r="T425" i="1"/>
  <c r="S448" i="1"/>
  <c r="T467" i="1"/>
  <c r="AC467" i="1" s="1"/>
  <c r="AL467" i="1" s="1"/>
  <c r="R486" i="1"/>
  <c r="S524" i="1"/>
  <c r="U542" i="1"/>
  <c r="O557" i="1"/>
  <c r="X557" i="1" s="1"/>
  <c r="AG557" i="1" s="1"/>
  <c r="Q571" i="1"/>
  <c r="T599" i="1"/>
  <c r="Q156" i="1"/>
  <c r="P263" i="1"/>
  <c r="Y263" i="1" s="1"/>
  <c r="AH263" i="1" s="1"/>
  <c r="O316" i="1"/>
  <c r="X316" i="1" s="1"/>
  <c r="AG316" i="1" s="1"/>
  <c r="S351" i="1"/>
  <c r="Q371" i="1"/>
  <c r="V389" i="1"/>
  <c r="P424" i="1"/>
  <c r="Y424" i="1" s="1"/>
  <c r="AH424" i="1" s="1"/>
  <c r="S436" i="1"/>
  <c r="R447" i="1"/>
  <c r="T456" i="1"/>
  <c r="O466" i="1"/>
  <c r="X466" i="1" s="1"/>
  <c r="AG466" i="1" s="1"/>
  <c r="U475" i="1"/>
  <c r="P485" i="1"/>
  <c r="Y485" i="1" s="1"/>
  <c r="AH485" i="1" s="1"/>
  <c r="Q504" i="1"/>
  <c r="S513" i="1"/>
  <c r="V522" i="1"/>
  <c r="T532" i="1"/>
  <c r="AC532" i="1" s="1"/>
  <c r="AL532" i="1" s="1"/>
  <c r="O542" i="1"/>
  <c r="X542" i="1" s="1"/>
  <c r="AG542" i="1" s="1"/>
  <c r="R551" i="1"/>
  <c r="P561" i="1"/>
  <c r="Y561" i="1" s="1"/>
  <c r="AH561" i="1" s="1"/>
  <c r="U579" i="1"/>
  <c r="S589" i="1"/>
  <c r="V598" i="1"/>
  <c r="Q608" i="1"/>
  <c r="O618" i="1"/>
  <c r="X618" i="1" s="1"/>
  <c r="AG618" i="1" s="1"/>
  <c r="R627" i="1"/>
  <c r="T636" i="1"/>
  <c r="AC636" i="1" s="1"/>
  <c r="AL636" i="1" s="1"/>
  <c r="R245" i="1"/>
  <c r="U311" i="1"/>
  <c r="U349" i="1"/>
  <c r="T379" i="1"/>
  <c r="P408" i="1"/>
  <c r="Y408" i="1" s="1"/>
  <c r="AH408" i="1" s="1"/>
  <c r="T429" i="1"/>
  <c r="AC429" i="1" s="1"/>
  <c r="AL429" i="1" s="1"/>
  <c r="T446" i="1"/>
  <c r="V460" i="1"/>
  <c r="P475" i="1"/>
  <c r="Y475" i="1" s="1"/>
  <c r="AH475" i="1" s="1"/>
  <c r="R489" i="1"/>
  <c r="S503" i="1"/>
  <c r="U517" i="1"/>
  <c r="O532" i="1"/>
  <c r="X532" i="1" s="1"/>
  <c r="AG532" i="1" s="1"/>
  <c r="Q546" i="1"/>
  <c r="T574" i="1"/>
  <c r="V588" i="1"/>
  <c r="P603" i="1"/>
  <c r="Y603" i="1" s="1"/>
  <c r="AH603" i="1" s="1"/>
  <c r="V624" i="1"/>
  <c r="R634" i="1"/>
  <c r="V643" i="1"/>
  <c r="R652" i="1"/>
  <c r="AA652" i="1" s="1"/>
  <c r="S666" i="1"/>
  <c r="Q130" i="1"/>
  <c r="P337" i="1"/>
  <c r="Y337" i="1" s="1"/>
  <c r="AH337" i="1" s="1"/>
  <c r="S427" i="1"/>
  <c r="P369" i="1"/>
  <c r="Y369" i="1" s="1"/>
  <c r="U442" i="1"/>
  <c r="S480" i="1"/>
  <c r="R518" i="1"/>
  <c r="S552" i="1"/>
  <c r="O581" i="1"/>
  <c r="X581" i="1" s="1"/>
  <c r="AG581" i="1" s="1"/>
  <c r="P304" i="1"/>
  <c r="Y304" i="1" s="1"/>
  <c r="AH304" i="1" s="1"/>
  <c r="O365" i="1"/>
  <c r="X365" i="1" s="1"/>
  <c r="AG365" i="1" s="1"/>
  <c r="Q403" i="1"/>
  <c r="O433" i="1"/>
  <c r="X433" i="1" s="1"/>
  <c r="AG433" i="1" s="1"/>
  <c r="S453" i="1"/>
  <c r="T472" i="1"/>
  <c r="AC472" i="1" s="1"/>
  <c r="AL472" i="1" s="1"/>
  <c r="U491" i="1"/>
  <c r="S529" i="1"/>
  <c r="T548" i="1"/>
  <c r="AC548" i="1" s="1"/>
  <c r="AL548" i="1" s="1"/>
  <c r="R567" i="1"/>
  <c r="S605" i="1"/>
  <c r="Q624" i="1"/>
  <c r="P386" i="1"/>
  <c r="Y386" i="1" s="1"/>
  <c r="AH386" i="1" s="1"/>
  <c r="V316" i="1"/>
  <c r="T413" i="1"/>
  <c r="O371" i="1"/>
  <c r="X371" i="1" s="1"/>
  <c r="AG371" i="1" s="1"/>
  <c r="V325" i="1"/>
  <c r="Q373" i="1"/>
  <c r="R322" i="1"/>
  <c r="R373" i="1"/>
  <c r="S419" i="1"/>
  <c r="T209" i="1"/>
  <c r="AC209" i="1" s="1"/>
  <c r="AL209" i="1" s="1"/>
  <c r="Q320" i="1"/>
  <c r="R375" i="1"/>
  <c r="O293" i="1"/>
  <c r="X293" i="1" s="1"/>
  <c r="AG293" i="1" s="1"/>
  <c r="T189" i="1"/>
  <c r="AC189" i="1" s="1"/>
  <c r="AL189" i="1" s="1"/>
  <c r="P324" i="1"/>
  <c r="Y324" i="1" s="1"/>
  <c r="AH324" i="1" s="1"/>
  <c r="P383" i="1"/>
  <c r="Y383" i="1" s="1"/>
  <c r="AH383" i="1" s="1"/>
  <c r="U413" i="1"/>
  <c r="Q306" i="1"/>
  <c r="Q221" i="1"/>
  <c r="P415" i="1"/>
  <c r="Y415" i="1" s="1"/>
  <c r="AH415" i="1" s="1"/>
  <c r="T438" i="1"/>
  <c r="V304" i="1"/>
  <c r="S365" i="1"/>
  <c r="T412" i="1"/>
  <c r="R442" i="1"/>
  <c r="P460" i="1"/>
  <c r="Y460" i="1" s="1"/>
  <c r="V477" i="1"/>
  <c r="Q499" i="1"/>
  <c r="O517" i="1"/>
  <c r="X517" i="1" s="1"/>
  <c r="AG517" i="1" s="1"/>
  <c r="U534" i="1"/>
  <c r="Q159" i="1"/>
  <c r="O349" i="1"/>
  <c r="X349" i="1" s="1"/>
  <c r="AG349" i="1" s="1"/>
  <c r="V404" i="1"/>
  <c r="P377" i="1"/>
  <c r="Y377" i="1" s="1"/>
  <c r="AH377" i="1" s="1"/>
  <c r="P428" i="1"/>
  <c r="Y428" i="1" s="1"/>
  <c r="AH428" i="1" s="1"/>
  <c r="T459" i="1"/>
  <c r="T483" i="1"/>
  <c r="Q507" i="1"/>
  <c r="T535" i="1"/>
  <c r="AC535" i="1" s="1"/>
  <c r="AL535" i="1" s="1"/>
  <c r="U554" i="1"/>
  <c r="P576" i="1"/>
  <c r="Y576" i="1" s="1"/>
  <c r="AH576" i="1" s="1"/>
  <c r="O585" i="1"/>
  <c r="X585" i="1" s="1"/>
  <c r="AG585" i="1" s="1"/>
  <c r="V593" i="1"/>
  <c r="S604" i="1"/>
  <c r="P149" i="1"/>
  <c r="Y149" i="1" s="1"/>
  <c r="AH149" i="1" s="1"/>
  <c r="R232" i="1"/>
  <c r="Q289" i="1"/>
  <c r="U314" i="1"/>
  <c r="T369" i="1"/>
  <c r="AD369" i="1" s="1"/>
  <c r="AM369" i="1" s="1"/>
  <c r="Q232" i="1"/>
  <c r="U315" i="1"/>
  <c r="R393" i="1"/>
  <c r="V416" i="1"/>
  <c r="P186" i="1"/>
  <c r="Y186" i="1" s="1"/>
  <c r="AH186" i="1" s="1"/>
  <c r="S309" i="1"/>
  <c r="T354" i="1"/>
  <c r="Q392" i="1"/>
  <c r="R420" i="1"/>
  <c r="R436" i="1"/>
  <c r="T451" i="1"/>
  <c r="Q463" i="1"/>
  <c r="Q475" i="1"/>
  <c r="O513" i="1"/>
  <c r="X513" i="1" s="1"/>
  <c r="AG513" i="1" s="1"/>
  <c r="Q527" i="1"/>
  <c r="Q539" i="1"/>
  <c r="S548" i="1"/>
  <c r="Q559" i="1"/>
  <c r="P568" i="1"/>
  <c r="Y568" i="1" s="1"/>
  <c r="AH568" i="1" s="1"/>
  <c r="O577" i="1"/>
  <c r="X577" i="1" s="1"/>
  <c r="AG577" i="1" s="1"/>
  <c r="T587" i="1"/>
  <c r="AC587" i="1" s="1"/>
  <c r="AL587" i="1" s="1"/>
  <c r="S596" i="1"/>
  <c r="O183" i="1"/>
  <c r="X183" i="1" s="1"/>
  <c r="AG183" i="1" s="1"/>
  <c r="S246" i="1"/>
  <c r="V321" i="1"/>
  <c r="S345" i="1"/>
  <c r="V365" i="1"/>
  <c r="Q387" i="1"/>
  <c r="O405" i="1"/>
  <c r="X405" i="1" s="1"/>
  <c r="AG405" i="1" s="1"/>
  <c r="S420" i="1"/>
  <c r="U434" i="1"/>
  <c r="P445" i="1"/>
  <c r="Y445" i="1" s="1"/>
  <c r="AH445" i="1" s="1"/>
  <c r="O454" i="1"/>
  <c r="X454" i="1" s="1"/>
  <c r="AG454" i="1" s="1"/>
  <c r="T464" i="1"/>
  <c r="AC464" i="1" s="1"/>
  <c r="AL464" i="1" s="1"/>
  <c r="S473" i="1"/>
  <c r="P493" i="1"/>
  <c r="Y493" i="1" s="1"/>
  <c r="AH493" i="1" s="1"/>
  <c r="O502" i="1"/>
  <c r="X502" i="1" s="1"/>
  <c r="AG502" i="1" s="1"/>
  <c r="V510" i="1"/>
  <c r="S521" i="1"/>
  <c r="R539" i="1"/>
  <c r="O550" i="1"/>
  <c r="X550" i="1" s="1"/>
  <c r="AG550" i="1" s="1"/>
  <c r="V558" i="1"/>
  <c r="U567" i="1"/>
  <c r="R587" i="1"/>
  <c r="Q596" i="1"/>
  <c r="V606" i="1"/>
  <c r="U615" i="1"/>
  <c r="T624" i="1"/>
  <c r="AD624" i="1" s="1"/>
  <c r="AM624" i="1" s="1"/>
  <c r="R635" i="1"/>
  <c r="Q644" i="1"/>
  <c r="T212" i="1"/>
  <c r="U364" i="1"/>
  <c r="P387" i="1"/>
  <c r="Y387" i="1" s="1"/>
  <c r="AH387" i="1" s="1"/>
  <c r="V171" i="1"/>
  <c r="Q352" i="1"/>
  <c r="Q416" i="1"/>
  <c r="U450" i="1"/>
  <c r="U474" i="1"/>
  <c r="R498" i="1"/>
  <c r="U526" i="1"/>
  <c r="P548" i="1"/>
  <c r="Y548" i="1" s="1"/>
  <c r="AH548" i="1" s="1"/>
  <c r="V565" i="1"/>
  <c r="Q587" i="1"/>
  <c r="O605" i="1"/>
  <c r="X605" i="1" s="1"/>
  <c r="AG605" i="1" s="1"/>
  <c r="T234" i="1"/>
  <c r="AC234" i="1" s="1"/>
  <c r="AL234" i="1" s="1"/>
  <c r="T320" i="1"/>
  <c r="Z320" i="1" s="1"/>
  <c r="T359" i="1"/>
  <c r="AC359" i="1" s="1"/>
  <c r="AL359" i="1" s="1"/>
  <c r="U382" i="1"/>
  <c r="Q411" i="1"/>
  <c r="U428" i="1"/>
  <c r="U443" i="1"/>
  <c r="O458" i="1"/>
  <c r="X458" i="1" s="1"/>
  <c r="AG458" i="1" s="1"/>
  <c r="S469" i="1"/>
  <c r="S481" i="1"/>
  <c r="U495" i="1"/>
  <c r="U507" i="1"/>
  <c r="R519" i="1"/>
  <c r="S533" i="1"/>
  <c r="S545" i="1"/>
  <c r="S557" i="1"/>
  <c r="U571" i="1"/>
  <c r="R583" i="1"/>
  <c r="R595" i="1"/>
  <c r="S609" i="1"/>
  <c r="AP609" i="1" s="1"/>
  <c r="S621" i="1"/>
  <c r="P633" i="1"/>
  <c r="Y633" i="1" s="1"/>
  <c r="AH633" i="1" s="1"/>
  <c r="R647" i="1"/>
  <c r="R283" i="1"/>
  <c r="S335" i="1"/>
  <c r="Q383" i="1"/>
  <c r="S410" i="1"/>
  <c r="V341" i="1"/>
  <c r="P411" i="1"/>
  <c r="Y411" i="1" s="1"/>
  <c r="AH411" i="1" s="1"/>
  <c r="S269" i="1"/>
  <c r="T372" i="1"/>
  <c r="O475" i="1"/>
  <c r="X475" i="1" s="1"/>
  <c r="AG475" i="1" s="1"/>
  <c r="P173" i="1"/>
  <c r="Y173" i="1" s="1"/>
  <c r="AH173" i="1" s="1"/>
  <c r="R376" i="1"/>
  <c r="Q277" i="1"/>
  <c r="V368" i="1"/>
  <c r="V255" i="1"/>
  <c r="P353" i="1"/>
  <c r="Y353" i="1" s="1"/>
  <c r="AH353" i="1" s="1"/>
  <c r="Q382" i="1"/>
  <c r="T410" i="1"/>
  <c r="U433" i="1"/>
  <c r="V271" i="1"/>
  <c r="S357" i="1"/>
  <c r="U403" i="1"/>
  <c r="T295" i="1"/>
  <c r="AC295" i="1" s="1"/>
  <c r="AL295" i="1" s="1"/>
  <c r="P395" i="1"/>
  <c r="Y395" i="1" s="1"/>
  <c r="AH395" i="1" s="1"/>
  <c r="V432" i="1"/>
  <c r="R295" i="1"/>
  <c r="R380" i="1"/>
  <c r="U302" i="1"/>
  <c r="Q362" i="1"/>
  <c r="O396" i="1"/>
  <c r="X396" i="1" s="1"/>
  <c r="AG396" i="1" s="1"/>
  <c r="R429" i="1"/>
  <c r="P241" i="1"/>
  <c r="Y241" i="1" s="1"/>
  <c r="AH241" i="1" s="1"/>
  <c r="V330" i="1"/>
  <c r="O394" i="1"/>
  <c r="X394" i="1" s="1"/>
  <c r="AG394" i="1" s="1"/>
  <c r="T428" i="1"/>
  <c r="AC428" i="1" s="1"/>
  <c r="AL428" i="1" s="1"/>
  <c r="U470" i="1"/>
  <c r="S488" i="1"/>
  <c r="R506" i="1"/>
  <c r="T527" i="1"/>
  <c r="AC527" i="1" s="1"/>
  <c r="AL527" i="1" s="1"/>
  <c r="P299" i="1"/>
  <c r="Y299" i="1" s="1"/>
  <c r="AH299" i="1" s="1"/>
  <c r="Q386" i="1"/>
  <c r="R433" i="1"/>
  <c r="R333" i="1"/>
  <c r="R415" i="1"/>
  <c r="V497" i="1"/>
  <c r="P544" i="1"/>
  <c r="Y544" i="1" s="1"/>
  <c r="AH544" i="1" s="1"/>
  <c r="V561" i="1"/>
  <c r="AP561" i="1" s="1"/>
  <c r="AQ561" i="1" s="1"/>
  <c r="U570" i="1"/>
  <c r="T579" i="1"/>
  <c r="R590" i="1"/>
  <c r="Q599" i="1"/>
  <c r="P608" i="1"/>
  <c r="Y608" i="1" s="1"/>
  <c r="AH608" i="1" s="1"/>
  <c r="R207" i="1"/>
  <c r="U260" i="1"/>
  <c r="S300" i="1"/>
  <c r="O329" i="1"/>
  <c r="X329" i="1" s="1"/>
  <c r="AG329" i="1" s="1"/>
  <c r="V399" i="1"/>
  <c r="V296" i="1"/>
  <c r="Q344" i="1"/>
  <c r="P379" i="1"/>
  <c r="Y379" i="1" s="1"/>
  <c r="AH379" i="1" s="1"/>
  <c r="S407" i="1"/>
  <c r="P431" i="1"/>
  <c r="Y431" i="1" s="1"/>
  <c r="AH431" i="1" s="1"/>
  <c r="S250" i="1"/>
  <c r="O338" i="1"/>
  <c r="X338" i="1" s="1"/>
  <c r="AG338" i="1" s="1"/>
  <c r="S373" i="1"/>
  <c r="S405" i="1"/>
  <c r="V429" i="1"/>
  <c r="S444" i="1"/>
  <c r="P456" i="1"/>
  <c r="Y456" i="1" s="1"/>
  <c r="AH456" i="1" s="1"/>
  <c r="R470" i="1"/>
  <c r="R482" i="1"/>
  <c r="R494" i="1"/>
  <c r="S508" i="1"/>
  <c r="P520" i="1"/>
  <c r="Y520" i="1" s="1"/>
  <c r="AH520" i="1" s="1"/>
  <c r="P532" i="1"/>
  <c r="Y532" i="1" s="1"/>
  <c r="AH532" i="1" s="1"/>
  <c r="O545" i="1"/>
  <c r="X545" i="1" s="1"/>
  <c r="AG545" i="1" s="1"/>
  <c r="V553" i="1"/>
  <c r="U562" i="1"/>
  <c r="R582" i="1"/>
  <c r="Q591" i="1"/>
  <c r="V601" i="1"/>
  <c r="U610" i="1"/>
  <c r="O275" i="1"/>
  <c r="X275" i="1" s="1"/>
  <c r="AG275" i="1" s="1"/>
  <c r="T307" i="1"/>
  <c r="R331" i="1"/>
  <c r="U358" i="1"/>
  <c r="S376" i="1"/>
  <c r="R394" i="1"/>
  <c r="T415" i="1"/>
  <c r="AC415" i="1" s="1"/>
  <c r="AL415" i="1" s="1"/>
  <c r="T427" i="1"/>
  <c r="Z427" i="1" s="1"/>
  <c r="R459" i="1"/>
  <c r="Q468" i="1"/>
  <c r="V478" i="1"/>
  <c r="U487" i="1"/>
  <c r="T496" i="1"/>
  <c r="R507" i="1"/>
  <c r="Q516" i="1"/>
  <c r="P525" i="1"/>
  <c r="Y525" i="1" s="1"/>
  <c r="AH525" i="1" s="1"/>
  <c r="U535" i="1"/>
  <c r="T544" i="1"/>
  <c r="AC544" i="1" s="1"/>
  <c r="AL544" i="1" s="1"/>
  <c r="S553" i="1"/>
  <c r="Q564" i="1"/>
  <c r="P573" i="1"/>
  <c r="Y573" i="1" s="1"/>
  <c r="AH573" i="1" s="1"/>
  <c r="O582" i="1"/>
  <c r="X582" i="1" s="1"/>
  <c r="AG582" i="1" s="1"/>
  <c r="T592" i="1"/>
  <c r="AC592" i="1" s="1"/>
  <c r="AL592" i="1" s="1"/>
  <c r="S601" i="1"/>
  <c r="P621" i="1"/>
  <c r="Y621" i="1" s="1"/>
  <c r="O630" i="1"/>
  <c r="X630" i="1" s="1"/>
  <c r="AG630" i="1" s="1"/>
  <c r="V638" i="1"/>
  <c r="T118" i="1"/>
  <c r="U273" i="1"/>
  <c r="Q180" i="1"/>
  <c r="T366" i="1"/>
  <c r="S415" i="1"/>
  <c r="Q294" i="1"/>
  <c r="R391" i="1"/>
  <c r="Q435" i="1"/>
  <c r="S460" i="1"/>
  <c r="AP460" i="1" s="1"/>
  <c r="AQ460" i="1" s="1"/>
  <c r="O489" i="1"/>
  <c r="X489" i="1" s="1"/>
  <c r="AG489" i="1" s="1"/>
  <c r="S512" i="1"/>
  <c r="P536" i="1"/>
  <c r="Y536" i="1" s="1"/>
  <c r="AH536" i="1" s="1"/>
  <c r="U558" i="1"/>
  <c r="S576" i="1"/>
  <c r="AB576" i="1" s="1"/>
  <c r="AK576" i="1" s="1"/>
  <c r="R594" i="1"/>
  <c r="R178" i="1"/>
  <c r="S291" i="1"/>
  <c r="T339" i="1"/>
  <c r="AA339" i="1" s="1"/>
  <c r="V373" i="1"/>
  <c r="O397" i="1"/>
  <c r="X397" i="1" s="1"/>
  <c r="AG397" i="1" s="1"/>
  <c r="R419" i="1"/>
  <c r="R438" i="1"/>
  <c r="V450" i="1"/>
  <c r="T476" i="1"/>
  <c r="T488" i="1"/>
  <c r="T500" i="1"/>
  <c r="V514" i="1"/>
  <c r="T552" i="1"/>
  <c r="AC552" i="1" s="1"/>
  <c r="AL552" i="1" s="1"/>
  <c r="T564" i="1"/>
  <c r="Q576" i="1"/>
  <c r="Z576" i="1" s="1"/>
  <c r="T628" i="1"/>
  <c r="AC628" i="1" s="1"/>
  <c r="AL628" i="1" s="1"/>
  <c r="Q640" i="1"/>
  <c r="S316" i="1"/>
  <c r="V361" i="1"/>
  <c r="R229" i="1"/>
  <c r="O304" i="1"/>
  <c r="X304" i="1" s="1"/>
  <c r="AG304" i="1" s="1"/>
  <c r="T382" i="1"/>
  <c r="AC382" i="1" s="1"/>
  <c r="AL382" i="1" s="1"/>
  <c r="U429" i="1"/>
  <c r="P345" i="1"/>
  <c r="Y345" i="1" s="1"/>
  <c r="AH345" i="1" s="1"/>
  <c r="O410" i="1"/>
  <c r="X410" i="1" s="1"/>
  <c r="AG410" i="1" s="1"/>
  <c r="P614" i="1"/>
  <c r="Y614" i="1" s="1"/>
  <c r="AH614" i="1" s="1"/>
  <c r="P165" i="1"/>
  <c r="Y165" i="1" s="1"/>
  <c r="Q286" i="1"/>
  <c r="S321" i="1"/>
  <c r="T362" i="1"/>
  <c r="O416" i="1"/>
  <c r="X416" i="1" s="1"/>
  <c r="AG416" i="1" s="1"/>
  <c r="O306" i="1"/>
  <c r="X306" i="1" s="1"/>
  <c r="AG306" i="1" s="1"/>
  <c r="V309" i="1"/>
  <c r="T406" i="1"/>
  <c r="R314" i="1"/>
  <c r="Q312" i="1"/>
  <c r="Q410" i="1"/>
  <c r="P267" i="1"/>
  <c r="Y267" i="1" s="1"/>
  <c r="V402" i="1"/>
  <c r="AP402" i="1" s="1"/>
  <c r="S456" i="1"/>
  <c r="P492" i="1"/>
  <c r="Y492" i="1" s="1"/>
  <c r="AH492" i="1" s="1"/>
  <c r="Q531" i="1"/>
  <c r="O330" i="1"/>
  <c r="X330" i="1" s="1"/>
  <c r="AG330" i="1" s="1"/>
  <c r="O161" i="1"/>
  <c r="X161" i="1" s="1"/>
  <c r="AG161" i="1" s="1"/>
  <c r="P422" i="1"/>
  <c r="Y422" i="1" s="1"/>
  <c r="AH422" i="1" s="1"/>
  <c r="U478" i="1"/>
  <c r="R526" i="1"/>
  <c r="T563" i="1"/>
  <c r="Q583" i="1"/>
  <c r="O601" i="1"/>
  <c r="X601" i="1" s="1"/>
  <c r="AG601" i="1" s="1"/>
  <c r="S221" i="1"/>
  <c r="O310" i="1"/>
  <c r="X310" i="1" s="1"/>
  <c r="AG310" i="1" s="1"/>
  <c r="O324" i="1"/>
  <c r="X324" i="1" s="1"/>
  <c r="AG324" i="1" s="1"/>
  <c r="R306" i="1"/>
  <c r="O436" i="1"/>
  <c r="X436" i="1" s="1"/>
  <c r="AG436" i="1" s="1"/>
  <c r="R346" i="1"/>
  <c r="U446" i="1"/>
  <c r="O473" i="1"/>
  <c r="X473" i="1" s="1"/>
  <c r="AG473" i="1" s="1"/>
  <c r="U498" i="1"/>
  <c r="U522" i="1"/>
  <c r="U546" i="1"/>
  <c r="R566" i="1"/>
  <c r="P584" i="1"/>
  <c r="Y584" i="1" s="1"/>
  <c r="AH584" i="1" s="1"/>
  <c r="T603" i="1"/>
  <c r="P237" i="1"/>
  <c r="Y237" i="1" s="1"/>
  <c r="AH237" i="1" s="1"/>
  <c r="R362" i="1"/>
  <c r="O430" i="1"/>
  <c r="X430" i="1" s="1"/>
  <c r="AG430" i="1" s="1"/>
  <c r="Q452" i="1"/>
  <c r="U471" i="1"/>
  <c r="S489" i="1"/>
  <c r="P509" i="1"/>
  <c r="Y509" i="1" s="1"/>
  <c r="AH509" i="1" s="1"/>
  <c r="T528" i="1"/>
  <c r="O566" i="1"/>
  <c r="X566" i="1" s="1"/>
  <c r="AG566" i="1" s="1"/>
  <c r="S585" i="1"/>
  <c r="AP585" i="1" s="1"/>
  <c r="R603" i="1"/>
  <c r="V622" i="1"/>
  <c r="S334" i="1"/>
  <c r="U377" i="1"/>
  <c r="T335" i="1"/>
  <c r="AD335" i="1" s="1"/>
  <c r="AM335" i="1" s="1"/>
  <c r="S544" i="1"/>
  <c r="P580" i="1"/>
  <c r="Y580" i="1" s="1"/>
  <c r="AH580" i="1" s="1"/>
  <c r="V210" i="1"/>
  <c r="V353" i="1"/>
  <c r="R402" i="1"/>
  <c r="P441" i="1"/>
  <c r="Y441" i="1" s="1"/>
  <c r="AH441" i="1" s="1"/>
  <c r="R467" i="1"/>
  <c r="V490" i="1"/>
  <c r="P517" i="1"/>
  <c r="Y517" i="1" s="1"/>
  <c r="AH517" i="1" s="1"/>
  <c r="R543" i="1"/>
  <c r="V566" i="1"/>
  <c r="P593" i="1"/>
  <c r="Y593" i="1" s="1"/>
  <c r="AH593" i="1" s="1"/>
  <c r="V618" i="1"/>
  <c r="V642" i="1"/>
  <c r="O326" i="1"/>
  <c r="X326" i="1" s="1"/>
  <c r="AG326" i="1" s="1"/>
  <c r="P382" i="1"/>
  <c r="Y382" i="1" s="1"/>
  <c r="AH382" i="1" s="1"/>
  <c r="O392" i="1"/>
  <c r="X392" i="1" s="1"/>
  <c r="AG392" i="1" s="1"/>
  <c r="R359" i="1"/>
  <c r="U438" i="1"/>
  <c r="AD438" i="1" s="1"/>
  <c r="AM438" i="1" s="1"/>
  <c r="U462" i="1"/>
  <c r="Q491" i="1"/>
  <c r="U514" i="1"/>
  <c r="U538" i="1"/>
  <c r="S560" i="1"/>
  <c r="R578" i="1"/>
  <c r="P596" i="1"/>
  <c r="Y596" i="1" s="1"/>
  <c r="AH596" i="1" s="1"/>
  <c r="T196" i="1"/>
  <c r="AC196" i="1" s="1"/>
  <c r="AL196" i="1" s="1"/>
  <c r="O297" i="1"/>
  <c r="X297" i="1" s="1"/>
  <c r="AG297" i="1" s="1"/>
  <c r="T375" i="1"/>
  <c r="AC375" i="1" s="1"/>
  <c r="AL375" i="1" s="1"/>
  <c r="T399" i="1"/>
  <c r="AC399" i="1" s="1"/>
  <c r="AL399" i="1" s="1"/>
  <c r="P421" i="1"/>
  <c r="Y421" i="1" s="1"/>
  <c r="AH421" i="1" s="1"/>
  <c r="P440" i="1"/>
  <c r="Y440" i="1" s="1"/>
  <c r="AH440" i="1" s="1"/>
  <c r="U451" i="1"/>
  <c r="U463" i="1"/>
  <c r="O478" i="1"/>
  <c r="X478" i="1" s="1"/>
  <c r="AG478" i="1" s="1"/>
  <c r="O490" i="1"/>
  <c r="X490" i="1" s="1"/>
  <c r="AG490" i="1" s="1"/>
  <c r="S501" i="1"/>
  <c r="U515" i="1"/>
  <c r="U527" i="1"/>
  <c r="U539" i="1"/>
  <c r="O554" i="1"/>
  <c r="X554" i="1" s="1"/>
  <c r="AG554" i="1" s="1"/>
  <c r="S565" i="1"/>
  <c r="S577" i="1"/>
  <c r="U591" i="1"/>
  <c r="U603" i="1"/>
  <c r="R615" i="1"/>
  <c r="S629" i="1"/>
  <c r="S641" i="1"/>
  <c r="U219" i="1"/>
  <c r="R321" i="1"/>
  <c r="O401" i="1"/>
  <c r="X401" i="1" s="1"/>
  <c r="AG401" i="1" s="1"/>
  <c r="U453" i="1"/>
  <c r="S471" i="1"/>
  <c r="V492" i="1"/>
  <c r="T510" i="1"/>
  <c r="U549" i="1"/>
  <c r="S567" i="1"/>
  <c r="R585" i="1"/>
  <c r="T606" i="1"/>
  <c r="P620" i="1"/>
  <c r="Y620" i="1" s="1"/>
  <c r="AH620" i="1" s="1"/>
  <c r="O632" i="1"/>
  <c r="X632" i="1" s="1"/>
  <c r="AG632" i="1" s="1"/>
  <c r="Q646" i="1"/>
  <c r="V655" i="1"/>
  <c r="U664" i="1"/>
  <c r="Q370" i="1"/>
  <c r="P300" i="1"/>
  <c r="Y300" i="1" s="1"/>
  <c r="AH300" i="1" s="1"/>
  <c r="V489" i="1"/>
  <c r="V573" i="1"/>
  <c r="U187" i="1"/>
  <c r="O342" i="1"/>
  <c r="X342" i="1" s="1"/>
  <c r="AG342" i="1" s="1"/>
  <c r="V438" i="1"/>
  <c r="R463" i="1"/>
  <c r="V486" i="1"/>
  <c r="R515" i="1"/>
  <c r="V538" i="1"/>
  <c r="V562" i="1"/>
  <c r="R591" i="1"/>
  <c r="V614" i="1"/>
  <c r="R264" i="1"/>
  <c r="S356" i="1"/>
  <c r="R406" i="1"/>
  <c r="T435" i="1"/>
  <c r="Z435" i="1" s="1"/>
  <c r="S455" i="1"/>
  <c r="Q474" i="1"/>
  <c r="U493" i="1"/>
  <c r="P531" i="1"/>
  <c r="Y531" i="1" s="1"/>
  <c r="AH531" i="1" s="1"/>
  <c r="T550" i="1"/>
  <c r="R569" i="1"/>
  <c r="O588" i="1"/>
  <c r="X588" i="1" s="1"/>
  <c r="AG588" i="1" s="1"/>
  <c r="S607" i="1"/>
  <c r="R621" i="1"/>
  <c r="U633" i="1"/>
  <c r="U646" i="1"/>
  <c r="U656" i="1"/>
  <c r="P666" i="1"/>
  <c r="Y666" i="1" s="1"/>
  <c r="AH666" i="1" s="1"/>
  <c r="U183" i="1"/>
  <c r="O322" i="1"/>
  <c r="X322" i="1" s="1"/>
  <c r="AG322" i="1" s="1"/>
  <c r="V358" i="1"/>
  <c r="R387" i="1"/>
  <c r="U415" i="1"/>
  <c r="V434" i="1"/>
  <c r="S450" i="1"/>
  <c r="U464" i="1"/>
  <c r="O479" i="1"/>
  <c r="X479" i="1" s="1"/>
  <c r="AG479" i="1" s="1"/>
  <c r="Q493" i="1"/>
  <c r="T521" i="1"/>
  <c r="AB521" i="1" s="1"/>
  <c r="AK521" i="1" s="1"/>
  <c r="V535" i="1"/>
  <c r="P550" i="1"/>
  <c r="Y550" i="1" s="1"/>
  <c r="AH550" i="1" s="1"/>
  <c r="R564" i="1"/>
  <c r="S578" i="1"/>
  <c r="U592" i="1"/>
  <c r="O607" i="1"/>
  <c r="X607" i="1" s="1"/>
  <c r="AG607" i="1" s="1"/>
  <c r="V617" i="1"/>
  <c r="V636" i="1"/>
  <c r="R646" i="1"/>
  <c r="Q654" i="1"/>
  <c r="R661" i="1"/>
  <c r="Q264" i="1"/>
  <c r="P399" i="1"/>
  <c r="Y399" i="1" s="1"/>
  <c r="AH399" i="1" s="1"/>
  <c r="T322" i="1"/>
  <c r="AC322" i="1" s="1"/>
  <c r="AL322" i="1" s="1"/>
  <c r="S424" i="1"/>
  <c r="AP424" i="1" s="1"/>
  <c r="AQ424" i="1" s="1"/>
  <c r="R466" i="1"/>
  <c r="P504" i="1"/>
  <c r="Y504" i="1" s="1"/>
  <c r="AH504" i="1" s="1"/>
  <c r="V541" i="1"/>
  <c r="R570" i="1"/>
  <c r="U598" i="1"/>
  <c r="P349" i="1"/>
  <c r="Y349" i="1" s="1"/>
  <c r="AH349" i="1" s="1"/>
  <c r="O389" i="1"/>
  <c r="X389" i="1" s="1"/>
  <c r="AG389" i="1" s="1"/>
  <c r="S465" i="1"/>
  <c r="T484" i="1"/>
  <c r="R503" i="1"/>
  <c r="S541" i="1"/>
  <c r="AP541" i="1" s="1"/>
  <c r="AQ541" i="1" s="1"/>
  <c r="Q560" i="1"/>
  <c r="R579" i="1"/>
  <c r="P617" i="1"/>
  <c r="Y617" i="1" s="1"/>
  <c r="AH617" i="1" s="1"/>
  <c r="Q636" i="1"/>
  <c r="T240" i="1"/>
  <c r="AC240" i="1" s="1"/>
  <c r="AL240" i="1" s="1"/>
  <c r="R347" i="1"/>
  <c r="U402" i="1"/>
  <c r="P432" i="1"/>
  <c r="Y432" i="1" s="1"/>
  <c r="AH432" i="1" s="1"/>
  <c r="V452" i="1"/>
  <c r="P491" i="1"/>
  <c r="Y491" i="1" s="1"/>
  <c r="AH491" i="1" s="1"/>
  <c r="U509" i="1"/>
  <c r="R529" i="1"/>
  <c r="O548" i="1"/>
  <c r="X548" i="1" s="1"/>
  <c r="AG548" i="1" s="1"/>
  <c r="T566" i="1"/>
  <c r="Q586" i="1"/>
  <c r="V604" i="1"/>
  <c r="S619" i="1"/>
  <c r="S632" i="1"/>
  <c r="O645" i="1"/>
  <c r="X645" i="1" s="1"/>
  <c r="AG645" i="1" s="1"/>
  <c r="Q665" i="1"/>
  <c r="O266" i="1"/>
  <c r="X266" i="1" s="1"/>
  <c r="AG266" i="1" s="1"/>
  <c r="R317" i="1"/>
  <c r="Q355" i="1"/>
  <c r="U383" i="1"/>
  <c r="Q412" i="1"/>
  <c r="S432" i="1"/>
  <c r="U448" i="1"/>
  <c r="O463" i="1"/>
  <c r="X463" i="1" s="1"/>
  <c r="AG463" i="1" s="1"/>
  <c r="Q477" i="1"/>
  <c r="T505" i="1"/>
  <c r="AE505" i="1" s="1"/>
  <c r="AN505" i="1" s="1"/>
  <c r="V519" i="1"/>
  <c r="P534" i="1"/>
  <c r="Y534" i="1" s="1"/>
  <c r="AH534" i="1" s="1"/>
  <c r="R548" i="1"/>
  <c r="S562" i="1"/>
  <c r="U576" i="1"/>
  <c r="O591" i="1"/>
  <c r="X591" i="1" s="1"/>
  <c r="AG591" i="1" s="1"/>
  <c r="Q605" i="1"/>
  <c r="U616" i="1"/>
  <c r="Q626" i="1"/>
  <c r="T635" i="1"/>
  <c r="AC635" i="1" s="1"/>
  <c r="AL635" i="1" s="1"/>
  <c r="Q645" i="1"/>
  <c r="R653" i="1"/>
  <c r="O309" i="1"/>
  <c r="X309" i="1" s="1"/>
  <c r="AG309" i="1" s="1"/>
  <c r="S377" i="1"/>
  <c r="R428" i="1"/>
  <c r="V459" i="1"/>
  <c r="R488" i="1"/>
  <c r="AA488" i="1" s="1"/>
  <c r="U516" i="1"/>
  <c r="Q545" i="1"/>
  <c r="T573" i="1"/>
  <c r="P602" i="1"/>
  <c r="Y602" i="1" s="1"/>
  <c r="AH602" i="1" s="1"/>
  <c r="P624" i="1"/>
  <c r="Y624" i="1" s="1"/>
  <c r="AH624" i="1" s="1"/>
  <c r="P643" i="1"/>
  <c r="Y643" i="1" s="1"/>
  <c r="AH643" i="1" s="1"/>
  <c r="V658" i="1"/>
  <c r="V568" i="1"/>
  <c r="U360" i="1"/>
  <c r="T397" i="1"/>
  <c r="AA397" i="1" s="1"/>
  <c r="T298" i="1"/>
  <c r="AE298" i="1" s="1"/>
  <c r="AN298" i="1" s="1"/>
  <c r="P391" i="1"/>
  <c r="Y391" i="1" s="1"/>
  <c r="AH391" i="1" s="1"/>
  <c r="P439" i="1"/>
  <c r="Y439" i="1" s="1"/>
  <c r="AH439" i="1" s="1"/>
  <c r="T364" i="1"/>
  <c r="R412" i="1"/>
  <c r="S367" i="1"/>
  <c r="O440" i="1"/>
  <c r="X440" i="1" s="1"/>
  <c r="AG440" i="1" s="1"/>
  <c r="V415" i="1"/>
  <c r="Q434" i="1"/>
  <c r="U355" i="1"/>
  <c r="R474" i="1"/>
  <c r="R360" i="1"/>
  <c r="S395" i="1"/>
  <c r="U363" i="1"/>
  <c r="R450" i="1"/>
  <c r="R502" i="1"/>
  <c r="Q551" i="1"/>
  <c r="S572" i="1"/>
  <c r="P592" i="1"/>
  <c r="Y592" i="1" s="1"/>
  <c r="AH592" i="1" s="1"/>
  <c r="U74" i="1"/>
  <c r="Q270" i="1"/>
  <c r="U333" i="1"/>
  <c r="P198" i="1"/>
  <c r="Y198" i="1" s="1"/>
  <c r="U353" i="1"/>
  <c r="O412" i="1"/>
  <c r="X412" i="1" s="1"/>
  <c r="AG412" i="1" s="1"/>
  <c r="U297" i="1"/>
  <c r="T380" i="1"/>
  <c r="AC380" i="1" s="1"/>
  <c r="AL380" i="1" s="1"/>
  <c r="U432" i="1"/>
  <c r="O461" i="1"/>
  <c r="X461" i="1" s="1"/>
  <c r="AG461" i="1" s="1"/>
  <c r="S484" i="1"/>
  <c r="U510" i="1"/>
  <c r="O537" i="1"/>
  <c r="X537" i="1" s="1"/>
  <c r="AG537" i="1" s="1"/>
  <c r="T555" i="1"/>
  <c r="Q575" i="1"/>
  <c r="U594" i="1"/>
  <c r="O127" i="1"/>
  <c r="X127" i="1" s="1"/>
  <c r="AG127" i="1" s="1"/>
  <c r="V340" i="1"/>
  <c r="P380" i="1"/>
  <c r="Y380" i="1" s="1"/>
  <c r="P418" i="1"/>
  <c r="Y418" i="1" s="1"/>
  <c r="AH418" i="1" s="1"/>
  <c r="R443" i="1"/>
  <c r="P461" i="1"/>
  <c r="Y461" i="1" s="1"/>
  <c r="AH461" i="1" s="1"/>
  <c r="T480" i="1"/>
  <c r="AC480" i="1" s="1"/>
  <c r="AL480" i="1" s="1"/>
  <c r="Q500" i="1"/>
  <c r="O518" i="1"/>
  <c r="X518" i="1" s="1"/>
  <c r="AG518" i="1" s="1"/>
  <c r="S537" i="1"/>
  <c r="P557" i="1"/>
  <c r="Y557" i="1" s="1"/>
  <c r="AH557" i="1" s="1"/>
  <c r="V574" i="1"/>
  <c r="O614" i="1"/>
  <c r="X614" i="1" s="1"/>
  <c r="AG614" i="1" s="1"/>
  <c r="U631" i="1"/>
  <c r="T180" i="1"/>
  <c r="R425" i="1"/>
  <c r="T404" i="1"/>
  <c r="AA404" i="1" s="1"/>
  <c r="V469" i="1"/>
  <c r="R562" i="1"/>
  <c r="U301" i="1"/>
  <c r="R378" i="1"/>
  <c r="V425" i="1"/>
  <c r="P453" i="1"/>
  <c r="Y453" i="1" s="1"/>
  <c r="AH453" i="1" s="1"/>
  <c r="R479" i="1"/>
  <c r="P505" i="1"/>
  <c r="Y505" i="1" s="1"/>
  <c r="AH505" i="1" s="1"/>
  <c r="P529" i="1"/>
  <c r="Y529" i="1" s="1"/>
  <c r="AH529" i="1" s="1"/>
  <c r="V554" i="1"/>
  <c r="P581" i="1"/>
  <c r="Y581" i="1" s="1"/>
  <c r="AH581" i="1" s="1"/>
  <c r="T604" i="1"/>
  <c r="AD604" i="1" s="1"/>
  <c r="AM604" i="1" s="1"/>
  <c r="V630" i="1"/>
  <c r="S259" i="1"/>
  <c r="O369" i="1"/>
  <c r="X369" i="1" s="1"/>
  <c r="AG369" i="1" s="1"/>
  <c r="V322" i="1"/>
  <c r="U216" i="1"/>
  <c r="U419" i="1"/>
  <c r="O477" i="1"/>
  <c r="X477" i="1" s="1"/>
  <c r="AG477" i="1" s="1"/>
  <c r="S500" i="1"/>
  <c r="O529" i="1"/>
  <c r="X529" i="1" s="1"/>
  <c r="AG529" i="1" s="1"/>
  <c r="V549" i="1"/>
  <c r="T567" i="1"/>
  <c r="AC567" i="1" s="1"/>
  <c r="AL567" i="1" s="1"/>
  <c r="O589" i="1"/>
  <c r="X589" i="1" s="1"/>
  <c r="AG589" i="1" s="1"/>
  <c r="U606" i="1"/>
  <c r="Q244" i="1"/>
  <c r="V413" i="1"/>
  <c r="S430" i="1"/>
  <c r="T444" i="1"/>
  <c r="AC444" i="1" s="1"/>
  <c r="AL444" i="1" s="1"/>
  <c r="V458" i="1"/>
  <c r="V470" i="1"/>
  <c r="V482" i="1"/>
  <c r="P497" i="1"/>
  <c r="Y497" i="1" s="1"/>
  <c r="AH497" i="1" s="1"/>
  <c r="T508" i="1"/>
  <c r="T520" i="1"/>
  <c r="AC520" i="1" s="1"/>
  <c r="AL520" i="1" s="1"/>
  <c r="V534" i="1"/>
  <c r="V546" i="1"/>
  <c r="T572" i="1"/>
  <c r="T584" i="1"/>
  <c r="AC584" i="1" s="1"/>
  <c r="AL584" i="1" s="1"/>
  <c r="T596" i="1"/>
  <c r="V610" i="1"/>
  <c r="T648" i="1"/>
  <c r="S292" i="1"/>
  <c r="Q340" i="1"/>
  <c r="U386" i="1"/>
  <c r="Q420" i="1"/>
  <c r="P443" i="1"/>
  <c r="Y443" i="1" s="1"/>
  <c r="Q482" i="1"/>
  <c r="O500" i="1"/>
  <c r="X500" i="1" s="1"/>
  <c r="AG500" i="1" s="1"/>
  <c r="R521" i="1"/>
  <c r="P539" i="1"/>
  <c r="Y539" i="1" s="1"/>
  <c r="AH539" i="1" s="1"/>
  <c r="V556" i="1"/>
  <c r="Q578" i="1"/>
  <c r="O596" i="1"/>
  <c r="X596" i="1" s="1"/>
  <c r="AG596" i="1" s="1"/>
  <c r="O613" i="1"/>
  <c r="X613" i="1" s="1"/>
  <c r="AG613" i="1" s="1"/>
  <c r="Q627" i="1"/>
  <c r="P639" i="1"/>
  <c r="Y639" i="1" s="1"/>
  <c r="AH639" i="1" s="1"/>
  <c r="S650" i="1"/>
  <c r="Q661" i="1"/>
  <c r="O207" i="1"/>
  <c r="X207" i="1" s="1"/>
  <c r="AG207" i="1" s="1"/>
  <c r="V394" i="1"/>
  <c r="O509" i="1"/>
  <c r="X509" i="1" s="1"/>
  <c r="AG509" i="1" s="1"/>
  <c r="T559" i="1"/>
  <c r="AC559" i="1" s="1"/>
  <c r="AL559" i="1" s="1"/>
  <c r="Q595" i="1"/>
  <c r="R277" i="1"/>
  <c r="U374" i="1"/>
  <c r="V419" i="1"/>
  <c r="P449" i="1"/>
  <c r="Y449" i="1" s="1"/>
  <c r="AH449" i="1" s="1"/>
  <c r="S477" i="1"/>
  <c r="P501" i="1"/>
  <c r="Y501" i="1" s="1"/>
  <c r="AH501" i="1" s="1"/>
  <c r="T524" i="1"/>
  <c r="AC524" i="1" s="1"/>
  <c r="AL524" i="1" s="1"/>
  <c r="P553" i="1"/>
  <c r="Y553" i="1" s="1"/>
  <c r="AH553" i="1" s="1"/>
  <c r="P577" i="1"/>
  <c r="Y577" i="1" s="1"/>
  <c r="AH577" i="1" s="1"/>
  <c r="T600" i="1"/>
  <c r="AC600" i="1" s="1"/>
  <c r="AL600" i="1" s="1"/>
  <c r="P629" i="1"/>
  <c r="Y629" i="1" s="1"/>
  <c r="AH629" i="1" s="1"/>
  <c r="Q648" i="1"/>
  <c r="V318" i="1"/>
  <c r="O385" i="1"/>
  <c r="X385" i="1" s="1"/>
  <c r="AG385" i="1" s="1"/>
  <c r="S422" i="1"/>
  <c r="U445" i="1"/>
  <c r="R465" i="1"/>
  <c r="O484" i="1"/>
  <c r="X484" i="1" s="1"/>
  <c r="AG484" i="1" s="1"/>
  <c r="T502" i="1"/>
  <c r="AC502" i="1" s="1"/>
  <c r="AL502" i="1" s="1"/>
  <c r="Q522" i="1"/>
  <c r="V540" i="1"/>
  <c r="S559" i="1"/>
  <c r="P579" i="1"/>
  <c r="Y579" i="1" s="1"/>
  <c r="AH579" i="1" s="1"/>
  <c r="U597" i="1"/>
  <c r="U614" i="1"/>
  <c r="V627" i="1"/>
  <c r="R640" i="1"/>
  <c r="V651" i="1"/>
  <c r="T661" i="1"/>
  <c r="S237" i="1"/>
  <c r="P303" i="1"/>
  <c r="Y303" i="1" s="1"/>
  <c r="AH303" i="1" s="1"/>
  <c r="O341" i="1"/>
  <c r="X341" i="1" s="1"/>
  <c r="AG341" i="1" s="1"/>
  <c r="P373" i="1"/>
  <c r="Y373" i="1" s="1"/>
  <c r="S401" i="1"/>
  <c r="T457" i="1"/>
  <c r="V471" i="1"/>
  <c r="P486" i="1"/>
  <c r="Y486" i="1" s="1"/>
  <c r="R500" i="1"/>
  <c r="S514" i="1"/>
  <c r="U528" i="1"/>
  <c r="O543" i="1"/>
  <c r="X543" i="1" s="1"/>
  <c r="AG543" i="1" s="1"/>
  <c r="Q557" i="1"/>
  <c r="T585" i="1"/>
  <c r="AC585" i="1" s="1"/>
  <c r="AL585" i="1" s="1"/>
  <c r="V599" i="1"/>
  <c r="Q613" i="1"/>
  <c r="T622" i="1"/>
  <c r="AC622" i="1" s="1"/>
  <c r="AL622" i="1" s="1"/>
  <c r="P632" i="1"/>
  <c r="Y632" i="1" s="1"/>
  <c r="AH632" i="1" s="1"/>
  <c r="T641" i="1"/>
  <c r="T650" i="1"/>
  <c r="U657" i="1"/>
  <c r="V664" i="1"/>
  <c r="V329" i="1"/>
  <c r="O356" i="1"/>
  <c r="X356" i="1" s="1"/>
  <c r="AG356" i="1" s="1"/>
  <c r="V436" i="1"/>
  <c r="S381" i="1"/>
  <c r="Q447" i="1"/>
  <c r="Q523" i="1"/>
  <c r="P556" i="1"/>
  <c r="Y556" i="1" s="1"/>
  <c r="AH556" i="1" s="1"/>
  <c r="S584" i="1"/>
  <c r="T139" i="1"/>
  <c r="S313" i="1"/>
  <c r="R370" i="1"/>
  <c r="T407" i="1"/>
  <c r="AC407" i="1" s="1"/>
  <c r="AL407" i="1" s="1"/>
  <c r="V435" i="1"/>
  <c r="Q456" i="1"/>
  <c r="V474" i="1"/>
  <c r="O494" i="1"/>
  <c r="X494" i="1" s="1"/>
  <c r="AG494" i="1" s="1"/>
  <c r="P513" i="1"/>
  <c r="Y513" i="1" s="1"/>
  <c r="AH513" i="1" s="1"/>
  <c r="U531" i="1"/>
  <c r="V550" i="1"/>
  <c r="O570" i="1"/>
  <c r="X570" i="1" s="1"/>
  <c r="AG570" i="1" s="1"/>
  <c r="T588" i="1"/>
  <c r="U607" i="1"/>
  <c r="V626" i="1"/>
  <c r="S645" i="1"/>
  <c r="V377" i="1"/>
  <c r="O419" i="1"/>
  <c r="X419" i="1" s="1"/>
  <c r="AG419" i="1" s="1"/>
  <c r="O444" i="1"/>
  <c r="X444" i="1" s="1"/>
  <c r="AG444" i="1" s="1"/>
  <c r="T462" i="1"/>
  <c r="AC462" i="1" s="1"/>
  <c r="AL462" i="1" s="1"/>
  <c r="R481" i="1"/>
  <c r="V500" i="1"/>
  <c r="S519" i="1"/>
  <c r="Q538" i="1"/>
  <c r="U557" i="1"/>
  <c r="P595" i="1"/>
  <c r="Y595" i="1" s="1"/>
  <c r="AH595" i="1" s="1"/>
  <c r="T613" i="1"/>
  <c r="AC613" i="1" s="1"/>
  <c r="AL613" i="1" s="1"/>
  <c r="P626" i="1"/>
  <c r="Y626" i="1" s="1"/>
  <c r="S638" i="1"/>
  <c r="O651" i="1"/>
  <c r="X651" i="1" s="1"/>
  <c r="AG651" i="1" s="1"/>
  <c r="R660" i="1"/>
  <c r="O228" i="1"/>
  <c r="X228" i="1" s="1"/>
  <c r="AG228" i="1" s="1"/>
  <c r="R298" i="1"/>
  <c r="Q336" i="1"/>
  <c r="S369" i="1"/>
  <c r="O398" i="1"/>
  <c r="X398" i="1" s="1"/>
  <c r="AG398" i="1" s="1"/>
  <c r="O423" i="1"/>
  <c r="X423" i="1" s="1"/>
  <c r="AG423" i="1" s="1"/>
  <c r="T441" i="1"/>
  <c r="V455" i="1"/>
  <c r="P470" i="1"/>
  <c r="Y470" i="1" s="1"/>
  <c r="AH470" i="1" s="1"/>
  <c r="R484" i="1"/>
  <c r="S498" i="1"/>
  <c r="U512" i="1"/>
  <c r="O527" i="1"/>
  <c r="X527" i="1" s="1"/>
  <c r="AG527" i="1" s="1"/>
  <c r="Q541" i="1"/>
  <c r="T569" i="1"/>
  <c r="V583" i="1"/>
  <c r="P598" i="1"/>
  <c r="Y598" i="1" s="1"/>
  <c r="AH598" i="1" s="1"/>
  <c r="O612" i="1"/>
  <c r="X612" i="1" s="1"/>
  <c r="AG612" i="1" s="1"/>
  <c r="O631" i="1"/>
  <c r="X631" i="1" s="1"/>
  <c r="AG631" i="1" s="1"/>
  <c r="U649" i="1"/>
  <c r="V656" i="1"/>
  <c r="O664" i="1"/>
  <c r="X664" i="1" s="1"/>
  <c r="AG664" i="1" s="1"/>
  <c r="R249" i="1"/>
  <c r="V346" i="1"/>
  <c r="O406" i="1"/>
  <c r="X406" i="1" s="1"/>
  <c r="AG406" i="1" s="1"/>
  <c r="T445" i="1"/>
  <c r="AC445" i="1" s="1"/>
  <c r="AL445" i="1" s="1"/>
  <c r="P474" i="1"/>
  <c r="Y474" i="1" s="1"/>
  <c r="AH474" i="1" s="1"/>
  <c r="S502" i="1"/>
  <c r="O531" i="1"/>
  <c r="X531" i="1" s="1"/>
  <c r="AG531" i="1" s="1"/>
  <c r="V587" i="1"/>
  <c r="T614" i="1"/>
  <c r="T633" i="1"/>
  <c r="AC633" i="1" s="1"/>
  <c r="AL633" i="1" s="1"/>
  <c r="U651" i="1"/>
  <c r="O666" i="1"/>
  <c r="X666" i="1" s="1"/>
  <c r="AG666" i="1" s="1"/>
  <c r="Q347" i="1"/>
  <c r="U401" i="1"/>
  <c r="P393" i="1"/>
  <c r="Y393" i="1" s="1"/>
  <c r="AH393" i="1" s="1"/>
  <c r="O388" i="1"/>
  <c r="X388" i="1" s="1"/>
  <c r="AG388" i="1" s="1"/>
  <c r="S247" i="1"/>
  <c r="Q213" i="1"/>
  <c r="V445" i="1"/>
  <c r="S520" i="1"/>
  <c r="O424" i="1"/>
  <c r="X424" i="1" s="1"/>
  <c r="AG424" i="1" s="1"/>
  <c r="S464" i="1"/>
  <c r="R558" i="1"/>
  <c r="U295" i="1"/>
  <c r="P257" i="1"/>
  <c r="Y257" i="1" s="1"/>
  <c r="AH257" i="1" s="1"/>
  <c r="Q426" i="1"/>
  <c r="R399" i="1"/>
  <c r="V465" i="1"/>
  <c r="V517" i="1"/>
  <c r="O561" i="1"/>
  <c r="X561" i="1" s="1"/>
  <c r="AG561" i="1" s="1"/>
  <c r="R598" i="1"/>
  <c r="V302" i="1"/>
  <c r="U390" i="1"/>
  <c r="V446" i="1"/>
  <c r="O486" i="1"/>
  <c r="X486" i="1" s="1"/>
  <c r="AG486" i="1" s="1"/>
  <c r="R523" i="1"/>
  <c r="T560" i="1"/>
  <c r="U599" i="1"/>
  <c r="P637" i="1"/>
  <c r="Y637" i="1" s="1"/>
  <c r="AH637" i="1" s="1"/>
  <c r="Q429" i="1"/>
  <c r="T531" i="1"/>
  <c r="S608" i="1"/>
  <c r="S392" i="1"/>
  <c r="Q460" i="1"/>
  <c r="O510" i="1"/>
  <c r="X510" i="1" s="1"/>
  <c r="AG510" i="1" s="1"/>
  <c r="O562" i="1"/>
  <c r="X562" i="1" s="1"/>
  <c r="AG562" i="1" s="1"/>
  <c r="U611" i="1"/>
  <c r="S297" i="1"/>
  <c r="V372" i="1"/>
  <c r="Q432" i="1"/>
  <c r="V481" i="1"/>
  <c r="V533" i="1"/>
  <c r="AP533" i="1" s="1"/>
  <c r="U574" i="1"/>
  <c r="R610" i="1"/>
  <c r="V334" i="1"/>
  <c r="Q395" i="1"/>
  <c r="S433" i="1"/>
  <c r="S461" i="1"/>
  <c r="R487" i="1"/>
  <c r="R511" i="1"/>
  <c r="P537" i="1"/>
  <c r="Y537" i="1" s="1"/>
  <c r="AH537" i="1" s="1"/>
  <c r="R563" i="1"/>
  <c r="V586" i="1"/>
  <c r="P613" i="1"/>
  <c r="Y613" i="1" s="1"/>
  <c r="AH613" i="1" s="1"/>
  <c r="R639" i="1"/>
  <c r="R302" i="1"/>
  <c r="V393" i="1"/>
  <c r="Q450" i="1"/>
  <c r="U485" i="1"/>
  <c r="V524" i="1"/>
  <c r="O564" i="1"/>
  <c r="X564" i="1" s="1"/>
  <c r="AG564" i="1" s="1"/>
  <c r="S599" i="1"/>
  <c r="AP599" i="1" s="1"/>
  <c r="T629" i="1"/>
  <c r="P654" i="1"/>
  <c r="Y654" i="1" s="1"/>
  <c r="AH654" i="1" s="1"/>
  <c r="O199" i="1"/>
  <c r="X199" i="1" s="1"/>
  <c r="AG199" i="1" s="1"/>
  <c r="Q471" i="1"/>
  <c r="U566" i="1"/>
  <c r="P323" i="1"/>
  <c r="Y323" i="1" s="1"/>
  <c r="AH323" i="1" s="1"/>
  <c r="O482" i="1"/>
  <c r="X482" i="1" s="1"/>
  <c r="AG482" i="1" s="1"/>
  <c r="S581" i="1"/>
  <c r="O634" i="1"/>
  <c r="X634" i="1" s="1"/>
  <c r="AG634" i="1" s="1"/>
  <c r="V337" i="1"/>
  <c r="S428" i="1"/>
  <c r="AB428" i="1" s="1"/>
  <c r="AK428" i="1" s="1"/>
  <c r="U469" i="1"/>
  <c r="O508" i="1"/>
  <c r="X508" i="1" s="1"/>
  <c r="AG508" i="1" s="1"/>
  <c r="R545" i="1"/>
  <c r="S583" i="1"/>
  <c r="R618" i="1"/>
  <c r="Q643" i="1"/>
  <c r="V663" i="1"/>
  <c r="T408" i="1"/>
  <c r="AB408" i="1" s="1"/>
  <c r="AK408" i="1" s="1"/>
  <c r="O447" i="1"/>
  <c r="X447" i="1" s="1"/>
  <c r="AG447" i="1" s="1"/>
  <c r="V503" i="1"/>
  <c r="R532" i="1"/>
  <c r="U560" i="1"/>
  <c r="Q589" i="1"/>
  <c r="S615" i="1"/>
  <c r="S634" i="1"/>
  <c r="T666" i="1"/>
  <c r="AC666" i="1" s="1"/>
  <c r="AL666" i="1" s="1"/>
  <c r="T257" i="1"/>
  <c r="O457" i="1"/>
  <c r="X457" i="1" s="1"/>
  <c r="AG457" i="1" s="1"/>
  <c r="S532" i="1"/>
  <c r="T591" i="1"/>
  <c r="AD591" i="1" s="1"/>
  <c r="AM591" i="1" s="1"/>
  <c r="S332" i="1"/>
  <c r="O417" i="1"/>
  <c r="X417" i="1" s="1"/>
  <c r="AG417" i="1" s="1"/>
  <c r="T460" i="1"/>
  <c r="AB460" i="1" s="1"/>
  <c r="AK460" i="1" s="1"/>
  <c r="V498" i="1"/>
  <c r="T536" i="1"/>
  <c r="AC536" i="1" s="1"/>
  <c r="AL536" i="1" s="1"/>
  <c r="T612" i="1"/>
  <c r="U159" i="1"/>
  <c r="P392" i="1"/>
  <c r="Y392" i="1" s="1"/>
  <c r="AH392" i="1" s="1"/>
  <c r="T486" i="1"/>
  <c r="AE486" i="1" s="1"/>
  <c r="AN486" i="1" s="1"/>
  <c r="O524" i="1"/>
  <c r="X524" i="1" s="1"/>
  <c r="AG524" i="1" s="1"/>
  <c r="Q562" i="1"/>
  <c r="O629" i="1"/>
  <c r="X629" i="1" s="1"/>
  <c r="AG629" i="1" s="1"/>
  <c r="Q653" i="1"/>
  <c r="U307" i="1"/>
  <c r="T376" i="1"/>
  <c r="AC376" i="1" s="1"/>
  <c r="AL376" i="1" s="1"/>
  <c r="U427" i="1"/>
  <c r="V487" i="1"/>
  <c r="R516" i="1"/>
  <c r="U544" i="1"/>
  <c r="Q573" i="1"/>
  <c r="T601" i="1"/>
  <c r="AC601" i="1" s="1"/>
  <c r="AL601" i="1" s="1"/>
  <c r="V623" i="1"/>
  <c r="U642" i="1"/>
  <c r="T658" i="1"/>
  <c r="AC658" i="1" s="1"/>
  <c r="AL658" i="1" s="1"/>
  <c r="R363" i="1"/>
  <c r="U452" i="1"/>
  <c r="T509" i="1"/>
  <c r="S566" i="1"/>
  <c r="R655" i="1"/>
  <c r="P238" i="1"/>
  <c r="Y238" i="1" s="1"/>
  <c r="P313" i="1"/>
  <c r="Y313" i="1" s="1"/>
  <c r="AH313" i="1" s="1"/>
  <c r="P464" i="1"/>
  <c r="Y464" i="1" s="1"/>
  <c r="AH464" i="1" s="1"/>
  <c r="T539" i="1"/>
  <c r="O597" i="1"/>
  <c r="X597" i="1" s="1"/>
  <c r="AG597" i="1" s="1"/>
  <c r="U346" i="1"/>
  <c r="AD346" i="1" s="1"/>
  <c r="AM346" i="1" s="1"/>
  <c r="T421" i="1"/>
  <c r="Q464" i="1"/>
  <c r="Z464" i="1" s="1"/>
  <c r="Q540" i="1"/>
  <c r="O578" i="1"/>
  <c r="X578" i="1" s="1"/>
  <c r="AG578" i="1" s="1"/>
  <c r="Q616" i="1"/>
  <c r="Q399" i="1"/>
  <c r="O452" i="1"/>
  <c r="X452" i="1" s="1"/>
  <c r="AG452" i="1" s="1"/>
  <c r="Q490" i="1"/>
  <c r="S527" i="1"/>
  <c r="AB527" i="1" s="1"/>
  <c r="AK527" i="1" s="1"/>
  <c r="U565" i="1"/>
  <c r="O604" i="1"/>
  <c r="X604" i="1" s="1"/>
  <c r="AG604" i="1" s="1"/>
  <c r="O655" i="1"/>
  <c r="X655" i="1" s="1"/>
  <c r="AG655" i="1" s="1"/>
  <c r="R150" i="1"/>
  <c r="V314" i="1"/>
  <c r="O382" i="1"/>
  <c r="X382" i="1" s="1"/>
  <c r="AG382" i="1" s="1"/>
  <c r="R431" i="1"/>
  <c r="P462" i="1"/>
  <c r="Y462" i="1" s="1"/>
  <c r="AH462" i="1" s="1"/>
  <c r="S490" i="1"/>
  <c r="O519" i="1"/>
  <c r="X519" i="1" s="1"/>
  <c r="AG519" i="1" s="1"/>
  <c r="V575" i="1"/>
  <c r="R604" i="1"/>
  <c r="T625" i="1"/>
  <c r="AC625" i="1" s="1"/>
  <c r="AL625" i="1" s="1"/>
  <c r="S644" i="1"/>
  <c r="O660" i="1"/>
  <c r="X660" i="1" s="1"/>
  <c r="AG660" i="1" s="1"/>
  <c r="Q342" i="1"/>
  <c r="Q421" i="1"/>
  <c r="U500" i="1"/>
  <c r="V539" i="1"/>
  <c r="Q577" i="1"/>
  <c r="S639" i="1"/>
  <c r="T660" i="1"/>
  <c r="O262" i="1"/>
  <c r="X262" i="1" s="1"/>
  <c r="AG262" i="1" s="1"/>
  <c r="R353" i="1"/>
  <c r="U410" i="1"/>
  <c r="O448" i="1"/>
  <c r="X448" i="1" s="1"/>
  <c r="AG448" i="1" s="1"/>
  <c r="S375" i="1"/>
  <c r="P401" i="1"/>
  <c r="Y401" i="1" s="1"/>
  <c r="S492" i="1"/>
  <c r="U203" i="1"/>
  <c r="T440" i="1"/>
  <c r="AC440" i="1" s="1"/>
  <c r="AL440" i="1" s="1"/>
  <c r="T516" i="1"/>
  <c r="Q592" i="1"/>
  <c r="T323" i="1"/>
  <c r="AC323" i="1" s="1"/>
  <c r="AL323" i="1" s="1"/>
  <c r="U423" i="1"/>
  <c r="Q466" i="1"/>
  <c r="U541" i="1"/>
  <c r="O580" i="1"/>
  <c r="X580" i="1" s="1"/>
  <c r="AG580" i="1" s="1"/>
  <c r="O616" i="1"/>
  <c r="X616" i="1" s="1"/>
  <c r="AG616" i="1" s="1"/>
  <c r="V640" i="1"/>
  <c r="AE640" i="1" s="1"/>
  <c r="AN640" i="1" s="1"/>
  <c r="P662" i="1"/>
  <c r="Y662" i="1" s="1"/>
  <c r="AH662" i="1" s="1"/>
  <c r="Q242" i="1"/>
  <c r="R343" i="1"/>
  <c r="R403" i="1"/>
  <c r="R444" i="1"/>
  <c r="U472" i="1"/>
  <c r="Q501" i="1"/>
  <c r="T529" i="1"/>
  <c r="P558" i="1"/>
  <c r="Y558" i="1" s="1"/>
  <c r="AH558" i="1" s="1"/>
  <c r="S586" i="1"/>
  <c r="U613" i="1"/>
  <c r="U632" i="1"/>
  <c r="P651" i="1"/>
  <c r="Y651" i="1" s="1"/>
  <c r="AH651" i="1" s="1"/>
  <c r="R665" i="1"/>
  <c r="R268" i="1"/>
  <c r="O374" i="1"/>
  <c r="X374" i="1" s="1"/>
  <c r="AG374" i="1" s="1"/>
  <c r="Q440" i="1"/>
  <c r="T477" i="1"/>
  <c r="O515" i="1"/>
  <c r="X515" i="1" s="1"/>
  <c r="AG515" i="1" s="1"/>
  <c r="P554" i="1"/>
  <c r="Y554" i="1" s="1"/>
  <c r="AH554" i="1" s="1"/>
  <c r="O623" i="1"/>
  <c r="X623" i="1" s="1"/>
  <c r="AG623" i="1" s="1"/>
  <c r="O649" i="1"/>
  <c r="X649" i="1" s="1"/>
  <c r="AG649" i="1" s="1"/>
  <c r="V305" i="1"/>
  <c r="Q375" i="1"/>
  <c r="U426" i="1"/>
  <c r="T458" i="1"/>
  <c r="P487" i="1"/>
  <c r="Y487" i="1" s="1"/>
  <c r="AH487" i="1" s="1"/>
  <c r="S515" i="1"/>
  <c r="AP515" i="1" s="1"/>
  <c r="O544" i="1"/>
  <c r="X544" i="1" s="1"/>
  <c r="AG544" i="1" s="1"/>
  <c r="V600" i="1"/>
  <c r="R642" i="1"/>
  <c r="R658" i="1"/>
  <c r="R355" i="1"/>
  <c r="V449" i="1"/>
  <c r="R586" i="1"/>
  <c r="R410" i="1"/>
  <c r="R495" i="1"/>
  <c r="V570" i="1"/>
  <c r="V646" i="1"/>
  <c r="V444" i="1"/>
  <c r="V596" i="1"/>
  <c r="R371" i="1"/>
  <c r="U456" i="1"/>
  <c r="T513" i="1"/>
  <c r="S570" i="1"/>
  <c r="P622" i="1"/>
  <c r="Y622" i="1" s="1"/>
  <c r="AH622" i="1" s="1"/>
  <c r="R657" i="1"/>
  <c r="S409" i="1"/>
  <c r="T493" i="1"/>
  <c r="AC493" i="1" s="1"/>
  <c r="AL493" i="1" s="1"/>
  <c r="P570" i="1"/>
  <c r="Y570" i="1" s="1"/>
  <c r="AH570" i="1" s="1"/>
  <c r="U634" i="1"/>
  <c r="P339" i="1"/>
  <c r="Y339" i="1" s="1"/>
  <c r="AH339" i="1" s="1"/>
  <c r="T442" i="1"/>
  <c r="R485" i="1"/>
  <c r="U561" i="1"/>
  <c r="P599" i="1"/>
  <c r="Y599" i="1" s="1"/>
  <c r="AH599" i="1" s="1"/>
  <c r="R629" i="1"/>
  <c r="O653" i="1"/>
  <c r="X653" i="1" s="1"/>
  <c r="AG653" i="1" s="1"/>
  <c r="T285" i="1"/>
  <c r="AC285" i="1" s="1"/>
  <c r="AL285" i="1" s="1"/>
  <c r="V480" i="1"/>
  <c r="U537" i="1"/>
  <c r="T594" i="1"/>
  <c r="Q638" i="1"/>
  <c r="P332" i="1"/>
  <c r="Y332" i="1" s="1"/>
  <c r="AH332" i="1" s="1"/>
  <c r="T543" i="1"/>
  <c r="AC543" i="1" s="1"/>
  <c r="AL543" i="1" s="1"/>
  <c r="T352" i="1"/>
  <c r="AC352" i="1" s="1"/>
  <c r="AL352" i="1" s="1"/>
  <c r="V466" i="1"/>
  <c r="S404" i="1"/>
  <c r="O492" i="1"/>
  <c r="X492" i="1" s="1"/>
  <c r="AG492" i="1" s="1"/>
  <c r="Q633" i="1"/>
  <c r="T319" i="1"/>
  <c r="T433" i="1"/>
  <c r="AD433" i="1" s="1"/>
  <c r="AM433" i="1" s="1"/>
  <c r="R492" i="1"/>
  <c r="Q549" i="1"/>
  <c r="P606" i="1"/>
  <c r="Y606" i="1" s="1"/>
  <c r="AH606" i="1" s="1"/>
  <c r="U645" i="1"/>
  <c r="T351" i="1"/>
  <c r="AC351" i="1" s="1"/>
  <c r="AL351" i="1" s="1"/>
  <c r="Q465" i="1"/>
  <c r="T541" i="1"/>
  <c r="T217" i="1"/>
  <c r="AC217" i="1" s="1"/>
  <c r="AL217" i="1" s="1"/>
  <c r="R341" i="1"/>
  <c r="T241" i="1"/>
  <c r="AC241" i="1" s="1"/>
  <c r="AL241" i="1" s="1"/>
  <c r="Q274" i="1"/>
  <c r="S391" i="1"/>
  <c r="O485" i="1"/>
  <c r="X485" i="1" s="1"/>
  <c r="AG485" i="1" s="1"/>
  <c r="Q245" i="1"/>
  <c r="S516" i="1"/>
  <c r="V577" i="1"/>
  <c r="S346" i="1"/>
  <c r="Q374" i="1"/>
  <c r="V441" i="1"/>
  <c r="T491" i="1"/>
  <c r="S580" i="1"/>
  <c r="Q200" i="1"/>
  <c r="R350" i="1"/>
  <c r="Q425" i="1"/>
  <c r="Z425" i="1" s="1"/>
  <c r="U503" i="1"/>
  <c r="V542" i="1"/>
  <c r="Q580" i="1"/>
  <c r="S617" i="1"/>
  <c r="V254" i="1"/>
  <c r="U245" i="1"/>
  <c r="Q479" i="1"/>
  <c r="O573" i="1"/>
  <c r="X573" i="1" s="1"/>
  <c r="AG573" i="1" s="1"/>
  <c r="Q330" i="1"/>
  <c r="U431" i="1"/>
  <c r="Q536" i="1"/>
  <c r="O586" i="1"/>
  <c r="X586" i="1" s="1"/>
  <c r="AG586" i="1" s="1"/>
  <c r="O638" i="1"/>
  <c r="X638" i="1" s="1"/>
  <c r="AG638" i="1" s="1"/>
  <c r="R390" i="1"/>
  <c r="Q307" i="1"/>
  <c r="V457" i="1"/>
  <c r="AE457" i="1" s="1"/>
  <c r="AN457" i="1" s="1"/>
  <c r="R510" i="1"/>
  <c r="S592" i="1"/>
  <c r="P282" i="1"/>
  <c r="Y282" i="1" s="1"/>
  <c r="AH282" i="1" s="1"/>
  <c r="U366" i="1"/>
  <c r="S417" i="1"/>
  <c r="S449" i="1"/>
  <c r="P473" i="1"/>
  <c r="Y473" i="1" s="1"/>
  <c r="AH473" i="1" s="1"/>
  <c r="R499" i="1"/>
  <c r="S525" i="1"/>
  <c r="P549" i="1"/>
  <c r="Y549" i="1" s="1"/>
  <c r="R575" i="1"/>
  <c r="P601" i="1"/>
  <c r="Y601" i="1" s="1"/>
  <c r="P625" i="1"/>
  <c r="Y625" i="1" s="1"/>
  <c r="AH625" i="1" s="1"/>
  <c r="Q171" i="1"/>
  <c r="R358" i="1"/>
  <c r="O425" i="1"/>
  <c r="X425" i="1" s="1"/>
  <c r="AG425" i="1" s="1"/>
  <c r="O468" i="1"/>
  <c r="X468" i="1" s="1"/>
  <c r="AG468" i="1" s="1"/>
  <c r="P507" i="1"/>
  <c r="Y507" i="1" s="1"/>
  <c r="AH507" i="1" s="1"/>
  <c r="T542" i="1"/>
  <c r="U581" i="1"/>
  <c r="U617" i="1"/>
  <c r="O663" i="1"/>
  <c r="X663" i="1" s="1"/>
  <c r="AG663" i="1" s="1"/>
  <c r="Q299" i="1"/>
  <c r="O418" i="1"/>
  <c r="X418" i="1" s="1"/>
  <c r="AG418" i="1" s="1"/>
  <c r="P528" i="1"/>
  <c r="Y528" i="1" s="1"/>
  <c r="AH528" i="1" s="1"/>
  <c r="R602" i="1"/>
  <c r="S384" i="1"/>
  <c r="O506" i="1"/>
  <c r="X506" i="1" s="1"/>
  <c r="AG506" i="1" s="1"/>
  <c r="O558" i="1"/>
  <c r="X558" i="1" s="1"/>
  <c r="AG558" i="1" s="1"/>
  <c r="O610" i="1"/>
  <c r="X610" i="1" s="1"/>
  <c r="AG610" i="1" s="1"/>
  <c r="S205" i="1"/>
  <c r="P451" i="1"/>
  <c r="Y451" i="1" s="1"/>
  <c r="AH451" i="1" s="1"/>
  <c r="T526" i="1"/>
  <c r="V564" i="1"/>
  <c r="Q602" i="1"/>
  <c r="U630" i="1"/>
  <c r="S654" i="1"/>
  <c r="Q129" i="1"/>
  <c r="S312" i="1"/>
  <c r="Q380" i="1"/>
  <c r="Z380" i="1" s="1"/>
  <c r="P430" i="1"/>
  <c r="Y430" i="1" s="1"/>
  <c r="AH430" i="1" s="1"/>
  <c r="Q461" i="1"/>
  <c r="T489" i="1"/>
  <c r="AC489" i="1" s="1"/>
  <c r="AL489" i="1" s="1"/>
  <c r="P518" i="1"/>
  <c r="Y518" i="1" s="1"/>
  <c r="AH518" i="1" s="1"/>
  <c r="S546" i="1"/>
  <c r="O575" i="1"/>
  <c r="X575" i="1" s="1"/>
  <c r="AG575" i="1" s="1"/>
  <c r="O625" i="1"/>
  <c r="X625" i="1" s="1"/>
  <c r="AG625" i="1" s="1"/>
  <c r="O644" i="1"/>
  <c r="X644" i="1" s="1"/>
  <c r="AG644" i="1" s="1"/>
  <c r="S659" i="1"/>
  <c r="O380" i="1"/>
  <c r="X380" i="1" s="1"/>
  <c r="AG380" i="1" s="1"/>
  <c r="U494" i="1"/>
  <c r="Q563" i="1"/>
  <c r="O218" i="1"/>
  <c r="X218" i="1" s="1"/>
  <c r="AG218" i="1" s="1"/>
  <c r="Q379" i="1"/>
  <c r="O442" i="1"/>
  <c r="X442" i="1" s="1"/>
  <c r="AG442" i="1" s="1"/>
  <c r="U479" i="1"/>
  <c r="S517" i="1"/>
  <c r="U555" i="1"/>
  <c r="S593" i="1"/>
  <c r="R631" i="1"/>
  <c r="P426" i="1"/>
  <c r="Y426" i="1" s="1"/>
  <c r="AH426" i="1" s="1"/>
  <c r="P467" i="1"/>
  <c r="Y467" i="1" s="1"/>
  <c r="R505" i="1"/>
  <c r="S543" i="1"/>
  <c r="V580" i="1"/>
  <c r="S616" i="1"/>
  <c r="P642" i="1"/>
  <c r="Y642" i="1" s="1"/>
  <c r="AH642" i="1" s="1"/>
  <c r="S662" i="1"/>
  <c r="O247" i="1"/>
  <c r="X247" i="1" s="1"/>
  <c r="AG247" i="1" s="1"/>
  <c r="U345" i="1"/>
  <c r="P405" i="1"/>
  <c r="Y405" i="1" s="1"/>
  <c r="AH405" i="1" s="1"/>
  <c r="Q445" i="1"/>
  <c r="T473" i="1"/>
  <c r="AC473" i="1" s="1"/>
  <c r="AL473" i="1" s="1"/>
  <c r="P502" i="1"/>
  <c r="Y502" i="1" s="1"/>
  <c r="S530" i="1"/>
  <c r="O559" i="1"/>
  <c r="X559" i="1" s="1"/>
  <c r="AG559" i="1" s="1"/>
  <c r="R614" i="1"/>
  <c r="R633" i="1"/>
  <c r="S651" i="1"/>
  <c r="U665" i="1"/>
  <c r="R287" i="1"/>
  <c r="V418" i="1"/>
  <c r="Q481" i="1"/>
  <c r="P538" i="1"/>
  <c r="Y538" i="1" s="1"/>
  <c r="AH538" i="1" s="1"/>
  <c r="O595" i="1"/>
  <c r="X595" i="1" s="1"/>
  <c r="AG595" i="1" s="1"/>
  <c r="R638" i="1"/>
  <c r="Q394" i="1"/>
  <c r="O421" i="1"/>
  <c r="X421" i="1" s="1"/>
  <c r="AG421" i="1" s="1"/>
  <c r="V501" i="1"/>
  <c r="S568" i="1"/>
  <c r="V248" i="1"/>
  <c r="R386" i="1"/>
  <c r="S445" i="1"/>
  <c r="R483" i="1"/>
  <c r="P521" i="1"/>
  <c r="Y521" i="1" s="1"/>
  <c r="AH521" i="1" s="1"/>
  <c r="R559" i="1"/>
  <c r="AA559" i="1" s="1"/>
  <c r="P597" i="1"/>
  <c r="Y597" i="1" s="1"/>
  <c r="AH597" i="1" s="1"/>
  <c r="V634" i="1"/>
  <c r="T342" i="1"/>
  <c r="AC342" i="1" s="1"/>
  <c r="AL342" i="1" s="1"/>
  <c r="V430" i="1"/>
  <c r="T470" i="1"/>
  <c r="V508" i="1"/>
  <c r="P547" i="1"/>
  <c r="Y547" i="1" s="1"/>
  <c r="AH547" i="1" s="1"/>
  <c r="O619" i="1"/>
  <c r="X619" i="1" s="1"/>
  <c r="AG619" i="1" s="1"/>
  <c r="R664" i="1"/>
  <c r="Q261" i="1"/>
  <c r="V352" i="1"/>
  <c r="V447" i="1"/>
  <c r="R476" i="1"/>
  <c r="U504" i="1"/>
  <c r="Q533" i="1"/>
  <c r="T561" i="1"/>
  <c r="P590" i="1"/>
  <c r="Y590" i="1" s="1"/>
  <c r="AH590" i="1" s="1"/>
  <c r="P616" i="1"/>
  <c r="Y616" i="1" s="1"/>
  <c r="AH616" i="1" s="1"/>
  <c r="P635" i="1"/>
  <c r="Y635" i="1" s="1"/>
  <c r="AH635" i="1" s="1"/>
  <c r="V652" i="1"/>
  <c r="U294" i="1"/>
  <c r="T384" i="1"/>
  <c r="AC384" i="1" s="1"/>
  <c r="AL384" i="1" s="1"/>
  <c r="V443" i="1"/>
  <c r="O483" i="1"/>
  <c r="X483" i="1" s="1"/>
  <c r="AG483" i="1" s="1"/>
  <c r="R520" i="1"/>
  <c r="T557" i="1"/>
  <c r="AC557" i="1" s="1"/>
  <c r="AL557" i="1" s="1"/>
  <c r="U596" i="1"/>
  <c r="S626" i="1"/>
  <c r="V650" i="1"/>
  <c r="T152" i="1"/>
  <c r="AC152" i="1" s="1"/>
  <c r="AL152" i="1" s="1"/>
  <c r="R315" i="1"/>
  <c r="R382" i="1"/>
  <c r="Q389" i="1"/>
  <c r="S231" i="1"/>
  <c r="R454" i="1"/>
  <c r="R530" i="1"/>
  <c r="V589" i="1"/>
  <c r="U327" i="1"/>
  <c r="U414" i="1"/>
  <c r="U459" i="1"/>
  <c r="S497" i="1"/>
  <c r="R535" i="1"/>
  <c r="S573" i="1"/>
  <c r="R611" i="1"/>
  <c r="P649" i="1"/>
  <c r="Y649" i="1" s="1"/>
  <c r="S388" i="1"/>
  <c r="S447" i="1"/>
  <c r="V484" i="1"/>
  <c r="P523" i="1"/>
  <c r="Y523" i="1" s="1"/>
  <c r="AH523" i="1" s="1"/>
  <c r="R561" i="1"/>
  <c r="T598" i="1"/>
  <c r="AC598" i="1" s="1"/>
  <c r="AL598" i="1" s="1"/>
  <c r="U652" i="1"/>
  <c r="AD652" i="1" s="1"/>
  <c r="AM652" i="1" s="1"/>
  <c r="V374" i="1"/>
  <c r="S426" i="1"/>
  <c r="S458" i="1"/>
  <c r="O487" i="1"/>
  <c r="X487" i="1" s="1"/>
  <c r="AG487" i="1" s="1"/>
  <c r="V543" i="1"/>
  <c r="R572" i="1"/>
  <c r="U600" i="1"/>
  <c r="AD600" i="1" s="1"/>
  <c r="AM600" i="1" s="1"/>
  <c r="Q623" i="1"/>
  <c r="Q642" i="1"/>
  <c r="Q658" i="1"/>
  <c r="T332" i="1"/>
  <c r="P413" i="1"/>
  <c r="Y413" i="1" s="1"/>
  <c r="AH413" i="1" s="1"/>
  <c r="P458" i="1"/>
  <c r="Y458" i="1" s="1"/>
  <c r="AH458" i="1" s="1"/>
  <c r="Q497" i="1"/>
  <c r="S534" i="1"/>
  <c r="V571" i="1"/>
  <c r="O611" i="1"/>
  <c r="X611" i="1" s="1"/>
  <c r="AG611" i="1" s="1"/>
  <c r="O636" i="1"/>
  <c r="X636" i="1" s="1"/>
  <c r="AG636" i="1" s="1"/>
  <c r="O658" i="1"/>
  <c r="X658" i="1" s="1"/>
  <c r="AG658" i="1" s="1"/>
  <c r="O243" i="1"/>
  <c r="X243" i="1" s="1"/>
  <c r="AG243" i="1" s="1"/>
  <c r="U343" i="1"/>
  <c r="T403" i="1"/>
  <c r="V472" i="1"/>
  <c r="R501" i="1"/>
  <c r="U529" i="1"/>
  <c r="Q558" i="1"/>
  <c r="T586" i="1"/>
  <c r="AC586" i="1" s="1"/>
  <c r="AL586" i="1" s="1"/>
  <c r="V613" i="1"/>
  <c r="V632" i="1"/>
  <c r="Q651" i="1"/>
  <c r="R318" i="1"/>
  <c r="P457" i="1"/>
  <c r="Y457" i="1" s="1"/>
  <c r="P533" i="1"/>
  <c r="Y533" i="1" s="1"/>
  <c r="AH533" i="1" s="1"/>
  <c r="P609" i="1"/>
  <c r="Y609" i="1" s="1"/>
  <c r="P483" i="1"/>
  <c r="Y483" i="1" s="1"/>
  <c r="T558" i="1"/>
  <c r="T626" i="1"/>
  <c r="AC626" i="1" s="1"/>
  <c r="AL626" i="1" s="1"/>
  <c r="T300" i="1"/>
  <c r="Q424" i="1"/>
  <c r="Q485" i="1"/>
  <c r="P542" i="1"/>
  <c r="Y542" i="1" s="1"/>
  <c r="O599" i="1"/>
  <c r="X599" i="1" s="1"/>
  <c r="AG599" i="1" s="1"/>
  <c r="O641" i="1"/>
  <c r="X641" i="1" s="1"/>
  <c r="AG641" i="1" s="1"/>
  <c r="Q323" i="1"/>
  <c r="R456" i="1"/>
  <c r="U532" i="1"/>
  <c r="P657" i="1"/>
  <c r="Y657" i="1" s="1"/>
  <c r="AH657" i="1" s="1"/>
  <c r="S233" i="1"/>
  <c r="P400" i="1"/>
  <c r="Y400" i="1" s="1"/>
  <c r="AH400" i="1" s="1"/>
  <c r="S467" i="1"/>
  <c r="V504" i="1"/>
  <c r="Q542" i="1"/>
  <c r="R581" i="1"/>
  <c r="R616" i="1"/>
  <c r="Q641" i="1"/>
  <c r="U662" i="1"/>
  <c r="U362" i="1"/>
  <c r="R509" i="1"/>
  <c r="Q566" i="1"/>
  <c r="Q619" i="1"/>
  <c r="Q655" i="1"/>
  <c r="T286" i="1"/>
  <c r="AC286" i="1" s="1"/>
  <c r="AL286" i="1" s="1"/>
  <c r="S468" i="1"/>
  <c r="S600" i="1"/>
  <c r="T424" i="1"/>
  <c r="AC424" i="1" s="1"/>
  <c r="AL424" i="1" s="1"/>
  <c r="T504" i="1"/>
  <c r="AB504" i="1" s="1"/>
  <c r="AK504" i="1" s="1"/>
  <c r="T580" i="1"/>
  <c r="AC580" i="1" s="1"/>
  <c r="AL580" i="1" s="1"/>
  <c r="P250" i="1"/>
  <c r="Y250" i="1" s="1"/>
  <c r="AH250" i="1" s="1"/>
  <c r="T454" i="1"/>
  <c r="Q530" i="1"/>
  <c r="U605" i="1"/>
  <c r="R656" i="1"/>
  <c r="R174" i="1"/>
  <c r="S385" i="1"/>
  <c r="V463" i="1"/>
  <c r="U520" i="1"/>
  <c r="AD520" i="1" s="1"/>
  <c r="AM520" i="1" s="1"/>
  <c r="T577" i="1"/>
  <c r="AC577" i="1" s="1"/>
  <c r="AL577" i="1" s="1"/>
  <c r="U626" i="1"/>
  <c r="V660" i="1"/>
  <c r="T423" i="1"/>
  <c r="R504" i="1"/>
  <c r="O415" i="1"/>
  <c r="X415" i="1" s="1"/>
  <c r="AG415" i="1" s="1"/>
  <c r="U329" i="1"/>
  <c r="V423" i="1"/>
  <c r="V364" i="1"/>
  <c r="S540" i="1"/>
  <c r="R251" i="1"/>
  <c r="U397" i="1"/>
  <c r="V453" i="1"/>
  <c r="P552" i="1"/>
  <c r="Y552" i="1" s="1"/>
  <c r="AH552" i="1" s="1"/>
  <c r="O256" i="1"/>
  <c r="X256" i="1" s="1"/>
  <c r="AG256" i="1" s="1"/>
  <c r="P437" i="1"/>
  <c r="Y437" i="1" s="1"/>
  <c r="AH437" i="1" s="1"/>
  <c r="P589" i="1"/>
  <c r="Y589" i="1" s="1"/>
  <c r="AH589" i="1" s="1"/>
  <c r="R396" i="1"/>
  <c r="T507" i="1"/>
  <c r="AC507" i="1" s="1"/>
  <c r="AL507" i="1" s="1"/>
  <c r="P364" i="1"/>
  <c r="Y364" i="1" s="1"/>
  <c r="AH364" i="1" s="1"/>
  <c r="O498" i="1"/>
  <c r="X498" i="1" s="1"/>
  <c r="AG498" i="1" s="1"/>
  <c r="Q600" i="1"/>
  <c r="Q226" i="1"/>
  <c r="P472" i="1"/>
  <c r="Y472" i="1" s="1"/>
  <c r="AH472" i="1" s="1"/>
  <c r="P564" i="1"/>
  <c r="Y564" i="1" s="1"/>
  <c r="O427" i="1"/>
  <c r="X427" i="1" s="1"/>
  <c r="AG427" i="1" s="1"/>
  <c r="Q480" i="1"/>
  <c r="O530" i="1"/>
  <c r="X530" i="1" s="1"/>
  <c r="AG530" i="1" s="1"/>
  <c r="Q632" i="1"/>
  <c r="S372" i="1"/>
  <c r="T478" i="1"/>
  <c r="R553" i="1"/>
  <c r="S622" i="1"/>
  <c r="P452" i="1"/>
  <c r="Y452" i="1" s="1"/>
  <c r="AH452" i="1" s="1"/>
  <c r="U467" i="1"/>
  <c r="Q572" i="1"/>
  <c r="O300" i="1"/>
  <c r="X300" i="1" s="1"/>
  <c r="AG300" i="1" s="1"/>
  <c r="O460" i="1"/>
  <c r="X460" i="1" s="1"/>
  <c r="AG460" i="1" s="1"/>
  <c r="V611" i="1"/>
  <c r="O659" i="1"/>
  <c r="X659" i="1" s="1"/>
  <c r="AG659" i="1" s="1"/>
  <c r="O215" i="1"/>
  <c r="X215" i="1" s="1"/>
  <c r="AG215" i="1" s="1"/>
  <c r="R468" i="1"/>
  <c r="Q525" i="1"/>
  <c r="P582" i="1"/>
  <c r="Y582" i="1" s="1"/>
  <c r="AH582" i="1" s="1"/>
  <c r="U629" i="1"/>
  <c r="P663" i="1"/>
  <c r="Y663" i="1" s="1"/>
  <c r="O437" i="1"/>
  <c r="X437" i="1" s="1"/>
  <c r="AG437" i="1" s="1"/>
  <c r="U398" i="1"/>
  <c r="P489" i="1"/>
  <c r="Y489" i="1" s="1"/>
  <c r="AH489" i="1" s="1"/>
  <c r="P565" i="1"/>
  <c r="Y565" i="1" s="1"/>
  <c r="P641" i="1"/>
  <c r="Y641" i="1" s="1"/>
  <c r="AH641" i="1" s="1"/>
  <c r="O438" i="1"/>
  <c r="X438" i="1" s="1"/>
  <c r="AG438" i="1" s="1"/>
  <c r="P515" i="1"/>
  <c r="Y515" i="1" s="1"/>
  <c r="AH515" i="1" s="1"/>
  <c r="T590" i="1"/>
  <c r="AC590" i="1" s="1"/>
  <c r="AL590" i="1" s="1"/>
  <c r="O648" i="1"/>
  <c r="X648" i="1" s="1"/>
  <c r="AG648" i="1" s="1"/>
  <c r="R452" i="1"/>
  <c r="Q509" i="1"/>
  <c r="P566" i="1"/>
  <c r="Y566" i="1" s="1"/>
  <c r="AH566" i="1" s="1"/>
  <c r="P619" i="1"/>
  <c r="Y619" i="1" s="1"/>
  <c r="P655" i="1"/>
  <c r="Y655" i="1" s="1"/>
  <c r="AH655" i="1" s="1"/>
  <c r="V437" i="1"/>
  <c r="R552" i="1"/>
  <c r="V647" i="1"/>
  <c r="O521" i="1"/>
  <c r="X521" i="1" s="1"/>
  <c r="AG521" i="1" s="1"/>
  <c r="V308" i="1"/>
  <c r="V454" i="1"/>
  <c r="V530" i="1"/>
  <c r="R374" i="1"/>
  <c r="O556" i="1"/>
  <c r="X556" i="1" s="1"/>
  <c r="AG556" i="1" s="1"/>
  <c r="O296" i="1"/>
  <c r="X296" i="1" s="1"/>
  <c r="AG296" i="1" s="1"/>
  <c r="V421" i="1"/>
  <c r="R540" i="1"/>
  <c r="Q597" i="1"/>
  <c r="V639" i="1"/>
  <c r="S454" i="1"/>
  <c r="Q529" i="1"/>
  <c r="T605" i="1"/>
  <c r="Q656" i="1"/>
  <c r="R223" i="1"/>
  <c r="S396" i="1"/>
  <c r="T308" i="1"/>
  <c r="AC308" i="1" s="1"/>
  <c r="AL308" i="1" s="1"/>
  <c r="P604" i="1"/>
  <c r="Y604" i="1" s="1"/>
  <c r="AH604" i="1" s="1"/>
  <c r="Q428" i="1"/>
  <c r="V506" i="1"/>
  <c r="V582" i="1"/>
  <c r="S278" i="1"/>
  <c r="V532" i="1"/>
  <c r="Q657" i="1"/>
  <c r="Q193" i="1"/>
  <c r="P389" i="1"/>
  <c r="Y389" i="1" s="1"/>
  <c r="AH389" i="1" s="1"/>
  <c r="T465" i="1"/>
  <c r="AC465" i="1" s="1"/>
  <c r="AL465" i="1" s="1"/>
  <c r="S522" i="1"/>
  <c r="AP522" i="1" s="1"/>
  <c r="AQ522" i="1" s="1"/>
  <c r="AR522" i="1" s="1"/>
  <c r="O628" i="1"/>
  <c r="X628" i="1" s="1"/>
  <c r="AG628" i="1" s="1"/>
  <c r="U661" i="1"/>
  <c r="S218" i="1"/>
  <c r="AP218" i="1" s="1"/>
  <c r="AQ218" i="1" s="1"/>
  <c r="O426" i="1"/>
  <c r="X426" i="1" s="1"/>
  <c r="AG426" i="1" s="1"/>
  <c r="P506" i="1"/>
  <c r="Y506" i="1" s="1"/>
  <c r="AH506" i="1" s="1"/>
  <c r="S582" i="1"/>
  <c r="V641" i="1"/>
  <c r="O361" i="1"/>
  <c r="X361" i="1" s="1"/>
  <c r="AG361" i="1" s="1"/>
  <c r="S451" i="1"/>
  <c r="R565" i="1"/>
  <c r="T618" i="1"/>
  <c r="U654" i="1"/>
  <c r="V557" i="1"/>
  <c r="Q476" i="1"/>
  <c r="U627" i="1"/>
  <c r="U501" i="1"/>
  <c r="T639" i="1"/>
  <c r="S442" i="1"/>
  <c r="R556" i="1"/>
  <c r="Q650" i="1"/>
  <c r="S550" i="1"/>
  <c r="V666" i="1"/>
  <c r="P301" i="1"/>
  <c r="Y301" i="1" s="1"/>
  <c r="AH301" i="1" s="1"/>
  <c r="V552" i="1"/>
  <c r="Q622" i="1"/>
  <c r="Q391" i="1"/>
  <c r="S523" i="1"/>
  <c r="U628" i="1"/>
  <c r="U506" i="1"/>
  <c r="U447" i="1"/>
  <c r="R599" i="1"/>
  <c r="R473" i="1"/>
  <c r="U620" i="1"/>
  <c r="O414" i="1"/>
  <c r="X414" i="1" s="1"/>
  <c r="AG414" i="1" s="1"/>
  <c r="O535" i="1"/>
  <c r="X535" i="1" s="1"/>
  <c r="AG535" i="1" s="1"/>
  <c r="R636" i="1"/>
  <c r="S299" i="1"/>
  <c r="P522" i="1"/>
  <c r="Y522" i="1" s="1"/>
  <c r="AH522" i="1" s="1"/>
  <c r="V615" i="1"/>
  <c r="S661" i="1"/>
  <c r="R414" i="1"/>
  <c r="P471" i="1"/>
  <c r="Y471" i="1" s="1"/>
  <c r="AH471" i="1" s="1"/>
  <c r="Q510" i="1"/>
  <c r="S547" i="1"/>
  <c r="AB547" i="1" s="1"/>
  <c r="AK547" i="1" s="1"/>
  <c r="V584" i="1"/>
  <c r="V619" i="1"/>
  <c r="U644" i="1"/>
  <c r="S664" i="1"/>
  <c r="AP664" i="1" s="1"/>
  <c r="AQ664" i="1" s="1"/>
  <c r="O377" i="1"/>
  <c r="X377" i="1" s="1"/>
  <c r="AG377" i="1" s="1"/>
  <c r="S459" i="1"/>
  <c r="R573" i="1"/>
  <c r="O624" i="1"/>
  <c r="X624" i="1" s="1"/>
  <c r="AG624" i="1" s="1"/>
  <c r="U658" i="1"/>
  <c r="S67" i="1"/>
  <c r="V560" i="1"/>
  <c r="S652" i="1"/>
  <c r="AB652" i="1" s="1"/>
  <c r="AK652" i="1" s="1"/>
  <c r="Q535" i="1"/>
  <c r="O462" i="1"/>
  <c r="X462" i="1" s="1"/>
  <c r="AG462" i="1" s="1"/>
  <c r="S613" i="1"/>
  <c r="AB613" i="1" s="1"/>
  <c r="AK613" i="1" s="1"/>
  <c r="S487" i="1"/>
  <c r="Q630" i="1"/>
  <c r="O429" i="1"/>
  <c r="X429" i="1" s="1"/>
  <c r="AG429" i="1" s="1"/>
  <c r="T545" i="1"/>
  <c r="R536" i="1"/>
  <c r="U659" i="1"/>
  <c r="R469" i="1"/>
  <c r="U545" i="1"/>
  <c r="T663" i="1"/>
  <c r="V369" i="1"/>
  <c r="V512" i="1"/>
  <c r="T621" i="1"/>
  <c r="T546" i="1"/>
  <c r="AC546" i="1" s="1"/>
  <c r="AL546" i="1" s="1"/>
  <c r="Q663" i="1"/>
  <c r="V320" i="1"/>
  <c r="R434" i="1"/>
  <c r="U492" i="1"/>
  <c r="T549" i="1"/>
  <c r="S606" i="1"/>
  <c r="P646" i="1"/>
  <c r="Y646" i="1" s="1"/>
  <c r="V299" i="1"/>
  <c r="V376" i="1"/>
  <c r="U347" i="1"/>
  <c r="O420" i="1"/>
  <c r="X420" i="1" s="1"/>
  <c r="AG420" i="1" s="1"/>
  <c r="U502" i="1"/>
  <c r="O441" i="1"/>
  <c r="X441" i="1" s="1"/>
  <c r="AG441" i="1" s="1"/>
  <c r="U586" i="1"/>
  <c r="T385" i="1"/>
  <c r="R367" i="1"/>
  <c r="T503" i="1"/>
  <c r="AD503" i="1" s="1"/>
  <c r="AM503" i="1" s="1"/>
  <c r="O373" i="1"/>
  <c r="X373" i="1" s="1"/>
  <c r="AG373" i="1" s="1"/>
  <c r="R475" i="1"/>
  <c r="U551" i="1"/>
  <c r="Q628" i="1"/>
  <c r="U590" i="1"/>
  <c r="Q448" i="1"/>
  <c r="U547" i="1"/>
  <c r="AD547" i="1" s="1"/>
  <c r="AM547" i="1" s="1"/>
  <c r="U144" i="1"/>
  <c r="S397" i="1"/>
  <c r="T519" i="1"/>
  <c r="AB519" i="1" s="1"/>
  <c r="AK519" i="1" s="1"/>
  <c r="Q603" i="1"/>
  <c r="O381" i="1"/>
  <c r="X381" i="1" s="1"/>
  <c r="AG381" i="1" s="1"/>
  <c r="Q556" i="1"/>
  <c r="O606" i="1"/>
  <c r="X606" i="1" s="1"/>
  <c r="AG606" i="1" s="1"/>
  <c r="P269" i="1"/>
  <c r="Y269" i="1" s="1"/>
  <c r="AH269" i="1" s="1"/>
  <c r="Q439" i="1"/>
  <c r="Q514" i="1"/>
  <c r="S648" i="1"/>
  <c r="U389" i="1"/>
  <c r="O413" i="1"/>
  <c r="X413" i="1" s="1"/>
  <c r="AG413" i="1" s="1"/>
  <c r="Q520" i="1"/>
  <c r="U619" i="1"/>
  <c r="T416" i="1"/>
  <c r="AC416" i="1" s="1"/>
  <c r="AL416" i="1" s="1"/>
  <c r="Q498" i="1"/>
  <c r="U573" i="1"/>
  <c r="R637" i="1"/>
  <c r="S331" i="1"/>
  <c r="AB331" i="1" s="1"/>
  <c r="AK331" i="1" s="1"/>
  <c r="T439" i="1"/>
  <c r="U496" i="1"/>
  <c r="T553" i="1"/>
  <c r="S610" i="1"/>
  <c r="U648" i="1"/>
  <c r="Q418" i="1"/>
  <c r="V513" i="1"/>
  <c r="T294" i="1"/>
  <c r="R451" i="1"/>
  <c r="R527" i="1"/>
  <c r="V602" i="1"/>
  <c r="T363" i="1"/>
  <c r="AC363" i="1" s="1"/>
  <c r="AL363" i="1" s="1"/>
  <c r="V476" i="1"/>
  <c r="P623" i="1"/>
  <c r="Y623" i="1" s="1"/>
  <c r="AH623" i="1" s="1"/>
  <c r="V284" i="1"/>
  <c r="R418" i="1"/>
  <c r="U480" i="1"/>
  <c r="T537" i="1"/>
  <c r="AC537" i="1" s="1"/>
  <c r="AL537" i="1" s="1"/>
  <c r="S594" i="1"/>
  <c r="P638" i="1"/>
  <c r="Y638" i="1" s="1"/>
  <c r="AH638" i="1" s="1"/>
  <c r="O328" i="1"/>
  <c r="X328" i="1" s="1"/>
  <c r="AG328" i="1" s="1"/>
  <c r="Q609" i="1"/>
  <c r="S281" i="1"/>
  <c r="O445" i="1"/>
  <c r="X445" i="1" s="1"/>
  <c r="AG445" i="1" s="1"/>
  <c r="U582" i="1"/>
  <c r="V405" i="1"/>
  <c r="T492" i="1"/>
  <c r="T568" i="1"/>
  <c r="AC568" i="1" s="1"/>
  <c r="AL568" i="1" s="1"/>
  <c r="T644" i="1"/>
  <c r="Q442" i="1"/>
  <c r="T518" i="1"/>
  <c r="Q594" i="1"/>
  <c r="P650" i="1"/>
  <c r="Y650" i="1" s="1"/>
  <c r="AH650" i="1" s="1"/>
  <c r="U367" i="1"/>
  <c r="O455" i="1"/>
  <c r="X455" i="1" s="1"/>
  <c r="AG455" i="1" s="1"/>
  <c r="V511" i="1"/>
  <c r="U568" i="1"/>
  <c r="V620" i="1"/>
  <c r="V491" i="1"/>
  <c r="R568" i="1"/>
  <c r="AA568" i="1" s="1"/>
  <c r="R334" i="1"/>
  <c r="V440" i="1"/>
  <c r="S347" i="1"/>
  <c r="Q547" i="1"/>
  <c r="Z547" i="1" s="1"/>
  <c r="V357" i="1"/>
  <c r="P469" i="1"/>
  <c r="Y469" i="1" s="1"/>
  <c r="P545" i="1"/>
  <c r="Y545" i="1" s="1"/>
  <c r="AH545" i="1" s="1"/>
  <c r="T620" i="1"/>
  <c r="V409" i="1"/>
  <c r="T494" i="1"/>
  <c r="AC494" i="1" s="1"/>
  <c r="AL494" i="1" s="1"/>
  <c r="Q570" i="1"/>
  <c r="O635" i="1"/>
  <c r="X635" i="1" s="1"/>
  <c r="AG635" i="1" s="1"/>
  <c r="P436" i="1"/>
  <c r="Y436" i="1" s="1"/>
  <c r="AH436" i="1" s="1"/>
  <c r="P494" i="1"/>
  <c r="Y494" i="1" s="1"/>
  <c r="AH494" i="1" s="1"/>
  <c r="O551" i="1"/>
  <c r="X551" i="1" s="1"/>
  <c r="AG551" i="1" s="1"/>
  <c r="V607" i="1"/>
  <c r="AE607" i="1" s="1"/>
  <c r="AN607" i="1" s="1"/>
  <c r="O647" i="1"/>
  <c r="X647" i="1" s="1"/>
  <c r="AG647" i="1" s="1"/>
  <c r="Q356" i="1"/>
  <c r="U468" i="1"/>
  <c r="O617" i="1"/>
  <c r="X617" i="1" s="1"/>
  <c r="AG617" i="1" s="1"/>
  <c r="R663" i="1"/>
  <c r="V280" i="1"/>
  <c r="Q417" i="1"/>
  <c r="O480" i="1"/>
  <c r="X480" i="1" s="1"/>
  <c r="AG480" i="1" s="1"/>
  <c r="V536" i="1"/>
  <c r="U593" i="1"/>
  <c r="T637" i="1"/>
  <c r="AC637" i="1" s="1"/>
  <c r="AL637" i="1" s="1"/>
  <c r="U387" i="1"/>
  <c r="P372" i="1"/>
  <c r="Y372" i="1" s="1"/>
  <c r="AH372" i="1" s="1"/>
  <c r="Q552" i="1"/>
  <c r="R577" i="1"/>
  <c r="T338" i="1"/>
  <c r="AC338" i="1" s="1"/>
  <c r="AL338" i="1" s="1"/>
  <c r="S612" i="1"/>
  <c r="V475" i="1"/>
  <c r="U621" i="1"/>
  <c r="R424" i="1"/>
  <c r="U513" i="1"/>
  <c r="Q590" i="1"/>
  <c r="R648" i="1"/>
  <c r="O202" i="1"/>
  <c r="X202" i="1" s="1"/>
  <c r="AG202" i="1" s="1"/>
  <c r="T466" i="1"/>
  <c r="AC466" i="1" s="1"/>
  <c r="AL466" i="1" s="1"/>
  <c r="R662" i="1"/>
  <c r="O404" i="1"/>
  <c r="X404" i="1" s="1"/>
  <c r="AG404" i="1" s="1"/>
  <c r="V267" i="1"/>
  <c r="U523" i="1"/>
  <c r="P352" i="1"/>
  <c r="Y352" i="1" s="1"/>
  <c r="AH352" i="1" s="1"/>
  <c r="V548" i="1"/>
  <c r="T665" i="1"/>
  <c r="AC665" i="1" s="1"/>
  <c r="AL665" i="1" s="1"/>
  <c r="T270" i="1"/>
  <c r="AC270" i="1" s="1"/>
  <c r="AL270" i="1" s="1"/>
  <c r="P478" i="1"/>
  <c r="Y478" i="1" s="1"/>
  <c r="AH478" i="1" s="1"/>
  <c r="V591" i="1"/>
  <c r="O579" i="1"/>
  <c r="X579" i="1" s="1"/>
  <c r="AG579" i="1" s="1"/>
  <c r="U640" i="1"/>
  <c r="U449" i="1"/>
  <c r="T490" i="1"/>
  <c r="AC490" i="1" s="1"/>
  <c r="AL490" i="1" s="1"/>
  <c r="O528" i="1"/>
  <c r="X528" i="1" s="1"/>
  <c r="AG528" i="1" s="1"/>
  <c r="P567" i="1"/>
  <c r="Y567" i="1" s="1"/>
  <c r="AH567" i="1" s="1"/>
  <c r="T631" i="1"/>
  <c r="T655" i="1"/>
  <c r="Q308" i="1"/>
  <c r="V427" i="1"/>
  <c r="O488" i="1"/>
  <c r="X488" i="1" s="1"/>
  <c r="AG488" i="1" s="1"/>
  <c r="V544" i="1"/>
  <c r="U601" i="1"/>
  <c r="O643" i="1"/>
  <c r="X643" i="1" s="1"/>
  <c r="AG643" i="1" s="1"/>
  <c r="S507" i="1"/>
  <c r="U283" i="1"/>
  <c r="R337" i="1"/>
  <c r="O538" i="1"/>
  <c r="X538" i="1" s="1"/>
  <c r="AG538" i="1" s="1"/>
  <c r="T395" i="1"/>
  <c r="P563" i="1"/>
  <c r="Y563" i="1" s="1"/>
  <c r="AH563" i="1" s="1"/>
  <c r="Q310" i="1"/>
  <c r="U488" i="1"/>
  <c r="S602" i="1"/>
  <c r="T461" i="1"/>
  <c r="AB461" i="1" s="1"/>
  <c r="AK461" i="1" s="1"/>
  <c r="R612" i="1"/>
  <c r="Q407" i="1"/>
  <c r="T506" i="1"/>
  <c r="AC506" i="1" s="1"/>
  <c r="AL506" i="1" s="1"/>
  <c r="P583" i="1"/>
  <c r="Y583" i="1" s="1"/>
  <c r="AH583" i="1" s="1"/>
  <c r="S643" i="1"/>
  <c r="O456" i="1"/>
  <c r="X456" i="1" s="1"/>
  <c r="AG456" i="1" s="1"/>
  <c r="U569" i="1"/>
  <c r="O657" i="1"/>
  <c r="X657" i="1" s="1"/>
  <c r="AG657" i="1" s="1"/>
  <c r="V464" i="1"/>
  <c r="Q625" i="1"/>
  <c r="O179" i="1"/>
  <c r="X179" i="1" s="1"/>
  <c r="AG179" i="1" s="1"/>
  <c r="R464" i="1"/>
  <c r="Q521" i="1"/>
  <c r="P578" i="1"/>
  <c r="Y578" i="1" s="1"/>
  <c r="AH578" i="1" s="1"/>
  <c r="P627" i="1"/>
  <c r="Y627" i="1" s="1"/>
  <c r="AH627" i="1" s="1"/>
  <c r="P661" i="1"/>
  <c r="Y661" i="1" s="1"/>
  <c r="AH661" i="1" s="1"/>
  <c r="P275" i="1"/>
  <c r="Y275" i="1" s="1"/>
  <c r="AH275" i="1" s="1"/>
  <c r="V266" i="1"/>
  <c r="U253" i="1"/>
  <c r="O242" i="1"/>
  <c r="X242" i="1" s="1"/>
  <c r="AG242" i="1" s="1"/>
  <c r="V234" i="1"/>
  <c r="AE234" i="1" s="1"/>
  <c r="AN234" i="1" s="1"/>
  <c r="P227" i="1"/>
  <c r="Y227" i="1" s="1"/>
  <c r="AH227" i="1" s="1"/>
  <c r="V195" i="1"/>
  <c r="T163" i="1"/>
  <c r="V289" i="1"/>
  <c r="V261" i="1"/>
  <c r="S244" i="1"/>
  <c r="R214" i="1"/>
  <c r="V197" i="1"/>
  <c r="R182" i="1"/>
  <c r="O165" i="1"/>
  <c r="X165" i="1" s="1"/>
  <c r="AG165" i="1" s="1"/>
  <c r="V108" i="1"/>
  <c r="R217" i="1"/>
  <c r="V204" i="1"/>
  <c r="T191" i="1"/>
  <c r="O175" i="1"/>
  <c r="X175" i="1" s="1"/>
  <c r="AG175" i="1" s="1"/>
  <c r="T148" i="1"/>
  <c r="AC148" i="1" s="1"/>
  <c r="AL148" i="1" s="1"/>
  <c r="V172" i="1"/>
  <c r="R113" i="1"/>
  <c r="P158" i="1"/>
  <c r="Y158" i="1" s="1"/>
  <c r="AH158" i="1" s="1"/>
  <c r="Q138" i="1"/>
  <c r="R94" i="1"/>
  <c r="O133" i="1"/>
  <c r="X133" i="1" s="1"/>
  <c r="AG133" i="1" s="1"/>
  <c r="P69" i="1"/>
  <c r="Y69" i="1" s="1"/>
  <c r="U119" i="1"/>
  <c r="V69" i="1"/>
  <c r="Q102" i="1"/>
  <c r="U104" i="1"/>
  <c r="Q143" i="1"/>
  <c r="Z143" i="1" s="1"/>
  <c r="V86" i="1"/>
  <c r="V118" i="1"/>
  <c r="Q83" i="1"/>
  <c r="O90" i="1"/>
  <c r="X90" i="1" s="1"/>
  <c r="AG90" i="1" s="1"/>
  <c r="T82" i="1"/>
  <c r="P70" i="1"/>
  <c r="Y70" i="1" s="1"/>
  <c r="AH70" i="1" s="1"/>
  <c r="R181" i="1"/>
  <c r="R165" i="1"/>
  <c r="V152" i="1"/>
  <c r="T137" i="1"/>
  <c r="AC137" i="1" s="1"/>
  <c r="AL137" i="1" s="1"/>
  <c r="V159" i="1"/>
  <c r="U146" i="1"/>
  <c r="T110" i="1"/>
  <c r="P127" i="1"/>
  <c r="Y127" i="1" s="1"/>
  <c r="AH127" i="1" s="1"/>
  <c r="V138" i="1"/>
  <c r="V85" i="1"/>
  <c r="U106" i="1"/>
  <c r="U93" i="1"/>
  <c r="O75" i="1"/>
  <c r="X75" i="1" s="1"/>
  <c r="AG75" i="1" s="1"/>
  <c r="Q217" i="1"/>
  <c r="V203" i="1"/>
  <c r="P170" i="1"/>
  <c r="Y170" i="1" s="1"/>
  <c r="Q95" i="1"/>
  <c r="T283" i="1"/>
  <c r="T275" i="1"/>
  <c r="AC275" i="1" s="1"/>
  <c r="AL275" i="1" s="1"/>
  <c r="T267" i="1"/>
  <c r="U258" i="1"/>
  <c r="O253" i="1"/>
  <c r="X253" i="1" s="1"/>
  <c r="AG253" i="1" s="1"/>
  <c r="U246" i="1"/>
  <c r="U234" i="1"/>
  <c r="P228" i="1"/>
  <c r="Y228" i="1" s="1"/>
  <c r="AH228" i="1" s="1"/>
  <c r="V221" i="1"/>
  <c r="V213" i="1"/>
  <c r="Q207" i="1"/>
  <c r="O201" i="1"/>
  <c r="X201" i="1" s="1"/>
  <c r="AG201" i="1" s="1"/>
  <c r="O190" i="1"/>
  <c r="X190" i="1" s="1"/>
  <c r="AG190" i="1" s="1"/>
  <c r="R179" i="1"/>
  <c r="R166" i="1"/>
  <c r="V149" i="1"/>
  <c r="V129" i="1"/>
  <c r="V73" i="1"/>
  <c r="T218" i="1"/>
  <c r="U209" i="1"/>
  <c r="R201" i="1"/>
  <c r="S194" i="1"/>
  <c r="T185" i="1"/>
  <c r="AC185" i="1" s="1"/>
  <c r="AL185" i="1" s="1"/>
  <c r="U176" i="1"/>
  <c r="P166" i="1"/>
  <c r="Y166" i="1" s="1"/>
  <c r="AH166" i="1" s="1"/>
  <c r="O154" i="1"/>
  <c r="X154" i="1" s="1"/>
  <c r="AG154" i="1" s="1"/>
  <c r="Q110" i="1"/>
  <c r="V192" i="1"/>
  <c r="V180" i="1"/>
  <c r="O172" i="1"/>
  <c r="X172" i="1" s="1"/>
  <c r="AG172" i="1" s="1"/>
  <c r="V164" i="1"/>
  <c r="V156" i="1"/>
  <c r="O148" i="1"/>
  <c r="X148" i="1" s="1"/>
  <c r="AG148" i="1" s="1"/>
  <c r="O140" i="1"/>
  <c r="X140" i="1" s="1"/>
  <c r="AG140" i="1" s="1"/>
  <c r="U109" i="1"/>
  <c r="T80" i="1"/>
  <c r="AC80" i="1" s="1"/>
  <c r="AL80" i="1" s="1"/>
  <c r="Q161" i="1"/>
  <c r="U152" i="1"/>
  <c r="U143" i="1"/>
  <c r="U117" i="1"/>
  <c r="T96" i="1"/>
  <c r="T146" i="1"/>
  <c r="Q137" i="1"/>
  <c r="P114" i="1"/>
  <c r="Y114" i="1" s="1"/>
  <c r="AH114" i="1" s="1"/>
  <c r="T88" i="1"/>
  <c r="T136" i="1"/>
  <c r="P117" i="1"/>
  <c r="Y117" i="1" s="1"/>
  <c r="AH117" i="1" s="1"/>
  <c r="O106" i="1"/>
  <c r="X106" i="1" s="1"/>
  <c r="AG106" i="1" s="1"/>
  <c r="V77" i="1"/>
  <c r="P116" i="1"/>
  <c r="Y116" i="1" s="1"/>
  <c r="AH116" i="1" s="1"/>
  <c r="U99" i="1"/>
  <c r="S77" i="1"/>
  <c r="P83" i="1"/>
  <c r="Y83" i="1" s="1"/>
  <c r="AH83" i="1" s="1"/>
  <c r="T70" i="1"/>
  <c r="R96" i="1"/>
  <c r="U80" i="1"/>
  <c r="O226" i="1"/>
  <c r="X226" i="1" s="1"/>
  <c r="AG226" i="1" s="1"/>
  <c r="V211" i="1"/>
  <c r="U196" i="1"/>
  <c r="U180" i="1"/>
  <c r="O153" i="1"/>
  <c r="X153" i="1" s="1"/>
  <c r="AG153" i="1" s="1"/>
  <c r="P110" i="1"/>
  <c r="Y110" i="1" s="1"/>
  <c r="AH110" i="1" s="1"/>
  <c r="T287" i="1"/>
  <c r="AC287" i="1" s="1"/>
  <c r="AL287" i="1" s="1"/>
  <c r="T279" i="1"/>
  <c r="U266" i="1"/>
  <c r="O261" i="1"/>
  <c r="X261" i="1" s="1"/>
  <c r="AG261" i="1" s="1"/>
  <c r="Q255" i="1"/>
  <c r="T247" i="1"/>
  <c r="V241" i="1"/>
  <c r="V233" i="1"/>
  <c r="Q227" i="1"/>
  <c r="V217" i="1"/>
  <c r="V209" i="1"/>
  <c r="AE209" i="1" s="1"/>
  <c r="AN209" i="1" s="1"/>
  <c r="Q203" i="1"/>
  <c r="O197" i="1"/>
  <c r="X197" i="1" s="1"/>
  <c r="AG197" i="1" s="1"/>
  <c r="U188" i="1"/>
  <c r="P178" i="1"/>
  <c r="Y178" i="1" s="1"/>
  <c r="AH178" i="1" s="1"/>
  <c r="Q169" i="1"/>
  <c r="R154" i="1"/>
  <c r="P111" i="1"/>
  <c r="Y111" i="1" s="1"/>
  <c r="AH111" i="1" s="1"/>
  <c r="O224" i="1"/>
  <c r="X224" i="1" s="1"/>
  <c r="AG224" i="1" s="1"/>
  <c r="T210" i="1"/>
  <c r="O204" i="1"/>
  <c r="X204" i="1" s="1"/>
  <c r="AG204" i="1" s="1"/>
  <c r="R197" i="1"/>
  <c r="R186" i="1"/>
  <c r="O178" i="1"/>
  <c r="X178" i="1" s="1"/>
  <c r="AG178" i="1" s="1"/>
  <c r="R167" i="1"/>
  <c r="P153" i="1"/>
  <c r="Y153" i="1" s="1"/>
  <c r="AH153" i="1" s="1"/>
  <c r="O131" i="1"/>
  <c r="X131" i="1" s="1"/>
  <c r="AG131" i="1" s="1"/>
  <c r="P96" i="1"/>
  <c r="Y96" i="1" s="1"/>
  <c r="AH96" i="1" s="1"/>
  <c r="O180" i="1"/>
  <c r="X180" i="1" s="1"/>
  <c r="AG180" i="1" s="1"/>
  <c r="Q174" i="1"/>
  <c r="R153" i="1"/>
  <c r="AA153" i="1" s="1"/>
  <c r="Q135" i="1"/>
  <c r="T121" i="1"/>
  <c r="P104" i="1"/>
  <c r="Y104" i="1" s="1"/>
  <c r="AH104" i="1" s="1"/>
  <c r="Q165" i="1"/>
  <c r="U156" i="1"/>
  <c r="O132" i="1"/>
  <c r="X132" i="1" s="1"/>
  <c r="AG132" i="1" s="1"/>
  <c r="O120" i="1"/>
  <c r="X120" i="1" s="1"/>
  <c r="AG120" i="1" s="1"/>
  <c r="T91" i="1"/>
  <c r="T142" i="1"/>
  <c r="AC142" i="1" s="1"/>
  <c r="AL142" i="1" s="1"/>
  <c r="T133" i="1"/>
  <c r="P122" i="1"/>
  <c r="Y122" i="1" s="1"/>
  <c r="AH122" i="1" s="1"/>
  <c r="P101" i="1"/>
  <c r="Y101" i="1" s="1"/>
  <c r="Q124" i="1"/>
  <c r="T87" i="1"/>
  <c r="AC87" i="1" s="1"/>
  <c r="AL87" i="1" s="1"/>
  <c r="T107" i="1"/>
  <c r="P81" i="1"/>
  <c r="Y81" i="1" s="1"/>
  <c r="AH81" i="1" s="1"/>
  <c r="Q98" i="1"/>
  <c r="V68" i="1"/>
  <c r="O95" i="1"/>
  <c r="X95" i="1" s="1"/>
  <c r="AG95" i="1" s="1"/>
  <c r="S82" i="1"/>
  <c r="Q69" i="1"/>
  <c r="U95" i="1"/>
  <c r="V70" i="1"/>
  <c r="Q136" i="1"/>
  <c r="O122" i="1"/>
  <c r="X122" i="1" s="1"/>
  <c r="AG122" i="1" s="1"/>
  <c r="V114" i="1"/>
  <c r="U107" i="1"/>
  <c r="U94" i="1"/>
  <c r="R82" i="1"/>
  <c r="O69" i="1"/>
  <c r="X69" i="1" s="1"/>
  <c r="AG69" i="1" s="1"/>
  <c r="R118" i="1"/>
  <c r="T111" i="1"/>
  <c r="Q104" i="1"/>
  <c r="T84" i="1"/>
  <c r="AC84" i="1" s="1"/>
  <c r="AL84" i="1" s="1"/>
  <c r="R71" i="1"/>
  <c r="R93" i="1"/>
  <c r="T86" i="1"/>
  <c r="AE86" i="1" s="1"/>
  <c r="AN86" i="1" s="1"/>
  <c r="U73" i="1"/>
  <c r="R104" i="1"/>
  <c r="Q89" i="1"/>
  <c r="Q81" i="1"/>
  <c r="S74" i="1"/>
  <c r="U86" i="1"/>
  <c r="U70" i="1"/>
  <c r="Q119" i="1"/>
  <c r="U110" i="1"/>
  <c r="V98" i="1"/>
  <c r="P73" i="1"/>
  <c r="Y73" i="1" s="1"/>
  <c r="AH73" i="1" s="1"/>
  <c r="V100" i="1"/>
  <c r="Q94" i="1"/>
  <c r="U77" i="1"/>
  <c r="Q70" i="1"/>
  <c r="R100" i="1"/>
  <c r="R88" i="1"/>
  <c r="P82" i="1"/>
  <c r="Y82" i="1" s="1"/>
  <c r="AH82" i="1" s="1"/>
  <c r="T73" i="1"/>
  <c r="AC73" i="1" s="1"/>
  <c r="AL73" i="1" s="1"/>
  <c r="U92" i="1"/>
  <c r="P112" i="1"/>
  <c r="Y112" i="1" s="1"/>
  <c r="AH112" i="1" s="1"/>
  <c r="T132" i="1"/>
  <c r="AC132" i="1" s="1"/>
  <c r="AL132" i="1" s="1"/>
  <c r="R141" i="1"/>
  <c r="O151" i="1"/>
  <c r="X151" i="1" s="1"/>
  <c r="AG151" i="1" s="1"/>
  <c r="P128" i="1"/>
  <c r="Y128" i="1" s="1"/>
  <c r="AH128" i="1" s="1"/>
  <c r="P183" i="1"/>
  <c r="Y183" i="1" s="1"/>
  <c r="AH183" i="1" s="1"/>
  <c r="U138" i="1"/>
  <c r="Q173" i="1"/>
  <c r="U197" i="1"/>
  <c r="Q218" i="1"/>
  <c r="O141" i="1"/>
  <c r="X141" i="1" s="1"/>
  <c r="AG141" i="1" s="1"/>
  <c r="O171" i="1"/>
  <c r="X171" i="1" s="1"/>
  <c r="AG171" i="1" s="1"/>
  <c r="P194" i="1"/>
  <c r="Y194" i="1" s="1"/>
  <c r="AH194" i="1" s="1"/>
  <c r="O213" i="1"/>
  <c r="X213" i="1" s="1"/>
  <c r="AG213" i="1" s="1"/>
  <c r="V229" i="1"/>
  <c r="P252" i="1"/>
  <c r="Y252" i="1" s="1"/>
  <c r="V214" i="1"/>
  <c r="Q196" i="1"/>
  <c r="V178" i="1"/>
  <c r="V158" i="1"/>
  <c r="V120" i="1"/>
  <c r="O290" i="1"/>
  <c r="X290" i="1" s="1"/>
  <c r="AG290" i="1" s="1"/>
  <c r="S255" i="1"/>
  <c r="R244" i="1"/>
  <c r="V231" i="1"/>
  <c r="U204" i="1"/>
  <c r="T147" i="1"/>
  <c r="Q219" i="1"/>
  <c r="S200" i="1"/>
  <c r="V179" i="1"/>
  <c r="Q155" i="1"/>
  <c r="Z155" i="1" s="1"/>
  <c r="V224" i="1"/>
  <c r="U205" i="1"/>
  <c r="U182" i="1"/>
  <c r="U155" i="1"/>
  <c r="AD155" i="1" s="1"/>
  <c r="AM155" i="1" s="1"/>
  <c r="O192" i="1"/>
  <c r="X192" i="1" s="1"/>
  <c r="AG192" i="1" s="1"/>
  <c r="U169" i="1"/>
  <c r="P145" i="1"/>
  <c r="Y145" i="1" s="1"/>
  <c r="AH145" i="1" s="1"/>
  <c r="V163" i="1"/>
  <c r="U105" i="1"/>
  <c r="R99" i="1"/>
  <c r="T95" i="1"/>
  <c r="AC95" i="1" s="1"/>
  <c r="AL95" i="1" s="1"/>
  <c r="P79" i="1"/>
  <c r="Y79" i="1" s="1"/>
  <c r="R110" i="1"/>
  <c r="T122" i="1"/>
  <c r="AC122" i="1" s="1"/>
  <c r="AL122" i="1" s="1"/>
  <c r="Q182" i="1"/>
  <c r="P172" i="1"/>
  <c r="Y172" i="1" s="1"/>
  <c r="AH172" i="1" s="1"/>
  <c r="O216" i="1"/>
  <c r="X216" i="1" s="1"/>
  <c r="AG216" i="1" s="1"/>
  <c r="V169" i="1"/>
  <c r="P212" i="1"/>
  <c r="Y212" i="1" s="1"/>
  <c r="AH212" i="1" s="1"/>
  <c r="O249" i="1"/>
  <c r="X249" i="1" s="1"/>
  <c r="AG249" i="1" s="1"/>
  <c r="O273" i="1"/>
  <c r="X273" i="1" s="1"/>
  <c r="AG273" i="1" s="1"/>
  <c r="P218" i="1"/>
  <c r="Y218" i="1" s="1"/>
  <c r="AH218" i="1" s="1"/>
  <c r="U240" i="1"/>
  <c r="P221" i="1"/>
  <c r="Y221" i="1" s="1"/>
  <c r="AH221" i="1" s="1"/>
  <c r="O206" i="1"/>
  <c r="X206" i="1" s="1"/>
  <c r="AG206" i="1" s="1"/>
  <c r="U184" i="1"/>
  <c r="P157" i="1"/>
  <c r="Y157" i="1" s="1"/>
  <c r="P293" i="1"/>
  <c r="Y293" i="1" s="1"/>
  <c r="AH293" i="1" s="1"/>
  <c r="R279" i="1"/>
  <c r="R263" i="1"/>
  <c r="P246" i="1"/>
  <c r="Y246" i="1" s="1"/>
  <c r="AH246" i="1" s="1"/>
  <c r="O211" i="1"/>
  <c r="X211" i="1" s="1"/>
  <c r="AG211" i="1" s="1"/>
  <c r="P288" i="1"/>
  <c r="Y288" i="1" s="1"/>
  <c r="AH288" i="1" s="1"/>
  <c r="V253" i="1"/>
  <c r="U206" i="1"/>
  <c r="O176" i="1"/>
  <c r="X176" i="1" s="1"/>
  <c r="AG176" i="1" s="1"/>
  <c r="O93" i="1"/>
  <c r="X93" i="1" s="1"/>
  <c r="AG93" i="1" s="1"/>
  <c r="O91" i="1"/>
  <c r="X91" i="1" s="1"/>
  <c r="AG91" i="1" s="1"/>
  <c r="O159" i="1"/>
  <c r="X159" i="1" s="1"/>
  <c r="AG159" i="1" s="1"/>
  <c r="R117" i="1"/>
  <c r="V220" i="1"/>
  <c r="R266" i="1"/>
  <c r="V247" i="1"/>
  <c r="Q269" i="1"/>
  <c r="R289" i="1"/>
  <c r="T160" i="1"/>
  <c r="AC160" i="1" s="1"/>
  <c r="AL160" i="1" s="1"/>
  <c r="R194" i="1"/>
  <c r="T216" i="1"/>
  <c r="O235" i="1"/>
  <c r="X235" i="1" s="1"/>
  <c r="AG235" i="1" s="1"/>
  <c r="V243" i="1"/>
  <c r="P255" i="1"/>
  <c r="Y255" i="1" s="1"/>
  <c r="T264" i="1"/>
  <c r="S273" i="1"/>
  <c r="O283" i="1"/>
  <c r="X283" i="1" s="1"/>
  <c r="AG283" i="1" s="1"/>
  <c r="R292" i="1"/>
  <c r="U236" i="1"/>
  <c r="R219" i="1"/>
  <c r="T183" i="1"/>
  <c r="O89" i="1"/>
  <c r="X89" i="1" s="1"/>
  <c r="AG89" i="1" s="1"/>
  <c r="O268" i="1"/>
  <c r="X268" i="1" s="1"/>
  <c r="AG268" i="1" s="1"/>
  <c r="Q234" i="1"/>
  <c r="R282" i="1"/>
  <c r="T203" i="1"/>
  <c r="AC203" i="1" s="1"/>
  <c r="AL203" i="1" s="1"/>
  <c r="O194" i="1"/>
  <c r="X194" i="1" s="1"/>
  <c r="AG194" i="1" s="1"/>
  <c r="P136" i="1"/>
  <c r="Y136" i="1" s="1"/>
  <c r="AH136" i="1" s="1"/>
  <c r="R77" i="1"/>
  <c r="P187" i="1"/>
  <c r="Y187" i="1" s="1"/>
  <c r="AH187" i="1" s="1"/>
  <c r="U116" i="1"/>
  <c r="U82" i="1"/>
  <c r="AD82" i="1" s="1"/>
  <c r="AM82" i="1" s="1"/>
  <c r="U259" i="1"/>
  <c r="T106" i="1"/>
  <c r="V198" i="1"/>
  <c r="T232" i="1"/>
  <c r="R259" i="1"/>
  <c r="U271" i="1"/>
  <c r="P330" i="1"/>
  <c r="Y330" i="1" s="1"/>
  <c r="AH330" i="1" s="1"/>
  <c r="O323" i="1"/>
  <c r="X323" i="1" s="1"/>
  <c r="AG323" i="1" s="1"/>
  <c r="V315" i="1"/>
  <c r="U308" i="1"/>
  <c r="T301" i="1"/>
  <c r="AD301" i="1" s="1"/>
  <c r="AM301" i="1" s="1"/>
  <c r="V291" i="1"/>
  <c r="V246" i="1"/>
  <c r="V222" i="1"/>
  <c r="Q141" i="1"/>
  <c r="U256" i="1"/>
  <c r="O269" i="1"/>
  <c r="X269" i="1" s="1"/>
  <c r="AG269" i="1" s="1"/>
  <c r="U173" i="1"/>
  <c r="T325" i="1"/>
  <c r="S318" i="1"/>
  <c r="R304" i="1"/>
  <c r="Q284" i="1"/>
  <c r="O270" i="1"/>
  <c r="X270" i="1" s="1"/>
  <c r="AG270" i="1" s="1"/>
  <c r="Q252" i="1"/>
  <c r="Q181" i="1"/>
  <c r="U272" i="1"/>
  <c r="Q177" i="1"/>
  <c r="P93" i="1"/>
  <c r="Y93" i="1" s="1"/>
  <c r="AH93" i="1" s="1"/>
  <c r="R76" i="1"/>
  <c r="T230" i="1"/>
  <c r="P205" i="1"/>
  <c r="Y205" i="1" s="1"/>
  <c r="AH205" i="1" s="1"/>
  <c r="P258" i="1"/>
  <c r="Y258" i="1" s="1"/>
  <c r="AH258" i="1" s="1"/>
  <c r="R288" i="1"/>
  <c r="S306" i="1"/>
  <c r="U320" i="1"/>
  <c r="T333" i="1"/>
  <c r="Z333" i="1" s="1"/>
  <c r="U340" i="1"/>
  <c r="V347" i="1"/>
  <c r="R316" i="1"/>
  <c r="R296" i="1"/>
  <c r="O295" i="1"/>
  <c r="X295" i="1" s="1"/>
  <c r="AG295" i="1" s="1"/>
  <c r="U255" i="1"/>
  <c r="R209" i="1"/>
  <c r="AA209" i="1" s="1"/>
  <c r="T284" i="1"/>
  <c r="AC284" i="1" s="1"/>
  <c r="AL284" i="1" s="1"/>
  <c r="R291" i="1"/>
  <c r="U304" i="1"/>
  <c r="O343" i="1"/>
  <c r="X343" i="1" s="1"/>
  <c r="AG343" i="1" s="1"/>
  <c r="V150" i="1"/>
  <c r="U231" i="1"/>
  <c r="T269" i="1"/>
  <c r="Q300" i="1"/>
  <c r="Q319" i="1"/>
  <c r="O340" i="1"/>
  <c r="X340" i="1" s="1"/>
  <c r="AG340" i="1" s="1"/>
  <c r="P358" i="1"/>
  <c r="Y358" i="1" s="1"/>
  <c r="AH358" i="1" s="1"/>
  <c r="Q365" i="1"/>
  <c r="R372" i="1"/>
  <c r="T318" i="1"/>
  <c r="P309" i="1"/>
  <c r="Y309" i="1" s="1"/>
  <c r="AH309" i="1" s="1"/>
  <c r="T299" i="1"/>
  <c r="S249" i="1"/>
  <c r="S230" i="1"/>
  <c r="R172" i="1"/>
  <c r="O347" i="1"/>
  <c r="X347" i="1" s="1"/>
  <c r="AG347" i="1" s="1"/>
  <c r="T337" i="1"/>
  <c r="Q322" i="1"/>
  <c r="T312" i="1"/>
  <c r="AD312" i="1" s="1"/>
  <c r="AM312" i="1" s="1"/>
  <c r="Q303" i="1"/>
  <c r="Z303" i="1" s="1"/>
  <c r="U293" i="1"/>
  <c r="S275" i="1"/>
  <c r="T256" i="1"/>
  <c r="T237" i="1"/>
  <c r="R215" i="1"/>
  <c r="S350" i="1"/>
  <c r="Q341" i="1"/>
  <c r="S330" i="1"/>
  <c r="Q297" i="1"/>
  <c r="P652" i="1"/>
  <c r="Y652" i="1" s="1"/>
  <c r="R597" i="1"/>
  <c r="V520" i="1"/>
  <c r="AE520" i="1" s="1"/>
  <c r="AN520" i="1" s="1"/>
  <c r="S438" i="1"/>
  <c r="Q631" i="1"/>
  <c r="P490" i="1"/>
  <c r="Y490" i="1" s="1"/>
  <c r="T619" i="1"/>
  <c r="P510" i="1"/>
  <c r="Y510" i="1" s="1"/>
  <c r="AH510" i="1" s="1"/>
  <c r="Q364" i="1"/>
  <c r="S591" i="1"/>
  <c r="R440" i="1"/>
  <c r="S400" i="1"/>
  <c r="V439" i="1"/>
  <c r="S325" i="1"/>
  <c r="O662" i="1"/>
  <c r="X662" i="1" s="1"/>
  <c r="AG662" i="1" s="1"/>
  <c r="S462" i="1"/>
  <c r="S590" i="1"/>
  <c r="T565" i="1"/>
  <c r="T597" i="1"/>
  <c r="P297" i="1"/>
  <c r="Y297" i="1" s="1"/>
  <c r="R544" i="1"/>
  <c r="T615" i="1"/>
  <c r="O504" i="1"/>
  <c r="X504" i="1" s="1"/>
  <c r="AG504" i="1" s="1"/>
  <c r="S425" i="1"/>
  <c r="S303" i="1"/>
  <c r="R641" i="1"/>
  <c r="S542" i="1"/>
  <c r="T485" i="1"/>
  <c r="AC485" i="1" s="1"/>
  <c r="AL485" i="1" s="1"/>
  <c r="U424" i="1"/>
  <c r="V301" i="1"/>
  <c r="P656" i="1"/>
  <c r="Y656" i="1" s="1"/>
  <c r="AH656" i="1" s="1"/>
  <c r="V528" i="1"/>
  <c r="P612" i="1"/>
  <c r="Y612" i="1" s="1"/>
  <c r="AH612" i="1" s="1"/>
  <c r="T498" i="1"/>
  <c r="T336" i="1"/>
  <c r="AE336" i="1" s="1"/>
  <c r="AN336" i="1" s="1"/>
  <c r="Q659" i="1"/>
  <c r="S611" i="1"/>
  <c r="P535" i="1"/>
  <c r="Y535" i="1" s="1"/>
  <c r="AH535" i="1" s="1"/>
  <c r="O650" i="1"/>
  <c r="X650" i="1" s="1"/>
  <c r="AG650" i="1" s="1"/>
  <c r="S518" i="1"/>
  <c r="U277" i="1"/>
  <c r="V633" i="1"/>
  <c r="AE633" i="1" s="1"/>
  <c r="AN633" i="1" s="1"/>
  <c r="V406" i="1"/>
  <c r="Q617" i="1"/>
  <c r="V468" i="1"/>
  <c r="V594" i="1"/>
  <c r="V442" i="1"/>
  <c r="O497" i="1"/>
  <c r="X497" i="1" s="1"/>
  <c r="AG497" i="1" s="1"/>
  <c r="T656" i="1"/>
  <c r="S623" i="1"/>
  <c r="U375" i="1"/>
  <c r="P644" i="1"/>
  <c r="Y644" i="1" s="1"/>
  <c r="AH644" i="1" s="1"/>
  <c r="U553" i="1"/>
  <c r="T450" i="1"/>
  <c r="Q359" i="1"/>
  <c r="R592" i="1"/>
  <c r="S478" i="1"/>
  <c r="P273" i="1"/>
  <c r="Y273" i="1" s="1"/>
  <c r="AH273" i="1" s="1"/>
  <c r="T514" i="1"/>
  <c r="Q598" i="1"/>
  <c r="U298" i="1"/>
  <c r="V653" i="1"/>
  <c r="Q526" i="1"/>
  <c r="Q637" i="1"/>
  <c r="T141" i="1"/>
  <c r="AC141" i="1" s="1"/>
  <c r="AL141" i="1" s="1"/>
  <c r="R449" i="1"/>
  <c r="U418" i="1"/>
  <c r="T651" i="1"/>
  <c r="AC651" i="1" s="1"/>
  <c r="AL651" i="1" s="1"/>
  <c r="P559" i="1"/>
  <c r="Y559" i="1" s="1"/>
  <c r="AH559" i="1" s="1"/>
  <c r="R445" i="1"/>
  <c r="U638" i="1"/>
  <c r="O576" i="1"/>
  <c r="X576" i="1" s="1"/>
  <c r="AG576" i="1" s="1"/>
  <c r="S499" i="1"/>
  <c r="V385" i="1"/>
  <c r="S598" i="1"/>
  <c r="R617" i="1"/>
  <c r="P357" i="1"/>
  <c r="Y357" i="1" s="1"/>
  <c r="AH357" i="1" s="1"/>
  <c r="Q433" i="1"/>
  <c r="T391" i="1"/>
  <c r="P495" i="1"/>
  <c r="Y495" i="1" s="1"/>
  <c r="AH495" i="1" s="1"/>
  <c r="U609" i="1"/>
  <c r="V456" i="1"/>
  <c r="Q513" i="1"/>
  <c r="V527" i="1"/>
  <c r="Q614" i="1"/>
  <c r="O590" i="1"/>
  <c r="X590" i="1" s="1"/>
  <c r="AG590" i="1" s="1"/>
  <c r="T487" i="1"/>
  <c r="O608" i="1"/>
  <c r="X608" i="1" s="1"/>
  <c r="AG608" i="1" s="1"/>
  <c r="Q494" i="1"/>
  <c r="V324" i="1"/>
  <c r="O563" i="1"/>
  <c r="X563" i="1" s="1"/>
  <c r="AG563" i="1" s="1"/>
  <c r="R395" i="1"/>
  <c r="T654" i="1"/>
  <c r="AC654" i="1" s="1"/>
  <c r="AL654" i="1" s="1"/>
  <c r="Q565" i="1"/>
  <c r="R513" i="1"/>
  <c r="AA513" i="1" s="1"/>
  <c r="U639" i="1"/>
  <c r="Q488" i="1"/>
  <c r="T575" i="1"/>
  <c r="AA575" i="1" s="1"/>
  <c r="P455" i="1"/>
  <c r="Y455" i="1" s="1"/>
  <c r="AH455" i="1" s="1"/>
  <c r="V239" i="1"/>
  <c r="AP239" i="1" s="1"/>
  <c r="R630" i="1"/>
  <c r="P526" i="1"/>
  <c r="Y526" i="1" s="1"/>
  <c r="AH526" i="1" s="1"/>
  <c r="Q396" i="1"/>
  <c r="U461" i="1"/>
  <c r="U587" i="1"/>
  <c r="P434" i="1"/>
  <c r="Y434" i="1" s="1"/>
  <c r="AH434" i="1" s="1"/>
  <c r="U482" i="1"/>
  <c r="V628" i="1"/>
  <c r="AE628" i="1" s="1"/>
  <c r="AN628" i="1" s="1"/>
  <c r="U391" i="1"/>
  <c r="S647" i="1"/>
  <c r="AP647" i="1" s="1"/>
  <c r="V551" i="1"/>
  <c r="Q437" i="1"/>
  <c r="Z437" i="1" s="1"/>
  <c r="S635" i="1"/>
  <c r="S495" i="1"/>
  <c r="O622" i="1"/>
  <c r="X622" i="1" s="1"/>
  <c r="AG622" i="1" s="1"/>
  <c r="O549" i="1"/>
  <c r="X549" i="1" s="1"/>
  <c r="AG549" i="1" s="1"/>
  <c r="R620" i="1"/>
  <c r="O511" i="1"/>
  <c r="X511" i="1" s="1"/>
  <c r="AG511" i="1" s="1"/>
  <c r="O366" i="1"/>
  <c r="X366" i="1" s="1"/>
  <c r="AG366" i="1" s="1"/>
  <c r="R593" i="1"/>
  <c r="R441" i="1"/>
  <c r="U543" i="1"/>
  <c r="P588" i="1"/>
  <c r="Y588" i="1" s="1"/>
  <c r="AH588" i="1" s="1"/>
  <c r="T657" i="1"/>
  <c r="S535" i="1"/>
  <c r="U330" i="1"/>
  <c r="Q568" i="1"/>
  <c r="Z568" i="1" s="1"/>
  <c r="T468" i="1"/>
  <c r="P225" i="1"/>
  <c r="Y225" i="1" s="1"/>
  <c r="AH225" i="1" s="1"/>
  <c r="T443" i="1"/>
  <c r="O574" i="1"/>
  <c r="X574" i="1" s="1"/>
  <c r="AG574" i="1" s="1"/>
  <c r="T272" i="1"/>
  <c r="AC272" i="1" s="1"/>
  <c r="AL272" i="1" s="1"/>
  <c r="O646" i="1"/>
  <c r="X646" i="1" s="1"/>
  <c r="AG646" i="1" s="1"/>
  <c r="V494" i="1"/>
  <c r="O609" i="1"/>
  <c r="X609" i="1" s="1"/>
  <c r="AG609" i="1" s="1"/>
  <c r="R423" i="1"/>
  <c r="R606" i="1"/>
  <c r="U292" i="1"/>
  <c r="V420" i="1"/>
  <c r="Q348" i="1"/>
  <c r="Q664" i="1"/>
  <c r="V507" i="1"/>
  <c r="AE507" i="1" s="1"/>
  <c r="AN507" i="1" s="1"/>
  <c r="P591" i="1"/>
  <c r="Y591" i="1" s="1"/>
  <c r="S531" i="1"/>
  <c r="P459" i="1"/>
  <c r="Y459" i="1" s="1"/>
  <c r="AH459" i="1" s="1"/>
  <c r="P611" i="1"/>
  <c r="Y611" i="1" s="1"/>
  <c r="T562" i="1"/>
  <c r="AC562" i="1" s="1"/>
  <c r="AL562" i="1" s="1"/>
  <c r="R549" i="1"/>
  <c r="T355" i="1"/>
  <c r="O621" i="1"/>
  <c r="X621" i="1" s="1"/>
  <c r="AG621" i="1" s="1"/>
  <c r="U552" i="1"/>
  <c r="R497" i="1"/>
  <c r="U550" i="1"/>
  <c r="V495" i="1"/>
  <c r="V431" i="1"/>
  <c r="V362" i="1"/>
  <c r="AP362" i="1" s="1"/>
  <c r="V648" i="1"/>
  <c r="Q550" i="1"/>
  <c r="U67" i="1"/>
  <c r="U420" i="1"/>
  <c r="S665" i="1"/>
  <c r="V382" i="1"/>
  <c r="Q363" i="1"/>
  <c r="Z363" i="1" s="1"/>
  <c r="T609" i="1"/>
  <c r="AC609" i="1" s="1"/>
  <c r="AL609" i="1" s="1"/>
  <c r="V635" i="1"/>
  <c r="P636" i="1"/>
  <c r="Y636" i="1" s="1"/>
  <c r="AH636" i="1" s="1"/>
  <c r="Q634" i="1"/>
  <c r="V496" i="1"/>
  <c r="AP496" i="1" s="1"/>
  <c r="AQ496" i="1" s="1"/>
  <c r="V644" i="1"/>
  <c r="P562" i="1"/>
  <c r="Y562" i="1" s="1"/>
  <c r="V579" i="1"/>
  <c r="R651" i="1"/>
  <c r="O409" i="1"/>
  <c r="X409" i="1" s="1"/>
  <c r="AG409" i="1" s="1"/>
  <c r="S510" i="1"/>
  <c r="V572" i="1"/>
  <c r="T266" i="1"/>
  <c r="V657" i="1"/>
  <c r="O354" i="1"/>
  <c r="X354" i="1" s="1"/>
  <c r="AG354" i="1" s="1"/>
  <c r="T611" i="1"/>
  <c r="AC611" i="1" s="1"/>
  <c r="AL611" i="1" s="1"/>
  <c r="S558" i="1"/>
  <c r="AP558" i="1" s="1"/>
  <c r="AQ558" i="1" s="1"/>
  <c r="O313" i="1"/>
  <c r="X313" i="1" s="1"/>
  <c r="AG313" i="1" s="1"/>
  <c r="O439" i="1"/>
  <c r="X439" i="1" s="1"/>
  <c r="AG439" i="1" s="1"/>
  <c r="V645" i="1"/>
  <c r="S412" i="1"/>
  <c r="AP412" i="1" s="1"/>
  <c r="AQ412" i="1" s="1"/>
  <c r="Q647" i="1"/>
  <c r="R448" i="1"/>
  <c r="V531" i="1"/>
  <c r="R605" i="1"/>
  <c r="AA605" i="1" s="1"/>
  <c r="U641" i="1"/>
  <c r="U407" i="1"/>
  <c r="O294" i="1"/>
  <c r="X294" i="1" s="1"/>
  <c r="AG294" i="1" s="1"/>
  <c r="P447" i="1"/>
  <c r="Y447" i="1" s="1"/>
  <c r="AH447" i="1" s="1"/>
  <c r="S571" i="1"/>
  <c r="P530" i="1"/>
  <c r="Y530" i="1" s="1"/>
  <c r="AH530" i="1" s="1"/>
  <c r="T225" i="1"/>
  <c r="AC225" i="1" s="1"/>
  <c r="AL225" i="1" s="1"/>
  <c r="Q537" i="1"/>
  <c r="T453" i="1"/>
  <c r="AC453" i="1" s="1"/>
  <c r="AL453" i="1" s="1"/>
  <c r="P610" i="1"/>
  <c r="Y610" i="1" s="1"/>
  <c r="AH610" i="1" s="1"/>
  <c r="V350" i="1"/>
  <c r="R461" i="1"/>
  <c r="T610" i="1"/>
  <c r="T244" i="1"/>
  <c r="O587" i="1"/>
  <c r="X587" i="1" s="1"/>
  <c r="AG587" i="1" s="1"/>
  <c r="P397" i="1"/>
  <c r="Y397" i="1" s="1"/>
  <c r="AH397" i="1" s="1"/>
  <c r="T630" i="1"/>
  <c r="U637" i="1"/>
  <c r="P653" i="1"/>
  <c r="Y653" i="1" s="1"/>
  <c r="V67" i="1"/>
  <c r="V625" i="1"/>
  <c r="O390" i="1"/>
  <c r="X390" i="1" s="1"/>
  <c r="AG390" i="1" s="1"/>
  <c r="T327" i="1"/>
  <c r="S494" i="1"/>
  <c r="R330" i="1"/>
  <c r="U655" i="1"/>
  <c r="T67" i="1"/>
  <c r="P543" i="1"/>
  <c r="Y543" i="1" s="1"/>
  <c r="AH543" i="1" s="1"/>
  <c r="Q473" i="1"/>
  <c r="S526" i="1"/>
  <c r="T417" i="1"/>
  <c r="AC417" i="1" s="1"/>
  <c r="AL417" i="1" s="1"/>
  <c r="P594" i="1"/>
  <c r="Y594" i="1" s="1"/>
  <c r="AH594" i="1" s="1"/>
  <c r="P498" i="1"/>
  <c r="Y498" i="1" s="1"/>
  <c r="AH498" i="1" s="1"/>
  <c r="U444" i="1"/>
  <c r="P511" i="1"/>
  <c r="Y511" i="1" s="1"/>
  <c r="AH511" i="1" s="1"/>
  <c r="P254" i="1"/>
  <c r="Y254" i="1" s="1"/>
  <c r="AH254" i="1" s="1"/>
  <c r="R547" i="1"/>
  <c r="S470" i="1"/>
  <c r="T419" i="1"/>
  <c r="R477" i="1"/>
  <c r="R471" i="1"/>
  <c r="P648" i="1"/>
  <c r="Y648" i="1" s="1"/>
  <c r="AH648" i="1" s="1"/>
  <c r="U359" i="1"/>
  <c r="R666" i="1"/>
  <c r="V448" i="1"/>
  <c r="R478" i="1"/>
  <c r="R524" i="1"/>
  <c r="AA524" i="1" s="1"/>
  <c r="T392" i="1"/>
  <c r="AC392" i="1" s="1"/>
  <c r="AL392" i="1" s="1"/>
  <c r="R644" i="1"/>
  <c r="Q581" i="1"/>
  <c r="R626" i="1"/>
  <c r="R584" i="1"/>
  <c r="U460" i="1"/>
  <c r="S574" i="1"/>
  <c r="R659" i="1"/>
  <c r="AA659" i="1" s="1"/>
  <c r="T662" i="1"/>
  <c r="AC662" i="1" s="1"/>
  <c r="AL662" i="1" s="1"/>
  <c r="S660" i="1"/>
  <c r="T482" i="1"/>
  <c r="O639" i="1"/>
  <c r="X639" i="1" s="1"/>
  <c r="AG639" i="1" s="1"/>
  <c r="S446" i="1"/>
  <c r="V595" i="1"/>
  <c r="U439" i="1"/>
  <c r="S627" i="1"/>
  <c r="Q441" i="1"/>
  <c r="S344" i="1"/>
  <c r="Q486" i="1"/>
  <c r="O620" i="1"/>
  <c r="X620" i="1" s="1"/>
  <c r="AG620" i="1" s="1"/>
  <c r="P463" i="1"/>
  <c r="Y463" i="1" s="1"/>
  <c r="AH463" i="1" s="1"/>
  <c r="R257" i="1"/>
  <c r="V335" i="1"/>
  <c r="P234" i="1"/>
  <c r="Y234" i="1" s="1"/>
  <c r="AH234" i="1" s="1"/>
  <c r="V283" i="1"/>
  <c r="R313" i="1"/>
  <c r="P331" i="1"/>
  <c r="Y331" i="1" s="1"/>
  <c r="AH331" i="1" s="1"/>
  <c r="S343" i="1"/>
  <c r="AP343" i="1" s="1"/>
  <c r="AQ343" i="1" s="1"/>
  <c r="V355" i="1"/>
  <c r="T365" i="1"/>
  <c r="AC365" i="1" s="1"/>
  <c r="AL365" i="1" s="1"/>
  <c r="O375" i="1"/>
  <c r="X375" i="1" s="1"/>
  <c r="AG375" i="1" s="1"/>
  <c r="S382" i="1"/>
  <c r="T389" i="1"/>
  <c r="U396" i="1"/>
  <c r="V403" i="1"/>
  <c r="O411" i="1"/>
  <c r="X411" i="1" s="1"/>
  <c r="AG411" i="1" s="1"/>
  <c r="P126" i="1"/>
  <c r="Y126" i="1" s="1"/>
  <c r="AH126" i="1" s="1"/>
  <c r="S314" i="1"/>
  <c r="O351" i="1"/>
  <c r="X351" i="1" s="1"/>
  <c r="AG351" i="1" s="1"/>
  <c r="O210" i="1"/>
  <c r="X210" i="1" s="1"/>
  <c r="AG210" i="1" s="1"/>
  <c r="V264" i="1"/>
  <c r="U303" i="1"/>
  <c r="R326" i="1"/>
  <c r="U338" i="1"/>
  <c r="Q351" i="1"/>
  <c r="Z351" i="1" s="1"/>
  <c r="P362" i="1"/>
  <c r="Y362" i="1" s="1"/>
  <c r="AH362" i="1" s="1"/>
  <c r="V379" i="1"/>
  <c r="O387" i="1"/>
  <c r="X387" i="1" s="1"/>
  <c r="AG387" i="1" s="1"/>
  <c r="P394" i="1"/>
  <c r="Y394" i="1" s="1"/>
  <c r="AH394" i="1" s="1"/>
  <c r="Q401" i="1"/>
  <c r="R408" i="1"/>
  <c r="R168" i="1"/>
  <c r="U229" i="1"/>
  <c r="U248" i="1"/>
  <c r="U267" i="1"/>
  <c r="Q309" i="1"/>
  <c r="T204" i="1"/>
  <c r="AE204" i="1" s="1"/>
  <c r="AN204" i="1" s="1"/>
  <c r="T302" i="1"/>
  <c r="Q338" i="1"/>
  <c r="Q361" i="1"/>
  <c r="T393" i="1"/>
  <c r="V407" i="1"/>
  <c r="O166" i="1"/>
  <c r="X166" i="1" s="1"/>
  <c r="AG166" i="1" s="1"/>
  <c r="R271" i="1"/>
  <c r="Q302" i="1"/>
  <c r="T311" i="1"/>
  <c r="AC311" i="1" s="1"/>
  <c r="AL311" i="1" s="1"/>
  <c r="P321" i="1"/>
  <c r="Y321" i="1" s="1"/>
  <c r="T330" i="1"/>
  <c r="AC330" i="1" s="1"/>
  <c r="AL330" i="1" s="1"/>
  <c r="P340" i="1"/>
  <c r="Y340" i="1" s="1"/>
  <c r="S349" i="1"/>
  <c r="Q358" i="1"/>
  <c r="R365" i="1"/>
  <c r="O264" i="1"/>
  <c r="X264" i="1" s="1"/>
  <c r="AG264" i="1" s="1"/>
  <c r="Q184" i="1"/>
  <c r="T296" i="1"/>
  <c r="AC296" i="1" s="1"/>
  <c r="AL296" i="1" s="1"/>
  <c r="T334" i="1"/>
  <c r="AC334" i="1" s="1"/>
  <c r="AL334" i="1" s="1"/>
  <c r="O359" i="1"/>
  <c r="X359" i="1" s="1"/>
  <c r="AG359" i="1" s="1"/>
  <c r="T377" i="1"/>
  <c r="V391" i="1"/>
  <c r="P406" i="1"/>
  <c r="Y406" i="1" s="1"/>
  <c r="AH406" i="1" s="1"/>
  <c r="P152" i="1"/>
  <c r="Y152" i="1" s="1"/>
  <c r="AH152" i="1" s="1"/>
  <c r="P214" i="1"/>
  <c r="Y214" i="1" s="1"/>
  <c r="AH214" i="1" s="1"/>
  <c r="V242" i="1"/>
  <c r="V268" i="1"/>
  <c r="Q290" i="1"/>
  <c r="O301" i="1"/>
  <c r="X301" i="1" s="1"/>
  <c r="AG301" i="1" s="1"/>
  <c r="O320" i="1"/>
  <c r="X320" i="1" s="1"/>
  <c r="AG320" i="1" s="1"/>
  <c r="V338" i="1"/>
  <c r="AE338" i="1" s="1"/>
  <c r="AN338" i="1" s="1"/>
  <c r="R357" i="1"/>
  <c r="S371" i="1"/>
  <c r="T378" i="1"/>
  <c r="AC378" i="1" s="1"/>
  <c r="AL378" i="1" s="1"/>
  <c r="U385" i="1"/>
  <c r="V392" i="1"/>
  <c r="O400" i="1"/>
  <c r="X400" i="1" s="1"/>
  <c r="AG400" i="1" s="1"/>
  <c r="P407" i="1"/>
  <c r="Y407" i="1" s="1"/>
  <c r="AH407" i="1" s="1"/>
  <c r="Q414" i="1"/>
  <c r="R421" i="1"/>
  <c r="S435" i="1"/>
  <c r="V153" i="1"/>
  <c r="V223" i="1"/>
  <c r="S296" i="1"/>
  <c r="S315" i="1"/>
  <c r="Q368" i="1"/>
  <c r="T396" i="1"/>
  <c r="Z396" i="1" s="1"/>
  <c r="V410" i="1"/>
  <c r="O170" i="1"/>
  <c r="X170" i="1" s="1"/>
  <c r="AG170" i="1" s="1"/>
  <c r="U376" i="1"/>
  <c r="Q405" i="1"/>
  <c r="R212" i="1"/>
  <c r="S266" i="1"/>
  <c r="R319" i="1"/>
  <c r="R338" i="1"/>
  <c r="V356" i="1"/>
  <c r="P371" i="1"/>
  <c r="Y371" i="1" s="1"/>
  <c r="AH371" i="1" s="1"/>
  <c r="V380" i="1"/>
  <c r="Q390" i="1"/>
  <c r="Z390" i="1" s="1"/>
  <c r="S399" i="1"/>
  <c r="R409" i="1"/>
  <c r="T418" i="1"/>
  <c r="O428" i="1"/>
  <c r="X428" i="1" s="1"/>
  <c r="AG428" i="1" s="1"/>
  <c r="U437" i="1"/>
  <c r="S202" i="1"/>
  <c r="O260" i="1"/>
  <c r="X260" i="1" s="1"/>
  <c r="AG260" i="1" s="1"/>
  <c r="Q353" i="1"/>
  <c r="V326" i="1"/>
  <c r="V371" i="1"/>
  <c r="T401" i="1"/>
  <c r="T201" i="1"/>
  <c r="AC201" i="1" s="1"/>
  <c r="AL201" i="1" s="1"/>
  <c r="T260" i="1"/>
  <c r="O298" i="1"/>
  <c r="X298" i="1" s="1"/>
  <c r="AG298" i="1" s="1"/>
  <c r="O317" i="1"/>
  <c r="X317" i="1" s="1"/>
  <c r="AG317" i="1" s="1"/>
  <c r="O336" i="1"/>
  <c r="X336" i="1" s="1"/>
  <c r="AG336" i="1" s="1"/>
  <c r="V354" i="1"/>
  <c r="R369" i="1"/>
  <c r="S379" i="1"/>
  <c r="V388" i="1"/>
  <c r="T398" i="1"/>
  <c r="Z398" i="1" s="1"/>
  <c r="O408" i="1"/>
  <c r="X408" i="1" s="1"/>
  <c r="AG408" i="1" s="1"/>
  <c r="P67" i="1"/>
  <c r="Y67" i="1" s="1"/>
  <c r="AH67" i="1" s="1"/>
  <c r="R496" i="1"/>
  <c r="S380" i="1"/>
  <c r="O633" i="1"/>
  <c r="X633" i="1" s="1"/>
  <c r="AG633" i="1" s="1"/>
  <c r="U663" i="1"/>
  <c r="R67" i="1"/>
  <c r="S282" i="1"/>
  <c r="P335" i="1"/>
  <c r="Y335" i="1" s="1"/>
  <c r="AH335" i="1" s="1"/>
  <c r="Q454" i="1"/>
  <c r="U588" i="1"/>
  <c r="P329" i="1"/>
  <c r="Y329" i="1" s="1"/>
  <c r="AH329" i="1" s="1"/>
  <c r="Q618" i="1"/>
  <c r="O512" i="1"/>
  <c r="X512" i="1" s="1"/>
  <c r="AG512" i="1" s="1"/>
  <c r="Q534" i="1"/>
  <c r="R623" i="1"/>
  <c r="O547" i="1"/>
  <c r="X547" i="1" s="1"/>
  <c r="AG547" i="1" s="1"/>
  <c r="T474" i="1"/>
  <c r="U505" i="1"/>
  <c r="P585" i="1"/>
  <c r="Y585" i="1" s="1"/>
  <c r="Q431" i="1"/>
  <c r="Q629" i="1"/>
  <c r="R645" i="1"/>
  <c r="Q295" i="1"/>
  <c r="R453" i="1"/>
  <c r="P384" i="1"/>
  <c r="Y384" i="1" s="1"/>
  <c r="AH384" i="1" s="1"/>
  <c r="S539" i="1"/>
  <c r="R311" i="1"/>
  <c r="Q489" i="1"/>
  <c r="O603" i="1"/>
  <c r="X603" i="1" s="1"/>
  <c r="AG603" i="1" s="1"/>
  <c r="P575" i="1"/>
  <c r="Y575" i="1" s="1"/>
  <c r="R349" i="1"/>
  <c r="O539" i="1"/>
  <c r="X539" i="1" s="1"/>
  <c r="AG539" i="1" s="1"/>
  <c r="V662" i="1"/>
  <c r="Q606" i="1"/>
  <c r="O520" i="1"/>
  <c r="X520" i="1" s="1"/>
  <c r="AG520" i="1" s="1"/>
  <c r="P482" i="1"/>
  <c r="Y482" i="1" s="1"/>
  <c r="AH482" i="1" s="1"/>
  <c r="Q216" i="1"/>
  <c r="O472" i="1"/>
  <c r="X472" i="1" s="1"/>
  <c r="AG472" i="1" s="1"/>
  <c r="O665" i="1"/>
  <c r="X665" i="1" s="1"/>
  <c r="AG665" i="1" s="1"/>
  <c r="Q505" i="1"/>
  <c r="V547" i="1"/>
  <c r="R430" i="1"/>
  <c r="Q553" i="1"/>
  <c r="O600" i="1"/>
  <c r="X600" i="1" s="1"/>
  <c r="AG600" i="1" s="1"/>
  <c r="O254" i="1"/>
  <c r="X254" i="1" s="1"/>
  <c r="AG254" i="1" s="1"/>
  <c r="T341" i="1"/>
  <c r="O246" i="1"/>
  <c r="X246" i="1" s="1"/>
  <c r="AG246" i="1" s="1"/>
  <c r="R294" i="1"/>
  <c r="O334" i="1"/>
  <c r="X334" i="1" s="1"/>
  <c r="AG334" i="1" s="1"/>
  <c r="S358" i="1"/>
  <c r="V367" i="1"/>
  <c r="Q377" i="1"/>
  <c r="R384" i="1"/>
  <c r="S398" i="1"/>
  <c r="T405" i="1"/>
  <c r="AC405" i="1" s="1"/>
  <c r="AL405" i="1" s="1"/>
  <c r="U412" i="1"/>
  <c r="P192" i="1"/>
  <c r="Y192" i="1" s="1"/>
  <c r="AH192" i="1" s="1"/>
  <c r="R332" i="1"/>
  <c r="U113" i="1"/>
  <c r="O227" i="1"/>
  <c r="X227" i="1" s="1"/>
  <c r="AG227" i="1" s="1"/>
  <c r="U276" i="1"/>
  <c r="V310" i="1"/>
  <c r="R329" i="1"/>
  <c r="U341" i="1"/>
  <c r="U354" i="1"/>
  <c r="R364" i="1"/>
  <c r="T373" i="1"/>
  <c r="AC373" i="1" s="1"/>
  <c r="AL373" i="1" s="1"/>
  <c r="T381" i="1"/>
  <c r="U388" i="1"/>
  <c r="V395" i="1"/>
  <c r="O403" i="1"/>
  <c r="X403" i="1" s="1"/>
  <c r="AG403" i="1" s="1"/>
  <c r="P410" i="1"/>
  <c r="Y410" i="1" s="1"/>
  <c r="AH410" i="1" s="1"/>
  <c r="V177" i="1"/>
  <c r="S210" i="1"/>
  <c r="S234" i="1"/>
  <c r="S253" i="1"/>
  <c r="U336" i="1"/>
  <c r="T315" i="1"/>
  <c r="P344" i="1"/>
  <c r="Y344" i="1" s="1"/>
  <c r="AH344" i="1" s="1"/>
  <c r="P366" i="1"/>
  <c r="Y366" i="1" s="1"/>
  <c r="AH366" i="1" s="1"/>
  <c r="O383" i="1"/>
  <c r="X383" i="1" s="1"/>
  <c r="AG383" i="1" s="1"/>
  <c r="Q397" i="1"/>
  <c r="O185" i="1"/>
  <c r="X185" i="1" s="1"/>
  <c r="AG185" i="1" s="1"/>
  <c r="R252" i="1"/>
  <c r="P295" i="1"/>
  <c r="Y295" i="1" s="1"/>
  <c r="AH295" i="1" s="1"/>
  <c r="S304" i="1"/>
  <c r="O314" i="1"/>
  <c r="X314" i="1" s="1"/>
  <c r="AG314" i="1" s="1"/>
  <c r="S323" i="1"/>
  <c r="O333" i="1"/>
  <c r="X333" i="1" s="1"/>
  <c r="AG333" i="1" s="1"/>
  <c r="O352" i="1"/>
  <c r="X352" i="1" s="1"/>
  <c r="AG352" i="1" s="1"/>
  <c r="O360" i="1"/>
  <c r="X360" i="1" s="1"/>
  <c r="AG360" i="1" s="1"/>
  <c r="P367" i="1"/>
  <c r="Y367" i="1" s="1"/>
  <c r="T329" i="1"/>
  <c r="Q224" i="1"/>
  <c r="S308" i="1"/>
  <c r="AP308" i="1" s="1"/>
  <c r="AQ308" i="1" s="1"/>
  <c r="P341" i="1"/>
  <c r="Y341" i="1" s="1"/>
  <c r="AH341" i="1" s="1"/>
  <c r="V363" i="1"/>
  <c r="Q381" i="1"/>
  <c r="T409" i="1"/>
  <c r="AE409" i="1" s="1"/>
  <c r="AN409" i="1" s="1"/>
  <c r="O223" i="1"/>
  <c r="X223" i="1" s="1"/>
  <c r="AG223" i="1" s="1"/>
  <c r="O250" i="1"/>
  <c r="X250" i="1" s="1"/>
  <c r="AG250" i="1" s="1"/>
  <c r="V274" i="1"/>
  <c r="V293" i="1"/>
  <c r="R303" i="1"/>
  <c r="V312" i="1"/>
  <c r="Q404" i="1"/>
  <c r="T469" i="1"/>
  <c r="AC469" i="1" s="1"/>
  <c r="AL469" i="1" s="1"/>
  <c r="O507" i="1"/>
  <c r="X507" i="1" s="1"/>
  <c r="AG507" i="1" s="1"/>
  <c r="S624" i="1"/>
  <c r="V499" i="1"/>
  <c r="V451" i="1"/>
  <c r="O451" i="1"/>
  <c r="X451" i="1" s="1"/>
  <c r="AG451" i="1" s="1"/>
  <c r="O393" i="1"/>
  <c r="X393" i="1" s="1"/>
  <c r="AG393" i="1" s="1"/>
  <c r="S338" i="1"/>
  <c r="P177" i="1"/>
  <c r="Y177" i="1" s="1"/>
  <c r="U289" i="1"/>
  <c r="U319" i="1"/>
  <c r="AD319" i="1" s="1"/>
  <c r="AM319" i="1" s="1"/>
  <c r="Q349" i="1"/>
  <c r="U211" i="1"/>
  <c r="Q273" i="1"/>
  <c r="U306" i="1"/>
  <c r="S370" i="1"/>
  <c r="P347" i="1"/>
  <c r="Y347" i="1" s="1"/>
  <c r="AH347" i="1" s="1"/>
  <c r="R323" i="1"/>
  <c r="Q260" i="1"/>
  <c r="P338" i="1"/>
  <c r="Y338" i="1" s="1"/>
  <c r="V303" i="1"/>
  <c r="R258" i="1"/>
  <c r="U300" i="1"/>
  <c r="P278" i="1"/>
  <c r="Y278" i="1" s="1"/>
  <c r="P302" i="1"/>
  <c r="Y302" i="1" s="1"/>
  <c r="O339" i="1"/>
  <c r="X339" i="1" s="1"/>
  <c r="AG339" i="1" s="1"/>
  <c r="P310" i="1"/>
  <c r="Y310" i="1" s="1"/>
  <c r="AH310" i="1" s="1"/>
  <c r="Q249" i="1"/>
  <c r="T248" i="1"/>
  <c r="AC248" i="1" s="1"/>
  <c r="AL248" i="1" s="1"/>
  <c r="Q293" i="1"/>
  <c r="Q313" i="1"/>
  <c r="O331" i="1"/>
  <c r="X331" i="1" s="1"/>
  <c r="AG331" i="1" s="1"/>
  <c r="Q292" i="1"/>
  <c r="O251" i="1"/>
  <c r="X251" i="1" s="1"/>
  <c r="AG251" i="1" s="1"/>
  <c r="V288" i="1"/>
  <c r="O592" i="1"/>
  <c r="X592" i="1" s="1"/>
  <c r="AG592" i="1" s="1"/>
  <c r="T623" i="1"/>
  <c r="AC623" i="1" s="1"/>
  <c r="AL623" i="1" s="1"/>
  <c r="T638" i="1"/>
  <c r="AC638" i="1" s="1"/>
  <c r="AL638" i="1" s="1"/>
  <c r="U313" i="1"/>
  <c r="P209" i="1"/>
  <c r="Y209" i="1" s="1"/>
  <c r="AH209" i="1" s="1"/>
  <c r="O661" i="1"/>
  <c r="X661" i="1" s="1"/>
  <c r="AG661" i="1" s="1"/>
  <c r="P334" i="1"/>
  <c r="Y334" i="1" s="1"/>
  <c r="Q103" i="1"/>
  <c r="V232" i="1"/>
  <c r="R280" i="1"/>
  <c r="R310" i="1"/>
  <c r="U344" i="1"/>
  <c r="R199" i="1"/>
  <c r="Q254" i="1"/>
  <c r="O302" i="1"/>
  <c r="X302" i="1" s="1"/>
  <c r="AG302" i="1" s="1"/>
  <c r="P374" i="1"/>
  <c r="Y374" i="1" s="1"/>
  <c r="AH374" i="1" s="1"/>
  <c r="R356" i="1"/>
  <c r="AA356" i="1" s="1"/>
  <c r="P328" i="1"/>
  <c r="Y328" i="1" s="1"/>
  <c r="AH328" i="1" s="1"/>
  <c r="P279" i="1"/>
  <c r="Y279" i="1" s="1"/>
  <c r="AH279" i="1" s="1"/>
  <c r="Q84" i="1"/>
  <c r="S322" i="1"/>
  <c r="U118" i="1"/>
  <c r="Q268" i="1"/>
  <c r="P272" i="1"/>
  <c r="Y272" i="1" s="1"/>
  <c r="AH272" i="1" s="1"/>
  <c r="S289" i="1"/>
  <c r="AP289" i="1" s="1"/>
  <c r="AQ289" i="1" s="1"/>
  <c r="P346" i="1"/>
  <c r="Y346" i="1" s="1"/>
  <c r="AH346" i="1" s="1"/>
  <c r="Q317" i="1"/>
  <c r="P262" i="1"/>
  <c r="Y262" i="1" s="1"/>
  <c r="R240" i="1"/>
  <c r="Q281" i="1"/>
  <c r="T309" i="1"/>
  <c r="S242" i="1"/>
  <c r="T242" i="1"/>
  <c r="AC242" i="1" s="1"/>
  <c r="AL242" i="1" s="1"/>
  <c r="V366" i="1"/>
  <c r="O514" i="1"/>
  <c r="X514" i="1" s="1"/>
  <c r="AG514" i="1" s="1"/>
  <c r="V433" i="1"/>
  <c r="P316" i="1"/>
  <c r="Y316" i="1" s="1"/>
  <c r="AH316" i="1" s="1"/>
  <c r="R411" i="1"/>
  <c r="P481" i="1"/>
  <c r="Y481" i="1" s="1"/>
  <c r="O652" i="1"/>
  <c r="X652" i="1" s="1"/>
  <c r="AG652" i="1" s="1"/>
  <c r="P381" i="1"/>
  <c r="Y381" i="1" s="1"/>
  <c r="T310" i="1"/>
  <c r="T554" i="1"/>
  <c r="R398" i="1"/>
  <c r="P631" i="1"/>
  <c r="Y631" i="1" s="1"/>
  <c r="AH631" i="1" s="1"/>
  <c r="T387" i="1"/>
  <c r="U618" i="1"/>
  <c r="V381" i="1"/>
  <c r="O615" i="1"/>
  <c r="X615" i="1" s="1"/>
  <c r="AG615" i="1" s="1"/>
  <c r="R517" i="1"/>
  <c r="AA517" i="1" s="1"/>
  <c r="AJ517" i="1" s="1"/>
  <c r="U228" i="1"/>
  <c r="O584" i="1"/>
  <c r="X584" i="1" s="1"/>
  <c r="AG584" i="1" s="1"/>
  <c r="U499" i="1"/>
  <c r="Q506" i="1"/>
  <c r="Q478" i="1"/>
  <c r="O443" i="1"/>
  <c r="X443" i="1" s="1"/>
  <c r="AG443" i="1" s="1"/>
  <c r="U556" i="1"/>
  <c r="Q280" i="1"/>
  <c r="Q621" i="1"/>
  <c r="R427" i="1"/>
  <c r="P429" i="1"/>
  <c r="Y429" i="1" s="1"/>
  <c r="AH429" i="1" s="1"/>
  <c r="P664" i="1"/>
  <c r="Y664" i="1" s="1"/>
  <c r="AH664" i="1" s="1"/>
  <c r="R632" i="1"/>
  <c r="T400" i="1"/>
  <c r="R528" i="1"/>
  <c r="V631" i="1"/>
  <c r="Q238" i="1"/>
  <c r="P479" i="1"/>
  <c r="Y479" i="1" s="1"/>
  <c r="AH479" i="1" s="1"/>
  <c r="O491" i="1"/>
  <c r="X491" i="1" s="1"/>
  <c r="AG491" i="1" s="1"/>
  <c r="U476" i="1"/>
  <c r="T422" i="1"/>
  <c r="Q528" i="1"/>
  <c r="Q554" i="1"/>
  <c r="T481" i="1"/>
  <c r="AB481" i="1" s="1"/>
  <c r="AK481" i="1" s="1"/>
  <c r="P527" i="1"/>
  <c r="Y527" i="1" s="1"/>
  <c r="AH527" i="1" s="1"/>
  <c r="O568" i="1"/>
  <c r="X568" i="1" s="1"/>
  <c r="AG568" i="1" s="1"/>
  <c r="U339" i="1"/>
  <c r="V612" i="1"/>
  <c r="S443" i="1"/>
  <c r="T306" i="1"/>
  <c r="P640" i="1"/>
  <c r="Y640" i="1" s="1"/>
  <c r="AH640" i="1" s="1"/>
  <c r="Q660" i="1"/>
  <c r="R299" i="1"/>
  <c r="U477" i="1"/>
  <c r="V603" i="1"/>
  <c r="P503" i="1"/>
  <c r="Y503" i="1" s="1"/>
  <c r="AH503" i="1" s="1"/>
  <c r="O640" i="1"/>
  <c r="X640" i="1" s="1"/>
  <c r="AG640" i="1" s="1"/>
  <c r="O252" i="1"/>
  <c r="X252" i="1" s="1"/>
  <c r="AG252" i="1" s="1"/>
  <c r="P326" i="1"/>
  <c r="Y326" i="1" s="1"/>
  <c r="AH326" i="1" s="1"/>
  <c r="R625" i="1"/>
  <c r="Q470" i="1"/>
  <c r="U489" i="1"/>
  <c r="AD489" i="1" s="1"/>
  <c r="AM489" i="1" s="1"/>
  <c r="P235" i="1"/>
  <c r="Y235" i="1" s="1"/>
  <c r="AH235" i="1" s="1"/>
  <c r="Q585" i="1"/>
  <c r="V401" i="1"/>
  <c r="T634" i="1"/>
  <c r="U540" i="1"/>
  <c r="V654" i="1"/>
  <c r="AP654" i="1" s="1"/>
  <c r="AQ654" i="1" s="1"/>
  <c r="O523" i="1"/>
  <c r="X523" i="1" s="1"/>
  <c r="AG523" i="1" s="1"/>
  <c r="P516" i="1"/>
  <c r="Y516" i="1" s="1"/>
  <c r="Q367" i="1"/>
  <c r="S538" i="1"/>
  <c r="AB538" i="1" s="1"/>
  <c r="AK538" i="1" s="1"/>
  <c r="O464" i="1"/>
  <c r="X464" i="1" s="1"/>
  <c r="AG464" i="1" s="1"/>
  <c r="P615" i="1"/>
  <c r="Y615" i="1" s="1"/>
  <c r="Q142" i="1"/>
  <c r="R308" i="1"/>
  <c r="R261" i="1"/>
  <c r="P296" i="1"/>
  <c r="Y296" i="1" s="1"/>
  <c r="AH296" i="1" s="1"/>
  <c r="P315" i="1"/>
  <c r="Y315" i="1" s="1"/>
  <c r="AH315" i="1" s="1"/>
  <c r="V339" i="1"/>
  <c r="U225" i="1"/>
  <c r="U263" i="1"/>
  <c r="R297" i="1"/>
  <c r="AA297" i="1" s="1"/>
  <c r="Q316" i="1"/>
  <c r="O367" i="1"/>
  <c r="X367" i="1" s="1"/>
  <c r="AG367" i="1" s="1"/>
  <c r="U351" i="1"/>
  <c r="V332" i="1"/>
  <c r="O305" i="1"/>
  <c r="X305" i="1" s="1"/>
  <c r="AG305" i="1" s="1"/>
  <c r="Q241" i="1"/>
  <c r="Q272" i="1"/>
  <c r="S286" i="1"/>
  <c r="T161" i="1"/>
  <c r="AC161" i="1" s="1"/>
  <c r="AL161" i="1" s="1"/>
  <c r="O248" i="1"/>
  <c r="X248" i="1" s="1"/>
  <c r="AG248" i="1" s="1"/>
  <c r="V311" i="1"/>
  <c r="S342" i="1"/>
  <c r="R324" i="1"/>
  <c r="T293" i="1"/>
  <c r="S229" i="1"/>
  <c r="V256" i="1"/>
  <c r="P287" i="1"/>
  <c r="Y287" i="1" s="1"/>
  <c r="AH287" i="1" s="1"/>
  <c r="P306" i="1"/>
  <c r="Y306" i="1" s="1"/>
  <c r="AH306" i="1" s="1"/>
  <c r="R320" i="1"/>
  <c r="T202" i="1"/>
  <c r="T265" i="1"/>
  <c r="AC265" i="1" s="1"/>
  <c r="AL265" i="1" s="1"/>
  <c r="Q230" i="1"/>
  <c r="S267" i="1"/>
  <c r="S294" i="1"/>
  <c r="S310" i="1"/>
  <c r="U324" i="1"/>
  <c r="U268" i="1"/>
  <c r="R188" i="1"/>
  <c r="Q250" i="1"/>
  <c r="T113" i="1"/>
  <c r="AC113" i="1" s="1"/>
  <c r="AL113" i="1" s="1"/>
  <c r="R222" i="1"/>
  <c r="P169" i="1"/>
  <c r="Y169" i="1" s="1"/>
  <c r="AH169" i="1" s="1"/>
  <c r="T263" i="1"/>
  <c r="AC263" i="1" s="1"/>
  <c r="AL263" i="1" s="1"/>
  <c r="R276" i="1"/>
  <c r="AA276" i="1" s="1"/>
  <c r="R195" i="1"/>
  <c r="U239" i="1"/>
  <c r="P290" i="1"/>
  <c r="Y290" i="1" s="1"/>
  <c r="AH290" i="1" s="1"/>
  <c r="P271" i="1"/>
  <c r="Y271" i="1" s="1"/>
  <c r="AH271" i="1" s="1"/>
  <c r="U252" i="1"/>
  <c r="O232" i="1"/>
  <c r="X232" i="1" s="1"/>
  <c r="AG232" i="1" s="1"/>
  <c r="O186" i="1"/>
  <c r="X186" i="1" s="1"/>
  <c r="AG186" i="1" s="1"/>
  <c r="Q285" i="1"/>
  <c r="U580" i="1"/>
  <c r="AD580" i="1" s="1"/>
  <c r="AM580" i="1" s="1"/>
  <c r="S579" i="1"/>
  <c r="U200" i="1"/>
  <c r="O422" i="1"/>
  <c r="X422" i="1" s="1"/>
  <c r="AG422" i="1" s="1"/>
  <c r="S587" i="1"/>
  <c r="P659" i="1"/>
  <c r="Y659" i="1" s="1"/>
  <c r="AH659" i="1" s="1"/>
  <c r="S640" i="1"/>
  <c r="T578" i="1"/>
  <c r="O459" i="1"/>
  <c r="X459" i="1" s="1"/>
  <c r="AG459" i="1" s="1"/>
  <c r="R512" i="1"/>
  <c r="AA512" i="1" s="1"/>
  <c r="S361" i="1"/>
  <c r="O565" i="1"/>
  <c r="X565" i="1" s="1"/>
  <c r="AG565" i="1" s="1"/>
  <c r="T632" i="1"/>
  <c r="AC632" i="1" s="1"/>
  <c r="AL632" i="1" s="1"/>
  <c r="T642" i="1"/>
  <c r="V559" i="1"/>
  <c r="V555" i="1"/>
  <c r="U625" i="1"/>
  <c r="T653" i="1"/>
  <c r="AC653" i="1" s="1"/>
  <c r="AL653" i="1" s="1"/>
  <c r="S630" i="1"/>
  <c r="V563" i="1"/>
  <c r="R133" i="1"/>
  <c r="Q518" i="1"/>
  <c r="T368" i="1"/>
  <c r="R576" i="1"/>
  <c r="R608" i="1"/>
  <c r="S413" i="1"/>
  <c r="AP413" i="1" s="1"/>
  <c r="T556" i="1"/>
  <c r="AC556" i="1" s="1"/>
  <c r="AL556" i="1" s="1"/>
  <c r="T582" i="1"/>
  <c r="Z582" i="1" s="1"/>
  <c r="O503" i="1"/>
  <c r="X503" i="1" s="1"/>
  <c r="AG503" i="1" s="1"/>
  <c r="S479" i="1"/>
  <c r="U584" i="1"/>
  <c r="S114" i="1"/>
  <c r="AP114" i="1" s="1"/>
  <c r="AQ114" i="1" s="1"/>
  <c r="AR114" i="1" s="1"/>
  <c r="S179" i="1"/>
  <c r="AP179" i="1" s="1"/>
  <c r="P480" i="1"/>
  <c r="Y480" i="1" s="1"/>
  <c r="AH480" i="1" s="1"/>
  <c r="Q415" i="1"/>
  <c r="S482" i="1"/>
  <c r="R580" i="1"/>
  <c r="P499" i="1"/>
  <c r="Y499" i="1" s="1"/>
  <c r="R472" i="1"/>
  <c r="V286" i="1"/>
  <c r="AE286" i="1" s="1"/>
  <c r="AN286" i="1" s="1"/>
  <c r="Q314" i="1"/>
  <c r="O496" i="1"/>
  <c r="X496" i="1" s="1"/>
  <c r="AG496" i="1" s="1"/>
  <c r="Q561" i="1"/>
  <c r="U481" i="1"/>
  <c r="S475" i="1"/>
  <c r="P190" i="1"/>
  <c r="Y190" i="1" s="1"/>
  <c r="O81" i="1"/>
  <c r="X81" i="1" s="1"/>
  <c r="AG81" i="1" s="1"/>
  <c r="V488" i="1"/>
  <c r="AP488" i="1" s="1"/>
  <c r="R416" i="1"/>
  <c r="P356" i="1"/>
  <c r="Y356" i="1" s="1"/>
  <c r="AH356" i="1" s="1"/>
  <c r="O467" i="1"/>
  <c r="X467" i="1" s="1"/>
  <c r="AG467" i="1" s="1"/>
  <c r="U440" i="1"/>
  <c r="Q304" i="1"/>
  <c r="T522" i="1"/>
  <c r="U232" i="1"/>
  <c r="S485" i="1"/>
  <c r="U653" i="1"/>
  <c r="S595" i="1"/>
  <c r="U473" i="1"/>
  <c r="AD473" i="1" s="1"/>
  <c r="AM473" i="1" s="1"/>
  <c r="V665" i="1"/>
  <c r="V592" i="1"/>
  <c r="Q117" i="1"/>
  <c r="U525" i="1"/>
  <c r="R460" i="1"/>
  <c r="S563" i="1"/>
  <c r="Q423" i="1"/>
  <c r="S147" i="1"/>
  <c r="T316" i="1"/>
  <c r="T420" i="1"/>
  <c r="S549" i="1"/>
  <c r="T371" i="1"/>
  <c r="AC371" i="1" s="1"/>
  <c r="AL371" i="1" s="1"/>
  <c r="Q388" i="1"/>
  <c r="Z388" i="1" s="1"/>
  <c r="S416" i="1"/>
  <c r="U585" i="1"/>
  <c r="AD585" i="1" s="1"/>
  <c r="AM585" i="1" s="1"/>
  <c r="O358" i="1"/>
  <c r="X358" i="1" s="1"/>
  <c r="AG358" i="1" s="1"/>
  <c r="T617" i="1"/>
  <c r="S178" i="1"/>
  <c r="Q524" i="1"/>
  <c r="O288" i="1"/>
  <c r="X288" i="1" s="1"/>
  <c r="AG288" i="1" s="1"/>
  <c r="R649" i="1"/>
  <c r="Q449" i="1"/>
  <c r="S637" i="1"/>
  <c r="T530" i="1"/>
  <c r="AC530" i="1" s="1"/>
  <c r="AL530" i="1" s="1"/>
  <c r="U666" i="1"/>
  <c r="P574" i="1"/>
  <c r="Y574" i="1" s="1"/>
  <c r="AH574" i="1" s="1"/>
  <c r="R541" i="1"/>
  <c r="P450" i="1"/>
  <c r="Y450" i="1" s="1"/>
  <c r="AH450" i="1" s="1"/>
  <c r="O654" i="1"/>
  <c r="X654" i="1" s="1"/>
  <c r="AG654" i="1" s="1"/>
  <c r="O435" i="1"/>
  <c r="X435" i="1" s="1"/>
  <c r="AG435" i="1" s="1"/>
  <c r="U622" i="1"/>
  <c r="S99" i="1"/>
  <c r="S115" i="1"/>
  <c r="S146" i="1"/>
  <c r="S163" i="1"/>
  <c r="S131" i="1"/>
  <c r="S87" i="1"/>
  <c r="AB87" i="1" s="1"/>
  <c r="AK87" i="1" s="1"/>
  <c r="S90" i="1"/>
  <c r="S106" i="1"/>
  <c r="S122" i="1"/>
  <c r="S138" i="1"/>
  <c r="S154" i="1"/>
  <c r="S170" i="1"/>
  <c r="S186" i="1"/>
  <c r="Q413" i="1"/>
  <c r="V569" i="1"/>
  <c r="P496" i="1"/>
  <c r="Y496" i="1" s="1"/>
  <c r="AH496" i="1" s="1"/>
  <c r="P555" i="1"/>
  <c r="Y555" i="1" s="1"/>
  <c r="AH555" i="1" s="1"/>
  <c r="Q639" i="1"/>
  <c r="P658" i="1"/>
  <c r="Y658" i="1" s="1"/>
  <c r="AH658" i="1" s="1"/>
  <c r="S628" i="1"/>
  <c r="P665" i="1"/>
  <c r="Y665" i="1" s="1"/>
  <c r="AH665" i="1" s="1"/>
  <c r="P360" i="1"/>
  <c r="Y360" i="1" s="1"/>
  <c r="AH360" i="1" s="1"/>
  <c r="P417" i="1"/>
  <c r="Y417" i="1" s="1"/>
  <c r="AH417" i="1" s="1"/>
  <c r="S653" i="1"/>
  <c r="U660" i="1"/>
  <c r="T589" i="1"/>
  <c r="Q635" i="1"/>
  <c r="O552" i="1"/>
  <c r="X552" i="1" s="1"/>
  <c r="AG552" i="1" s="1"/>
  <c r="S511" i="1"/>
  <c r="T449" i="1"/>
  <c r="AC449" i="1" s="1"/>
  <c r="AL449" i="1" s="1"/>
  <c r="T627" i="1"/>
  <c r="P519" i="1"/>
  <c r="Y519" i="1" s="1"/>
  <c r="AH519" i="1" s="1"/>
  <c r="R650" i="1"/>
  <c r="U247" i="1"/>
  <c r="S91" i="1"/>
  <c r="S107" i="1"/>
  <c r="S123" i="1"/>
  <c r="S139" i="1"/>
  <c r="S155" i="1"/>
  <c r="S171" i="1"/>
  <c r="S187" i="1"/>
  <c r="V345" i="1"/>
  <c r="Q532" i="1"/>
  <c r="Q492" i="1"/>
  <c r="V605" i="1"/>
  <c r="AP605" i="1" s="1"/>
  <c r="AQ605" i="1" s="1"/>
  <c r="O474" i="1"/>
  <c r="X474" i="1" s="1"/>
  <c r="AG474" i="1" s="1"/>
  <c r="O476" i="1"/>
  <c r="X476" i="1" s="1"/>
  <c r="AG476" i="1" s="1"/>
  <c r="T593" i="1"/>
  <c r="U168" i="1"/>
  <c r="T647" i="1"/>
  <c r="P572" i="1"/>
  <c r="Y572" i="1" s="1"/>
  <c r="AH572" i="1" s="1"/>
  <c r="T645" i="1"/>
  <c r="AC645" i="1" s="1"/>
  <c r="AL645" i="1" s="1"/>
  <c r="P320" i="1"/>
  <c r="Y320" i="1" s="1"/>
  <c r="AH320" i="1" s="1"/>
  <c r="S162" i="1"/>
  <c r="S130" i="1"/>
  <c r="S98" i="1"/>
  <c r="T570" i="1"/>
  <c r="AB570" i="1" s="1"/>
  <c r="AK570" i="1" s="1"/>
  <c r="O471" i="1"/>
  <c r="X471" i="1" s="1"/>
  <c r="AG471" i="1" s="1"/>
  <c r="O540" i="1"/>
  <c r="X540" i="1" s="1"/>
  <c r="AG540" i="1" s="1"/>
  <c r="P363" i="1"/>
  <c r="Y363" i="1" s="1"/>
  <c r="AH363" i="1" s="1"/>
  <c r="P628" i="1"/>
  <c r="Y628" i="1" s="1"/>
  <c r="AH628" i="1" s="1"/>
  <c r="V194" i="1"/>
  <c r="R600" i="1"/>
  <c r="AA600" i="1" s="1"/>
  <c r="O450" i="1"/>
  <c r="X450" i="1" s="1"/>
  <c r="AG450" i="1" s="1"/>
  <c r="T497" i="1"/>
  <c r="S575" i="1"/>
  <c r="Q376" i="1"/>
  <c r="Z376" i="1" s="1"/>
  <c r="V390" i="1"/>
  <c r="Q458" i="1"/>
  <c r="Q496" i="1"/>
  <c r="V581" i="1"/>
  <c r="T608" i="1"/>
  <c r="Z608" i="1" s="1"/>
  <c r="O569" i="1"/>
  <c r="X569" i="1" s="1"/>
  <c r="AG569" i="1" s="1"/>
  <c r="S183" i="1"/>
  <c r="S175" i="1"/>
  <c r="AP175" i="1" s="1"/>
  <c r="S167" i="1"/>
  <c r="S159" i="1"/>
  <c r="S151" i="1"/>
  <c r="S143" i="1"/>
  <c r="S135" i="1"/>
  <c r="S127" i="1"/>
  <c r="S119" i="1"/>
  <c r="S111" i="1"/>
  <c r="S103" i="1"/>
  <c r="S95" i="1"/>
  <c r="S84" i="1"/>
  <c r="S88" i="1"/>
  <c r="S92" i="1"/>
  <c r="S96" i="1"/>
  <c r="S100" i="1"/>
  <c r="S104" i="1"/>
  <c r="S108" i="1"/>
  <c r="S112" i="1"/>
  <c r="S116" i="1"/>
  <c r="S120" i="1"/>
  <c r="S124" i="1"/>
  <c r="S128" i="1"/>
  <c r="S132" i="1"/>
  <c r="S136" i="1"/>
  <c r="S140" i="1"/>
  <c r="S144" i="1"/>
  <c r="S148" i="1"/>
  <c r="S152" i="1"/>
  <c r="S156" i="1"/>
  <c r="S160" i="1"/>
  <c r="S164" i="1"/>
  <c r="S168" i="1"/>
  <c r="S172" i="1"/>
  <c r="S176" i="1"/>
  <c r="S180" i="1"/>
  <c r="S184" i="1"/>
  <c r="S188" i="1"/>
  <c r="Q350" i="1"/>
  <c r="S319" i="1"/>
  <c r="T326" i="1"/>
  <c r="Q406" i="1"/>
  <c r="U623" i="1"/>
  <c r="O357" i="1"/>
  <c r="X357" i="1" s="1"/>
  <c r="AG357" i="1" s="1"/>
  <c r="O594" i="1"/>
  <c r="X594" i="1" s="1"/>
  <c r="AG594" i="1" s="1"/>
  <c r="P571" i="1"/>
  <c r="Y571" i="1" s="1"/>
  <c r="AH571" i="1" s="1"/>
  <c r="S374" i="1"/>
  <c r="AP374" i="1" s="1"/>
  <c r="U595" i="1"/>
  <c r="R624" i="1"/>
  <c r="Q318" i="1"/>
  <c r="Q508" i="1"/>
  <c r="U533" i="1"/>
  <c r="S466" i="1"/>
  <c r="Q662" i="1"/>
  <c r="R554" i="1"/>
  <c r="S625" i="1"/>
  <c r="V637" i="1"/>
  <c r="S554" i="1"/>
  <c r="U548" i="1"/>
  <c r="R413" i="1"/>
  <c r="O526" i="1"/>
  <c r="X526" i="1" s="1"/>
  <c r="AG526" i="1" s="1"/>
  <c r="S551" i="1"/>
  <c r="V479" i="1"/>
  <c r="S85" i="1"/>
  <c r="S89" i="1"/>
  <c r="S93" i="1"/>
  <c r="S97" i="1"/>
  <c r="S101" i="1"/>
  <c r="S105" i="1"/>
  <c r="S109" i="1"/>
  <c r="S113" i="1"/>
  <c r="S117" i="1"/>
  <c r="S121" i="1"/>
  <c r="S125" i="1"/>
  <c r="S129" i="1"/>
  <c r="S133" i="1"/>
  <c r="S137" i="1"/>
  <c r="S141" i="1"/>
  <c r="S145" i="1"/>
  <c r="S149" i="1"/>
  <c r="S153" i="1"/>
  <c r="S157" i="1"/>
  <c r="S161" i="1"/>
  <c r="AB161" i="1" s="1"/>
  <c r="AK161" i="1" s="1"/>
  <c r="S165" i="1"/>
  <c r="S169" i="1"/>
  <c r="S173" i="1"/>
  <c r="S177" i="1"/>
  <c r="S181" i="1"/>
  <c r="S185" i="1"/>
  <c r="S189" i="1"/>
  <c r="AB189" i="1" s="1"/>
  <c r="AK189" i="1" s="1"/>
  <c r="T463" i="1"/>
  <c r="AC463" i="1" s="1"/>
  <c r="AL463" i="1" s="1"/>
  <c r="V226" i="1"/>
  <c r="S457" i="1"/>
  <c r="T551" i="1"/>
  <c r="AC551" i="1" s="1"/>
  <c r="AL551" i="1" s="1"/>
  <c r="U643" i="1"/>
  <c r="U636" i="1"/>
  <c r="T499" i="1"/>
  <c r="U370" i="1"/>
  <c r="S293" i="1"/>
  <c r="R596" i="1"/>
  <c r="T475" i="1"/>
  <c r="AA475" i="1" s="1"/>
  <c r="Q584" i="1"/>
  <c r="R609" i="1"/>
  <c r="AA609" i="1" s="1"/>
  <c r="R204" i="1"/>
  <c r="T367" i="1"/>
  <c r="AB367" i="1" s="1"/>
  <c r="AK367" i="1" s="1"/>
  <c r="V417" i="1"/>
  <c r="V333" i="1"/>
  <c r="S620" i="1"/>
  <c r="Q511" i="1"/>
  <c r="Z511" i="1" s="1"/>
  <c r="O602" i="1"/>
  <c r="X602" i="1" s="1"/>
  <c r="AG602" i="1" s="1"/>
  <c r="V621" i="1"/>
  <c r="U536" i="1"/>
  <c r="T525" i="1"/>
  <c r="U465" i="1"/>
  <c r="V661" i="1"/>
  <c r="S182" i="1"/>
  <c r="S174" i="1"/>
  <c r="S166" i="1"/>
  <c r="S158" i="1"/>
  <c r="S150" i="1"/>
  <c r="S142" i="1"/>
  <c r="S134" i="1"/>
  <c r="S126" i="1"/>
  <c r="S118" i="1"/>
  <c r="AP118" i="1" s="1"/>
  <c r="S110" i="1"/>
  <c r="S102" i="1"/>
  <c r="S94" i="1"/>
  <c r="S86" i="1"/>
  <c r="O536" i="1"/>
  <c r="X536" i="1" s="1"/>
  <c r="AG536" i="1" s="1"/>
  <c r="Q544" i="1"/>
  <c r="U572" i="1"/>
  <c r="T664" i="1"/>
  <c r="T289" i="1"/>
  <c r="S283" i="1"/>
  <c r="Q208" i="1"/>
  <c r="S305" i="1"/>
  <c r="T353" i="1"/>
  <c r="T282" i="1"/>
  <c r="AC282" i="1" s="1"/>
  <c r="AL282" i="1" s="1"/>
  <c r="O321" i="1"/>
  <c r="X321" i="1" s="1"/>
  <c r="AG321" i="1" s="1"/>
  <c r="S337" i="1"/>
  <c r="U174" i="1"/>
  <c r="V142" i="1"/>
  <c r="V319" i="1"/>
  <c r="T321" i="1"/>
  <c r="O303" i="1"/>
  <c r="X303" i="1" s="1"/>
  <c r="AG303" i="1" s="1"/>
  <c r="Q265" i="1"/>
  <c r="S302" i="1"/>
  <c r="U290" i="1"/>
  <c r="P314" i="1"/>
  <c r="Y314" i="1" s="1"/>
  <c r="R328" i="1"/>
  <c r="R256" i="1"/>
  <c r="T208" i="1"/>
  <c r="Q209" i="1"/>
  <c r="O77" i="1"/>
  <c r="X77" i="1" s="1"/>
  <c r="AG77" i="1" s="1"/>
  <c r="V212" i="1"/>
  <c r="P167" i="1"/>
  <c r="Y167" i="1" s="1"/>
  <c r="AH167" i="1" s="1"/>
  <c r="V225" i="1"/>
  <c r="U288" i="1"/>
  <c r="S225" i="1"/>
  <c r="P294" i="1"/>
  <c r="Y294" i="1" s="1"/>
  <c r="AH294" i="1" s="1"/>
  <c r="O267" i="1"/>
  <c r="X267" i="1" s="1"/>
  <c r="AG267" i="1" s="1"/>
  <c r="S241" i="1"/>
  <c r="T200" i="1"/>
  <c r="AC200" i="1" s="1"/>
  <c r="AL200" i="1" s="1"/>
  <c r="S274" i="1"/>
  <c r="R216" i="1"/>
  <c r="O257" i="1"/>
  <c r="X257" i="1" s="1"/>
  <c r="AG257" i="1" s="1"/>
  <c r="U129" i="1"/>
  <c r="T68" i="1"/>
  <c r="AC68" i="1" s="1"/>
  <c r="AL68" i="1" s="1"/>
  <c r="P191" i="1"/>
  <c r="Y191" i="1" s="1"/>
  <c r="AH191" i="1" s="1"/>
  <c r="P164" i="1"/>
  <c r="Y164" i="1" s="1"/>
  <c r="AH164" i="1" s="1"/>
  <c r="U262" i="1"/>
  <c r="Q240" i="1"/>
  <c r="Q266" i="1"/>
  <c r="Q148" i="1"/>
  <c r="S201" i="1"/>
  <c r="P229" i="1"/>
  <c r="Y229" i="1" s="1"/>
  <c r="AH229" i="1" s="1"/>
  <c r="U227" i="1"/>
  <c r="P280" i="1"/>
  <c r="Y280" i="1" s="1"/>
  <c r="AH280" i="1" s="1"/>
  <c r="P220" i="1"/>
  <c r="Y220" i="1" s="1"/>
  <c r="AH220" i="1" s="1"/>
  <c r="S68" i="1"/>
  <c r="R85" i="1"/>
  <c r="R122" i="1"/>
  <c r="R145" i="1"/>
  <c r="U87" i="1"/>
  <c r="P163" i="1"/>
  <c r="Y163" i="1" s="1"/>
  <c r="U163" i="1"/>
  <c r="Q210" i="1"/>
  <c r="R162" i="1"/>
  <c r="Q215" i="1"/>
  <c r="O86" i="1"/>
  <c r="X86" i="1" s="1"/>
  <c r="AG86" i="1" s="1"/>
  <c r="R348" i="1"/>
  <c r="AA348" i="1" s="1"/>
  <c r="V251" i="1"/>
  <c r="U328" i="1"/>
  <c r="V181" i="1"/>
  <c r="P292" i="1"/>
  <c r="Y292" i="1" s="1"/>
  <c r="AH292" i="1" s="1"/>
  <c r="O198" i="1"/>
  <c r="X198" i="1" s="1"/>
  <c r="AG198" i="1" s="1"/>
  <c r="P213" i="1"/>
  <c r="Y213" i="1" s="1"/>
  <c r="AH213" i="1" s="1"/>
  <c r="T349" i="1"/>
  <c r="U281" i="1"/>
  <c r="P276" i="1"/>
  <c r="Y276" i="1" s="1"/>
  <c r="AH276" i="1" s="1"/>
  <c r="P274" i="1"/>
  <c r="Y274" i="1" s="1"/>
  <c r="U316" i="1"/>
  <c r="R175" i="1"/>
  <c r="O299" i="1"/>
  <c r="X299" i="1" s="1"/>
  <c r="AG299" i="1" s="1"/>
  <c r="T317" i="1"/>
  <c r="V331" i="1"/>
  <c r="U249" i="1"/>
  <c r="O150" i="1"/>
  <c r="X150" i="1" s="1"/>
  <c r="AG150" i="1" s="1"/>
  <c r="Q283" i="1"/>
  <c r="U175" i="1"/>
  <c r="V219" i="1"/>
  <c r="P138" i="1"/>
  <c r="Y138" i="1" s="1"/>
  <c r="AH138" i="1" s="1"/>
  <c r="Q233" i="1"/>
  <c r="R285" i="1"/>
  <c r="Q262" i="1"/>
  <c r="R237" i="1"/>
  <c r="V263" i="1"/>
  <c r="P160" i="1"/>
  <c r="Y160" i="1" s="1"/>
  <c r="S224" i="1"/>
  <c r="Q146" i="1"/>
  <c r="O134" i="1"/>
  <c r="X134" i="1" s="1"/>
  <c r="AG134" i="1" s="1"/>
  <c r="P196" i="1"/>
  <c r="Y196" i="1" s="1"/>
  <c r="AH196" i="1" s="1"/>
  <c r="R278" i="1"/>
  <c r="V250" i="1"/>
  <c r="U275" i="1"/>
  <c r="O167" i="1"/>
  <c r="X167" i="1" s="1"/>
  <c r="AG167" i="1" s="1"/>
  <c r="S209" i="1"/>
  <c r="U233" i="1"/>
  <c r="AD233" i="1" s="1"/>
  <c r="AM233" i="1" s="1"/>
  <c r="S206" i="1"/>
  <c r="Q267" i="1"/>
  <c r="V201" i="1"/>
  <c r="T206" i="1"/>
  <c r="Q194" i="1"/>
  <c r="U164" i="1"/>
  <c r="T101" i="1"/>
  <c r="R115" i="1"/>
  <c r="O128" i="1"/>
  <c r="X128" i="1" s="1"/>
  <c r="AG128" i="1" s="1"/>
  <c r="V132" i="1"/>
  <c r="T174" i="1"/>
  <c r="Q176" i="1"/>
  <c r="O220" i="1"/>
  <c r="X220" i="1" s="1"/>
  <c r="AG220" i="1" s="1"/>
  <c r="Q185" i="1"/>
  <c r="Q223" i="1"/>
  <c r="U167" i="1"/>
  <c r="S258" i="1"/>
  <c r="O135" i="1"/>
  <c r="X135" i="1" s="1"/>
  <c r="AG135" i="1" s="1"/>
  <c r="Q604" i="1"/>
  <c r="U195" i="1"/>
  <c r="S311" i="1"/>
  <c r="P277" i="1"/>
  <c r="Y277" i="1" s="1"/>
  <c r="AH277" i="1" s="1"/>
  <c r="Q164" i="1"/>
  <c r="T226" i="1"/>
  <c r="R234" i="1"/>
  <c r="T274" i="1"/>
  <c r="AC274" i="1" s="1"/>
  <c r="AL274" i="1" s="1"/>
  <c r="Q288" i="1"/>
  <c r="Z288" i="1" s="1"/>
  <c r="U132" i="1"/>
  <c r="P219" i="1"/>
  <c r="Y219" i="1" s="1"/>
  <c r="AH219" i="1" s="1"/>
  <c r="U171" i="1"/>
  <c r="T280" i="1"/>
  <c r="O222" i="1"/>
  <c r="X222" i="1" s="1"/>
  <c r="AG222" i="1" s="1"/>
  <c r="Q79" i="1"/>
  <c r="O277" i="1"/>
  <c r="X277" i="1" s="1"/>
  <c r="AG277" i="1" s="1"/>
  <c r="O162" i="1"/>
  <c r="X162" i="1" s="1"/>
  <c r="AG162" i="1" s="1"/>
  <c r="O97" i="1"/>
  <c r="X97" i="1" s="1"/>
  <c r="AG97" i="1" s="1"/>
  <c r="R218" i="1"/>
  <c r="P259" i="1"/>
  <c r="Y259" i="1" s="1"/>
  <c r="AH259" i="1" s="1"/>
  <c r="P180" i="1"/>
  <c r="Y180" i="1" s="1"/>
  <c r="AH180" i="1" s="1"/>
  <c r="V244" i="1"/>
  <c r="U254" i="1"/>
  <c r="AD254" i="1" s="1"/>
  <c r="AM254" i="1" s="1"/>
  <c r="P185" i="1"/>
  <c r="Y185" i="1" s="1"/>
  <c r="P151" i="1"/>
  <c r="Y151" i="1" s="1"/>
  <c r="V189" i="1"/>
  <c r="S196" i="1"/>
  <c r="V193" i="1"/>
  <c r="R241" i="1"/>
  <c r="U291" i="1"/>
  <c r="P174" i="1"/>
  <c r="Y174" i="1" s="1"/>
  <c r="AH174" i="1" s="1"/>
  <c r="Q212" i="1"/>
  <c r="T255" i="1"/>
  <c r="O217" i="1"/>
  <c r="X217" i="1" s="1"/>
  <c r="AG217" i="1" s="1"/>
  <c r="O177" i="1"/>
  <c r="X177" i="1" s="1"/>
  <c r="AG177" i="1" s="1"/>
  <c r="U221" i="1"/>
  <c r="R180" i="1"/>
  <c r="Q190" i="1"/>
  <c r="Q139" i="1"/>
  <c r="R75" i="1"/>
  <c r="T79" i="1"/>
  <c r="V71" i="1"/>
  <c r="O87" i="1"/>
  <c r="X87" i="1" s="1"/>
  <c r="AG87" i="1" s="1"/>
  <c r="O99" i="1"/>
  <c r="X99" i="1" s="1"/>
  <c r="AG99" i="1" s="1"/>
  <c r="T74" i="1"/>
  <c r="AC74" i="1" s="1"/>
  <c r="AL74" i="1" s="1"/>
  <c r="T76" i="1"/>
  <c r="R74" i="1"/>
  <c r="V75" i="1"/>
  <c r="P94" i="1"/>
  <c r="Y94" i="1" s="1"/>
  <c r="AH94" i="1" s="1"/>
  <c r="P71" i="1"/>
  <c r="Y71" i="1" s="1"/>
  <c r="V84" i="1"/>
  <c r="T98" i="1"/>
  <c r="AB98" i="1" s="1"/>
  <c r="AK98" i="1" s="1"/>
  <c r="O82" i="1"/>
  <c r="X82" i="1" s="1"/>
  <c r="AG82" i="1" s="1"/>
  <c r="R106" i="1"/>
  <c r="T123" i="1"/>
  <c r="P92" i="1"/>
  <c r="Y92" i="1" s="1"/>
  <c r="AH92" i="1" s="1"/>
  <c r="V110" i="1"/>
  <c r="V122" i="1"/>
  <c r="O138" i="1"/>
  <c r="X138" i="1" s="1"/>
  <c r="AG138" i="1" s="1"/>
  <c r="O107" i="1"/>
  <c r="X107" i="1" s="1"/>
  <c r="AG107" i="1" s="1"/>
  <c r="T85" i="1"/>
  <c r="AC85" i="1" s="1"/>
  <c r="AL85" i="1" s="1"/>
  <c r="P75" i="1"/>
  <c r="Y75" i="1" s="1"/>
  <c r="R101" i="1"/>
  <c r="Q111" i="1"/>
  <c r="V93" i="1"/>
  <c r="U115" i="1"/>
  <c r="R135" i="1"/>
  <c r="V107" i="1"/>
  <c r="O136" i="1"/>
  <c r="X136" i="1" s="1"/>
  <c r="AG136" i="1" s="1"/>
  <c r="O145" i="1"/>
  <c r="X145" i="1" s="1"/>
  <c r="AG145" i="1" s="1"/>
  <c r="P162" i="1"/>
  <c r="Y162" i="1" s="1"/>
  <c r="AH162" i="1" s="1"/>
  <c r="V116" i="1"/>
  <c r="V148" i="1"/>
  <c r="V160" i="1"/>
  <c r="T178" i="1"/>
  <c r="P77" i="1"/>
  <c r="Y77" i="1" s="1"/>
  <c r="AH77" i="1" s="1"/>
  <c r="V154" i="1"/>
  <c r="V270" i="1"/>
  <c r="R235" i="1"/>
  <c r="S295" i="1"/>
  <c r="AB295" i="1" s="1"/>
  <c r="AK295" i="1" s="1"/>
  <c r="V272" i="1"/>
  <c r="S270" i="1"/>
  <c r="P265" i="1"/>
  <c r="Y265" i="1" s="1"/>
  <c r="AH265" i="1" s="1"/>
  <c r="U207" i="1"/>
  <c r="O307" i="1"/>
  <c r="X307" i="1" s="1"/>
  <c r="AG307" i="1" s="1"/>
  <c r="V262" i="1"/>
  <c r="AE262" i="1" s="1"/>
  <c r="AN262" i="1" s="1"/>
  <c r="U269" i="1"/>
  <c r="Q152" i="1"/>
  <c r="P184" i="1"/>
  <c r="Y184" i="1" s="1"/>
  <c r="AH184" i="1" s="1"/>
  <c r="V275" i="1"/>
  <c r="R211" i="1"/>
  <c r="Q253" i="1"/>
  <c r="P179" i="1"/>
  <c r="Y179" i="1" s="1"/>
  <c r="R161" i="1"/>
  <c r="Q243" i="1"/>
  <c r="U190" i="1"/>
  <c r="Q237" i="1"/>
  <c r="Q239" i="1"/>
  <c r="V102" i="1"/>
  <c r="O123" i="1"/>
  <c r="X123" i="1" s="1"/>
  <c r="AG123" i="1" s="1"/>
  <c r="V200" i="1"/>
  <c r="V205" i="1"/>
  <c r="U212" i="1"/>
  <c r="T246" i="1"/>
  <c r="V276" i="1"/>
  <c r="S284" i="1"/>
  <c r="R246" i="1"/>
  <c r="S208" i="1"/>
  <c r="T165" i="1"/>
  <c r="V167" i="1"/>
  <c r="R177" i="1"/>
  <c r="O111" i="1"/>
  <c r="X111" i="1" s="1"/>
  <c r="AG111" i="1" s="1"/>
  <c r="R87" i="1"/>
  <c r="U76" i="1"/>
  <c r="P90" i="1"/>
  <c r="Y90" i="1" s="1"/>
  <c r="AH90" i="1" s="1"/>
  <c r="P102" i="1"/>
  <c r="Y102" i="1" s="1"/>
  <c r="AH102" i="1" s="1"/>
  <c r="S79" i="1"/>
  <c r="O96" i="1"/>
  <c r="X96" i="1" s="1"/>
  <c r="AG96" i="1" s="1"/>
  <c r="V82" i="1"/>
  <c r="O109" i="1"/>
  <c r="X109" i="1" s="1"/>
  <c r="AG109" i="1" s="1"/>
  <c r="P84" i="1"/>
  <c r="Y84" i="1" s="1"/>
  <c r="U96" i="1"/>
  <c r="S75" i="1"/>
  <c r="U101" i="1"/>
  <c r="V109" i="1"/>
  <c r="S72" i="1"/>
  <c r="O114" i="1"/>
  <c r="X114" i="1" s="1"/>
  <c r="AG114" i="1" s="1"/>
  <c r="U127" i="1"/>
  <c r="P141" i="1"/>
  <c r="Y141" i="1" s="1"/>
  <c r="AH141" i="1" s="1"/>
  <c r="Q113" i="1"/>
  <c r="V91" i="1"/>
  <c r="U81" i="1"/>
  <c r="O74" i="1"/>
  <c r="X74" i="1" s="1"/>
  <c r="AG74" i="1" s="1"/>
  <c r="V117" i="1"/>
  <c r="AP117" i="1" s="1"/>
  <c r="T103" i="1"/>
  <c r="T120" i="1"/>
  <c r="U139" i="1"/>
  <c r="U140" i="1"/>
  <c r="V111" i="1"/>
  <c r="Q149" i="1"/>
  <c r="T75" i="1"/>
  <c r="U125" i="1"/>
  <c r="O152" i="1"/>
  <c r="X152" i="1" s="1"/>
  <c r="AG152" i="1" s="1"/>
  <c r="U165" i="1"/>
  <c r="Q601" i="1"/>
  <c r="P446" i="1"/>
  <c r="Y446" i="1" s="1"/>
  <c r="AH446" i="1" s="1"/>
  <c r="P103" i="1"/>
  <c r="Y103" i="1" s="1"/>
  <c r="O130" i="1"/>
  <c r="X130" i="1" s="1"/>
  <c r="AG130" i="1" s="1"/>
  <c r="T130" i="1"/>
  <c r="P139" i="1"/>
  <c r="Y139" i="1" s="1"/>
  <c r="T99" i="1"/>
  <c r="AC99" i="1" s="1"/>
  <c r="AL99" i="1" s="1"/>
  <c r="U161" i="1"/>
  <c r="V127" i="1"/>
  <c r="AP127" i="1" s="1"/>
  <c r="AQ127" i="1" s="1"/>
  <c r="O181" i="1"/>
  <c r="X181" i="1" s="1"/>
  <c r="AG181" i="1" s="1"/>
  <c r="S215" i="1"/>
  <c r="P156" i="1"/>
  <c r="Y156" i="1" s="1"/>
  <c r="AH156" i="1" s="1"/>
  <c r="U210" i="1"/>
  <c r="V249" i="1"/>
  <c r="S280" i="1"/>
  <c r="R224" i="1"/>
  <c r="R126" i="1"/>
  <c r="P159" i="1"/>
  <c r="Y159" i="1" s="1"/>
  <c r="P129" i="1"/>
  <c r="Y129" i="1" s="1"/>
  <c r="AH129" i="1" s="1"/>
  <c r="O84" i="1"/>
  <c r="X84" i="1" s="1"/>
  <c r="AG84" i="1" s="1"/>
  <c r="O164" i="1"/>
  <c r="X164" i="1" s="1"/>
  <c r="AG164" i="1" s="1"/>
  <c r="S211" i="1"/>
  <c r="P224" i="1"/>
  <c r="Y224" i="1" s="1"/>
  <c r="AH224" i="1" s="1"/>
  <c r="V133" i="1"/>
  <c r="O271" i="1"/>
  <c r="X271" i="1" s="1"/>
  <c r="AG271" i="1" s="1"/>
  <c r="T268" i="1"/>
  <c r="T236" i="1"/>
  <c r="R171" i="1"/>
  <c r="R274" i="1"/>
  <c r="S232" i="1"/>
  <c r="T168" i="1"/>
  <c r="U201" i="1"/>
  <c r="R129" i="1"/>
  <c r="T126" i="1"/>
  <c r="AD126" i="1" s="1"/>
  <c r="AM126" i="1" s="1"/>
  <c r="V112" i="1"/>
  <c r="P137" i="1"/>
  <c r="Y137" i="1" s="1"/>
  <c r="AH137" i="1" s="1"/>
  <c r="O92" i="1"/>
  <c r="X92" i="1" s="1"/>
  <c r="AG92" i="1" s="1"/>
  <c r="U148" i="1"/>
  <c r="U108" i="1"/>
  <c r="P124" i="1"/>
  <c r="Y124" i="1" s="1"/>
  <c r="AH124" i="1" s="1"/>
  <c r="R193" i="1"/>
  <c r="Q150" i="1"/>
  <c r="U98" i="1"/>
  <c r="P106" i="1"/>
  <c r="Y106" i="1" s="1"/>
  <c r="AH106" i="1" s="1"/>
  <c r="Q72" i="1"/>
  <c r="U220" i="1"/>
  <c r="T114" i="1"/>
  <c r="T251" i="1"/>
  <c r="AC251" i="1" s="1"/>
  <c r="AL251" i="1" s="1"/>
  <c r="R202" i="1"/>
  <c r="R221" i="1"/>
  <c r="T156" i="1"/>
  <c r="Q170" i="1"/>
  <c r="Q71" i="1"/>
  <c r="Q114" i="1"/>
  <c r="R127" i="1"/>
  <c r="V105" i="1"/>
  <c r="Q77" i="1"/>
  <c r="V285" i="1"/>
  <c r="S240" i="1"/>
  <c r="O205" i="1"/>
  <c r="X205" i="1" s="1"/>
  <c r="AG205" i="1" s="1"/>
  <c r="R225" i="1"/>
  <c r="T175" i="1"/>
  <c r="P155" i="1"/>
  <c r="Y155" i="1" s="1"/>
  <c r="AH155" i="1" s="1"/>
  <c r="V130" i="1"/>
  <c r="R72" i="1"/>
  <c r="T92" i="1"/>
  <c r="AC92" i="1" s="1"/>
  <c r="AL92" i="1" s="1"/>
  <c r="O121" i="1"/>
  <c r="X121" i="1" s="1"/>
  <c r="AG121" i="1" s="1"/>
  <c r="Q93" i="1"/>
  <c r="Q166" i="1"/>
  <c r="V191" i="1"/>
  <c r="Q186" i="1"/>
  <c r="S290" i="1"/>
  <c r="Q246" i="1"/>
  <c r="O237" i="1"/>
  <c r="X237" i="1" s="1"/>
  <c r="AG237" i="1" s="1"/>
  <c r="S238" i="1"/>
  <c r="V300" i="1"/>
  <c r="P298" i="1"/>
  <c r="Y298" i="1" s="1"/>
  <c r="AH298" i="1" s="1"/>
  <c r="O238" i="1"/>
  <c r="X238" i="1" s="1"/>
  <c r="AG238" i="1" s="1"/>
  <c r="Q116" i="1"/>
  <c r="U237" i="1"/>
  <c r="S226" i="1"/>
  <c r="O157" i="1"/>
  <c r="X157" i="1" s="1"/>
  <c r="AG157" i="1" s="1"/>
  <c r="R242" i="1"/>
  <c r="Q275" i="1"/>
  <c r="U192" i="1"/>
  <c r="P121" i="1"/>
  <c r="Y121" i="1" s="1"/>
  <c r="U85" i="1"/>
  <c r="U72" i="1"/>
  <c r="AD72" i="1" s="1"/>
  <c r="AM72" i="1" s="1"/>
  <c r="R105" i="1"/>
  <c r="T116" i="1"/>
  <c r="T94" i="1"/>
  <c r="R125" i="1"/>
  <c r="P132" i="1"/>
  <c r="Y132" i="1" s="1"/>
  <c r="AH132" i="1" s="1"/>
  <c r="O108" i="1"/>
  <c r="X108" i="1" s="1"/>
  <c r="AG108" i="1" s="1"/>
  <c r="Q202" i="1"/>
  <c r="Q118" i="1"/>
  <c r="T195" i="1"/>
  <c r="U222" i="1"/>
  <c r="T259" i="1"/>
  <c r="S76" i="1"/>
  <c r="S222" i="1"/>
  <c r="Q86" i="1"/>
  <c r="Q91" i="1"/>
  <c r="T140" i="1"/>
  <c r="AB140" i="1" s="1"/>
  <c r="AK140" i="1" s="1"/>
  <c r="Q87" i="1"/>
  <c r="P146" i="1"/>
  <c r="Y146" i="1" s="1"/>
  <c r="AH146" i="1" s="1"/>
  <c r="V136" i="1"/>
  <c r="U177" i="1"/>
  <c r="Q144" i="1"/>
  <c r="O208" i="1"/>
  <c r="X208" i="1" s="1"/>
  <c r="AG208" i="1" s="1"/>
  <c r="U158" i="1"/>
  <c r="S212" i="1"/>
  <c r="U242" i="1"/>
  <c r="U278" i="1"/>
  <c r="V174" i="1"/>
  <c r="AP174" i="1" s="1"/>
  <c r="R68" i="1"/>
  <c r="P87" i="1"/>
  <c r="Y87" i="1" s="1"/>
  <c r="AH87" i="1" s="1"/>
  <c r="O126" i="1"/>
  <c r="X126" i="1" s="1"/>
  <c r="AG126" i="1" s="1"/>
  <c r="Q131" i="1"/>
  <c r="O119" i="1"/>
  <c r="X119" i="1" s="1"/>
  <c r="AG119" i="1" s="1"/>
  <c r="U142" i="1"/>
  <c r="V168" i="1"/>
  <c r="Q90" i="1"/>
  <c r="U135" i="1"/>
  <c r="R108" i="1"/>
  <c r="V79" i="1"/>
  <c r="P125" i="1"/>
  <c r="Y125" i="1" s="1"/>
  <c r="AH125" i="1" s="1"/>
  <c r="O139" i="1"/>
  <c r="X139" i="1" s="1"/>
  <c r="AG139" i="1" s="1"/>
  <c r="R144" i="1"/>
  <c r="O160" i="1"/>
  <c r="X160" i="1" s="1"/>
  <c r="AG160" i="1" s="1"/>
  <c r="R91" i="1"/>
  <c r="P188" i="1"/>
  <c r="Y188" i="1" s="1"/>
  <c r="AH188" i="1" s="1"/>
  <c r="V78" i="1"/>
  <c r="Q195" i="1"/>
  <c r="U226" i="1"/>
  <c r="Q259" i="1"/>
  <c r="Q287" i="1"/>
  <c r="V187" i="1"/>
  <c r="P233" i="1"/>
  <c r="Y233" i="1" s="1"/>
  <c r="Q256" i="1"/>
  <c r="S277" i="1"/>
  <c r="R260" i="1"/>
  <c r="T179" i="1"/>
  <c r="R250" i="1"/>
  <c r="AA250" i="1" s="1"/>
  <c r="S190" i="1"/>
  <c r="AB190" i="1" s="1"/>
  <c r="AK190" i="1" s="1"/>
  <c r="T198" i="1"/>
  <c r="AC198" i="1" s="1"/>
  <c r="AL198" i="1" s="1"/>
  <c r="R185" i="1"/>
  <c r="U131" i="1"/>
  <c r="R152" i="1"/>
  <c r="R107" i="1"/>
  <c r="P175" i="1"/>
  <c r="Y175" i="1" s="1"/>
  <c r="S73" i="1"/>
  <c r="O115" i="1"/>
  <c r="X115" i="1" s="1"/>
  <c r="AG115" i="1" s="1"/>
  <c r="P210" i="1"/>
  <c r="Y210" i="1" s="1"/>
  <c r="U286" i="1"/>
  <c r="P256" i="1"/>
  <c r="Y256" i="1" s="1"/>
  <c r="V237" i="1"/>
  <c r="P204" i="1"/>
  <c r="Y204" i="1" s="1"/>
  <c r="AH204" i="1" s="1"/>
  <c r="U577" i="1"/>
  <c r="O335" i="1"/>
  <c r="X335" i="1" s="1"/>
  <c r="AG335" i="1" s="1"/>
  <c r="T220" i="1"/>
  <c r="U243" i="1"/>
  <c r="S257" i="1"/>
  <c r="O149" i="1"/>
  <c r="X149" i="1" s="1"/>
  <c r="AG149" i="1" s="1"/>
  <c r="T222" i="1"/>
  <c r="O284" i="1"/>
  <c r="X284" i="1" s="1"/>
  <c r="AG284" i="1" s="1"/>
  <c r="P176" i="1"/>
  <c r="Y176" i="1" s="1"/>
  <c r="AH176" i="1" s="1"/>
  <c r="T170" i="1"/>
  <c r="R102" i="1"/>
  <c r="R228" i="1"/>
  <c r="V165" i="1"/>
  <c r="S264" i="1"/>
  <c r="U150" i="1"/>
  <c r="Q122" i="1"/>
  <c r="V139" i="1"/>
  <c r="S71" i="1"/>
  <c r="V95" i="1"/>
  <c r="V88" i="1"/>
  <c r="Q96" i="1"/>
  <c r="O83" i="1"/>
  <c r="X83" i="1" s="1"/>
  <c r="AG83" i="1" s="1"/>
  <c r="T78" i="1"/>
  <c r="V74" i="1"/>
  <c r="U78" i="1"/>
  <c r="Q120" i="1"/>
  <c r="O79" i="1"/>
  <c r="X79" i="1" s="1"/>
  <c r="AG79" i="1" s="1"/>
  <c r="O88" i="1"/>
  <c r="X88" i="1" s="1"/>
  <c r="AG88" i="1" s="1"/>
  <c r="P68" i="1"/>
  <c r="Y68" i="1" s="1"/>
  <c r="AH68" i="1" s="1"/>
  <c r="Q92" i="1"/>
  <c r="T129" i="1"/>
  <c r="U157" i="1"/>
  <c r="U189" i="1"/>
  <c r="T169" i="1"/>
  <c r="AC169" i="1" s="1"/>
  <c r="AL169" i="1" s="1"/>
  <c r="P199" i="1"/>
  <c r="Y199" i="1" s="1"/>
  <c r="AH199" i="1" s="1"/>
  <c r="O212" i="1"/>
  <c r="X212" i="1" s="1"/>
  <c r="AG212" i="1" s="1"/>
  <c r="Q222" i="1"/>
  <c r="Q133" i="1"/>
  <c r="R176" i="1"/>
  <c r="R198" i="1"/>
  <c r="T211" i="1"/>
  <c r="S228" i="1"/>
  <c r="T243" i="1"/>
  <c r="R262" i="1"/>
  <c r="V277" i="1"/>
  <c r="R124" i="1"/>
  <c r="T192" i="1"/>
  <c r="O71" i="1"/>
  <c r="X71" i="1" s="1"/>
  <c r="AG71" i="1" s="1"/>
  <c r="T105" i="1"/>
  <c r="V92" i="1"/>
  <c r="O113" i="1"/>
  <c r="X113" i="1" s="1"/>
  <c r="AG113" i="1" s="1"/>
  <c r="O101" i="1"/>
  <c r="X101" i="1" s="1"/>
  <c r="AG101" i="1" s="1"/>
  <c r="R123" i="1"/>
  <c r="U79" i="1"/>
  <c r="V128" i="1"/>
  <c r="R70" i="1"/>
  <c r="R121" i="1"/>
  <c r="O142" i="1"/>
  <c r="X142" i="1" s="1"/>
  <c r="AG142" i="1" s="1"/>
  <c r="O163" i="1"/>
  <c r="X163" i="1" s="1"/>
  <c r="AG163" i="1" s="1"/>
  <c r="O124" i="1"/>
  <c r="X124" i="1" s="1"/>
  <c r="AG124" i="1" s="1"/>
  <c r="U149" i="1"/>
  <c r="R173" i="1"/>
  <c r="V188" i="1"/>
  <c r="P134" i="1"/>
  <c r="Y134" i="1" s="1"/>
  <c r="AH134" i="1" s="1"/>
  <c r="V162" i="1"/>
  <c r="P203" i="1"/>
  <c r="Y203" i="1" s="1"/>
  <c r="V216" i="1"/>
  <c r="O147" i="1"/>
  <c r="X147" i="1" s="1"/>
  <c r="AG147" i="1" s="1"/>
  <c r="T187" i="1"/>
  <c r="O209" i="1"/>
  <c r="X209" i="1" s="1"/>
  <c r="AG209" i="1" s="1"/>
  <c r="T223" i="1"/>
  <c r="T239" i="1"/>
  <c r="R254" i="1"/>
  <c r="V273" i="1"/>
  <c r="Q291" i="1"/>
  <c r="U154" i="1"/>
  <c r="Q201" i="1"/>
  <c r="R589" i="1"/>
  <c r="U352" i="1"/>
  <c r="V359" i="1"/>
  <c r="O311" i="1"/>
  <c r="X311" i="1" s="1"/>
  <c r="AG311" i="1" s="1"/>
  <c r="V323" i="1"/>
  <c r="Q321" i="1"/>
  <c r="V227" i="1"/>
  <c r="Q140" i="1"/>
  <c r="Q301" i="1"/>
  <c r="O146" i="1"/>
  <c r="X146" i="1" s="1"/>
  <c r="AG146" i="1" s="1"/>
  <c r="Q73" i="1"/>
  <c r="S217" i="1"/>
  <c r="P181" i="1"/>
  <c r="Y181" i="1" s="1"/>
  <c r="AH181" i="1" s="1"/>
  <c r="O104" i="1"/>
  <c r="X104" i="1" s="1"/>
  <c r="AG104" i="1" s="1"/>
  <c r="T231" i="1"/>
  <c r="S287" i="1"/>
  <c r="AP287" i="1" s="1"/>
  <c r="AQ287" i="1" s="1"/>
  <c r="U199" i="1"/>
  <c r="U198" i="1"/>
  <c r="S203" i="1"/>
  <c r="U153" i="1"/>
  <c r="R80" i="1"/>
  <c r="O72" i="1"/>
  <c r="X72" i="1" s="1"/>
  <c r="AG72" i="1" s="1"/>
  <c r="S69" i="1"/>
  <c r="R90" i="1"/>
  <c r="O103" i="1"/>
  <c r="X103" i="1" s="1"/>
  <c r="AG103" i="1" s="1"/>
  <c r="P95" i="1"/>
  <c r="Y95" i="1" s="1"/>
  <c r="AH95" i="1" s="1"/>
  <c r="T100" i="1"/>
  <c r="R98" i="1"/>
  <c r="Q76" i="1"/>
  <c r="P98" i="1"/>
  <c r="Y98" i="1" s="1"/>
  <c r="AH98" i="1" s="1"/>
  <c r="U91" i="1"/>
  <c r="Q112" i="1"/>
  <c r="V131" i="1"/>
  <c r="V151" i="1"/>
  <c r="V94" i="1"/>
  <c r="R143" i="1"/>
  <c r="U181" i="1"/>
  <c r="R137" i="1"/>
  <c r="U179" i="1"/>
  <c r="R205" i="1"/>
  <c r="P215" i="1"/>
  <c r="Y215" i="1" s="1"/>
  <c r="AH215" i="1" s="1"/>
  <c r="V97" i="1"/>
  <c r="T151" i="1"/>
  <c r="Q191" i="1"/>
  <c r="T219" i="1"/>
  <c r="T235" i="1"/>
  <c r="S256" i="1"/>
  <c r="T271" i="1"/>
  <c r="AC271" i="1" s="1"/>
  <c r="AL271" i="1" s="1"/>
  <c r="O289" i="1"/>
  <c r="X289" i="1" s="1"/>
  <c r="AG289" i="1" s="1"/>
  <c r="R158" i="1"/>
  <c r="R208" i="1"/>
  <c r="V83" i="1"/>
  <c r="O80" i="1"/>
  <c r="X80" i="1" s="1"/>
  <c r="AG80" i="1" s="1"/>
  <c r="U83" i="1"/>
  <c r="T71" i="1"/>
  <c r="R111" i="1"/>
  <c r="Q132" i="1"/>
  <c r="T117" i="1"/>
  <c r="V144" i="1"/>
  <c r="U103" i="1"/>
  <c r="V89" i="1"/>
  <c r="P142" i="1"/>
  <c r="Y142" i="1" s="1"/>
  <c r="AH142" i="1" s="1"/>
  <c r="T166" i="1"/>
  <c r="AC166" i="1" s="1"/>
  <c r="AL166" i="1" s="1"/>
  <c r="T182" i="1"/>
  <c r="AC182" i="1" s="1"/>
  <c r="AL182" i="1" s="1"/>
  <c r="T194" i="1"/>
  <c r="AC194" i="1" s="1"/>
  <c r="AL194" i="1" s="1"/>
  <c r="R151" i="1"/>
  <c r="R183" i="1"/>
  <c r="P123" i="1"/>
  <c r="Y123" i="1" s="1"/>
  <c r="AH123" i="1" s="1"/>
  <c r="Q175" i="1"/>
  <c r="Q199" i="1"/>
  <c r="T215" i="1"/>
  <c r="R230" i="1"/>
  <c r="S248" i="1"/>
  <c r="V265" i="1"/>
  <c r="V281" i="1"/>
  <c r="U186" i="1"/>
  <c r="T452" i="1"/>
  <c r="T258" i="1"/>
  <c r="S199" i="1"/>
  <c r="T145" i="1"/>
  <c r="AD145" i="1" s="1"/>
  <c r="AM145" i="1" s="1"/>
  <c r="P236" i="1"/>
  <c r="Y236" i="1" s="1"/>
  <c r="AH236" i="1" s="1"/>
  <c r="O78" i="1"/>
  <c r="X78" i="1" s="1"/>
  <c r="AG78" i="1" s="1"/>
  <c r="Q88" i="1"/>
  <c r="P120" i="1"/>
  <c r="Y120" i="1" s="1"/>
  <c r="AH120" i="1" s="1"/>
  <c r="R131" i="1"/>
  <c r="O144" i="1"/>
  <c r="X144" i="1" s="1"/>
  <c r="AG144" i="1" s="1"/>
  <c r="T186" i="1"/>
  <c r="U217" i="1"/>
  <c r="P208" i="1"/>
  <c r="Y208" i="1" s="1"/>
  <c r="AH208" i="1" s="1"/>
  <c r="S268" i="1"/>
  <c r="O203" i="1"/>
  <c r="X203" i="1" s="1"/>
  <c r="AG203" i="1" s="1"/>
  <c r="T119" i="1"/>
  <c r="V123" i="1"/>
  <c r="V155" i="1"/>
  <c r="T172" i="1"/>
  <c r="AC172" i="1" s="1"/>
  <c r="AL172" i="1" s="1"/>
  <c r="T181" i="1"/>
  <c r="S236" i="1"/>
  <c r="T81" i="1"/>
  <c r="V113" i="1"/>
  <c r="P147" i="1"/>
  <c r="Y147" i="1" s="1"/>
  <c r="AH147" i="1" s="1"/>
  <c r="R156" i="1"/>
  <c r="Q178" i="1"/>
  <c r="P100" i="1"/>
  <c r="Y100" i="1" s="1"/>
  <c r="AH100" i="1" s="1"/>
  <c r="U123" i="1"/>
  <c r="Q157" i="1"/>
  <c r="P232" i="1"/>
  <c r="Y232" i="1" s="1"/>
  <c r="V185" i="1"/>
  <c r="P223" i="1"/>
  <c r="Y223" i="1" s="1"/>
  <c r="AH223" i="1" s="1"/>
  <c r="Q189" i="1"/>
  <c r="R86" i="1"/>
  <c r="T125" i="1"/>
  <c r="AC125" i="1" s="1"/>
  <c r="AL125" i="1" s="1"/>
  <c r="T104" i="1"/>
  <c r="P89" i="1"/>
  <c r="Y89" i="1" s="1"/>
  <c r="AH89" i="1" s="1"/>
  <c r="T205" i="1"/>
  <c r="O137" i="1"/>
  <c r="X137" i="1" s="1"/>
  <c r="AG137" i="1" s="1"/>
  <c r="V269" i="1"/>
  <c r="U250" i="1"/>
  <c r="O221" i="1"/>
  <c r="X221" i="1" s="1"/>
  <c r="AG221" i="1" s="1"/>
  <c r="S193" i="1"/>
  <c r="Q163" i="1"/>
  <c r="S219" i="1"/>
  <c r="P182" i="1"/>
  <c r="Y182" i="1" s="1"/>
  <c r="AH182" i="1" s="1"/>
  <c r="P115" i="1"/>
  <c r="Y115" i="1" s="1"/>
  <c r="AH115" i="1" s="1"/>
  <c r="P171" i="1"/>
  <c r="Y171" i="1" s="1"/>
  <c r="AH171" i="1" s="1"/>
  <c r="V140" i="1"/>
  <c r="R160" i="1"/>
  <c r="P107" i="1"/>
  <c r="Y107" i="1" s="1"/>
  <c r="T127" i="1"/>
  <c r="O118" i="1"/>
  <c r="X118" i="1" s="1"/>
  <c r="AG118" i="1" s="1"/>
  <c r="U114" i="1"/>
  <c r="P91" i="1"/>
  <c r="Y91" i="1" s="1"/>
  <c r="AH91" i="1" s="1"/>
  <c r="U88" i="1"/>
  <c r="P76" i="1"/>
  <c r="Y76" i="1" s="1"/>
  <c r="AH76" i="1" s="1"/>
  <c r="V96" i="1"/>
  <c r="R69" i="1"/>
  <c r="S272" i="1"/>
  <c r="V87" i="1"/>
  <c r="P99" i="1"/>
  <c r="Y99" i="1" s="1"/>
  <c r="AH99" i="1" s="1"/>
  <c r="T89" i="1"/>
  <c r="U112" i="1"/>
  <c r="V137" i="1"/>
  <c r="P284" i="1"/>
  <c r="Y284" i="1" s="1"/>
  <c r="AH284" i="1" s="1"/>
  <c r="V279" i="1"/>
  <c r="S245" i="1"/>
  <c r="O281" i="1"/>
  <c r="X281" i="1" s="1"/>
  <c r="AG281" i="1" s="1"/>
  <c r="S220" i="1"/>
  <c r="T159" i="1"/>
  <c r="P195" i="1"/>
  <c r="Y195" i="1" s="1"/>
  <c r="AH195" i="1" s="1"/>
  <c r="R130" i="1"/>
  <c r="O117" i="1"/>
  <c r="X117" i="1" s="1"/>
  <c r="AG117" i="1" s="1"/>
  <c r="Q97" i="1"/>
  <c r="V125" i="1"/>
  <c r="P78" i="1"/>
  <c r="Y78" i="1" s="1"/>
  <c r="AH78" i="1" s="1"/>
  <c r="O156" i="1"/>
  <c r="X156" i="1" s="1"/>
  <c r="AG156" i="1" s="1"/>
  <c r="U136" i="1"/>
  <c r="V134" i="1"/>
  <c r="V99" i="1"/>
  <c r="R140" i="1"/>
  <c r="Q263" i="1"/>
  <c r="R192" i="1"/>
  <c r="O200" i="1"/>
  <c r="X200" i="1" s="1"/>
  <c r="AG200" i="1" s="1"/>
  <c r="U185" i="1"/>
  <c r="Q106" i="1"/>
  <c r="U134" i="1"/>
  <c r="V106" i="1"/>
  <c r="T93" i="1"/>
  <c r="U274" i="1"/>
  <c r="S216" i="1"/>
  <c r="T144" i="1"/>
  <c r="T164" i="1"/>
  <c r="AC164" i="1" s="1"/>
  <c r="AL164" i="1" s="1"/>
  <c r="R134" i="1"/>
  <c r="V103" i="1"/>
  <c r="O85" i="1"/>
  <c r="X85" i="1" s="1"/>
  <c r="AG85" i="1" s="1"/>
  <c r="P86" i="1"/>
  <c r="Y86" i="1" s="1"/>
  <c r="U68" i="1"/>
  <c r="Q188" i="1"/>
  <c r="V145" i="1"/>
  <c r="T197" i="1"/>
  <c r="V260" i="1"/>
  <c r="U244" i="1"/>
  <c r="AC228" i="1"/>
  <c r="AL228" i="1" s="1"/>
  <c r="AC277" i="1"/>
  <c r="AL277" i="1" s="1"/>
  <c r="AP553" i="1" l="1"/>
  <c r="AQ553" i="1" s="1"/>
  <c r="AR553" i="1" s="1"/>
  <c r="AS553" i="1" s="1"/>
  <c r="AT553" i="1" s="1"/>
  <c r="AC335" i="1"/>
  <c r="AL335" i="1" s="1"/>
  <c r="AB356" i="1"/>
  <c r="AK356" i="1" s="1"/>
  <c r="AC523" i="1"/>
  <c r="AL523" i="1" s="1"/>
  <c r="AD356" i="1"/>
  <c r="AM356" i="1" s="1"/>
  <c r="AC576" i="1"/>
  <c r="AL576" i="1" s="1"/>
  <c r="AA567" i="1"/>
  <c r="AJ567" i="1" s="1"/>
  <c r="AA143" i="1"/>
  <c r="AJ143" i="1" s="1"/>
  <c r="AD153" i="1"/>
  <c r="AM153" i="1" s="1"/>
  <c r="AE162" i="1"/>
  <c r="AN162" i="1" s="1"/>
  <c r="AE277" i="1"/>
  <c r="AN277" i="1" s="1"/>
  <c r="AD189" i="1"/>
  <c r="AM189" i="1" s="1"/>
  <c r="Z140" i="1"/>
  <c r="AI140" i="1" s="1"/>
  <c r="AP81" i="1"/>
  <c r="AQ81" i="1" s="1"/>
  <c r="AR81" i="1" s="1"/>
  <c r="AS81" i="1" s="1"/>
  <c r="AT81" i="1" s="1"/>
  <c r="AE97" i="1"/>
  <c r="AN97" i="1" s="1"/>
  <c r="AD352" i="1"/>
  <c r="AM352" i="1" s="1"/>
  <c r="Z192" i="1"/>
  <c r="AI192" i="1" s="1"/>
  <c r="AA176" i="1"/>
  <c r="AJ176" i="1" s="1"/>
  <c r="AB427" i="1"/>
  <c r="AK427" i="1" s="1"/>
  <c r="AC427" i="1"/>
  <c r="AL427" i="1" s="1"/>
  <c r="AP145" i="1"/>
  <c r="AQ145" i="1" s="1"/>
  <c r="AR145" i="1" s="1"/>
  <c r="AS145" i="1" s="1"/>
  <c r="AT145" i="1" s="1"/>
  <c r="Z144" i="1"/>
  <c r="AI144" i="1" s="1"/>
  <c r="AA130" i="1"/>
  <c r="AJ130" i="1" s="1"/>
  <c r="AP236" i="1"/>
  <c r="AU236" i="1" s="1"/>
  <c r="Z219" i="1"/>
  <c r="AI219" i="1" s="1"/>
  <c r="AP390" i="1"/>
  <c r="AQ390" i="1" s="1"/>
  <c r="AR390" i="1" s="1"/>
  <c r="AS390" i="1" s="1"/>
  <c r="AT390" i="1" s="1"/>
  <c r="AB327" i="1"/>
  <c r="AK327" i="1" s="1"/>
  <c r="Z138" i="1"/>
  <c r="AI138" i="1" s="1"/>
  <c r="AE447" i="1"/>
  <c r="AN447" i="1" s="1"/>
  <c r="AD581" i="1"/>
  <c r="AM581" i="1" s="1"/>
  <c r="Z636" i="1"/>
  <c r="AI636" i="1" s="1"/>
  <c r="AA425" i="1"/>
  <c r="AA640" i="1"/>
  <c r="AJ640" i="1" s="1"/>
  <c r="AB564" i="1"/>
  <c r="AK564" i="1" s="1"/>
  <c r="AB285" i="1"/>
  <c r="AK285" i="1" s="1"/>
  <c r="AP353" i="1"/>
  <c r="AQ353" i="1" s="1"/>
  <c r="AR353" i="1" s="1"/>
  <c r="AS353" i="1" s="1"/>
  <c r="AT353" i="1" s="1"/>
  <c r="AA290" i="1"/>
  <c r="AJ290" i="1" s="1"/>
  <c r="AC624" i="1"/>
  <c r="AL624" i="1" s="1"/>
  <c r="AI333" i="1"/>
  <c r="AD526" i="1"/>
  <c r="AM526" i="1" s="1"/>
  <c r="AP346" i="1"/>
  <c r="AQ346" i="1" s="1"/>
  <c r="AR346" i="1" s="1"/>
  <c r="AS346" i="1" s="1"/>
  <c r="AT346" i="1" s="1"/>
  <c r="AA394" i="1"/>
  <c r="AJ394" i="1" s="1"/>
  <c r="AB307" i="1"/>
  <c r="AK307" i="1" s="1"/>
  <c r="AA447" i="1"/>
  <c r="AJ447" i="1" s="1"/>
  <c r="AE386" i="1"/>
  <c r="AN386" i="1" s="1"/>
  <c r="AC369" i="1"/>
  <c r="AL369" i="1" s="1"/>
  <c r="AE159" i="1"/>
  <c r="AN159" i="1" s="1"/>
  <c r="AP281" i="1"/>
  <c r="AU281" i="1" s="1"/>
  <c r="AA71" i="1"/>
  <c r="AJ71" i="1" s="1"/>
  <c r="Z100" i="1"/>
  <c r="AD167" i="1"/>
  <c r="AM167" i="1" s="1"/>
  <c r="AD290" i="1"/>
  <c r="AM290" i="1" s="1"/>
  <c r="AD381" i="1"/>
  <c r="AM381" i="1" s="1"/>
  <c r="AA361" i="1"/>
  <c r="AJ361" i="1" s="1"/>
  <c r="Z331" i="1"/>
  <c r="AI331" i="1" s="1"/>
  <c r="AB261" i="1"/>
  <c r="AK261" i="1" s="1"/>
  <c r="AB250" i="1"/>
  <c r="AK250" i="1" s="1"/>
  <c r="Z652" i="1"/>
  <c r="AI652" i="1" s="1"/>
  <c r="AD250" i="1"/>
  <c r="AM250" i="1" s="1"/>
  <c r="Z189" i="1"/>
  <c r="AI189" i="1" s="1"/>
  <c r="AB228" i="1"/>
  <c r="AK228" i="1" s="1"/>
  <c r="AY228" i="1" s="1"/>
  <c r="AA72" i="1"/>
  <c r="AJ72" i="1" s="1"/>
  <c r="Z72" i="1"/>
  <c r="AI72" i="1" s="1"/>
  <c r="AD281" i="1"/>
  <c r="AM281" i="1" s="1"/>
  <c r="AJ348" i="1"/>
  <c r="AB640" i="1"/>
  <c r="AK640" i="1" s="1"/>
  <c r="AY640" i="1" s="1"/>
  <c r="AZ640" i="1" s="1"/>
  <c r="Z250" i="1"/>
  <c r="AI250" i="1" s="1"/>
  <c r="AR654" i="1"/>
  <c r="Z281" i="1"/>
  <c r="AI281" i="1" s="1"/>
  <c r="AE303" i="1"/>
  <c r="AN303" i="1" s="1"/>
  <c r="Z295" i="1"/>
  <c r="AI295" i="1" s="1"/>
  <c r="AP354" i="1"/>
  <c r="AQ354" i="1" s="1"/>
  <c r="AR354" i="1" s="1"/>
  <c r="AS354" i="1" s="1"/>
  <c r="AT354" i="1" s="1"/>
  <c r="AB260" i="1"/>
  <c r="AK260" i="1" s="1"/>
  <c r="AD393" i="1"/>
  <c r="AM393" i="1" s="1"/>
  <c r="AA389" i="1"/>
  <c r="AJ389" i="1" s="1"/>
  <c r="AJ605" i="1"/>
  <c r="AP518" i="1"/>
  <c r="AQ518" i="1" s="1"/>
  <c r="AR518" i="1" s="1"/>
  <c r="AS518" i="1" s="1"/>
  <c r="AT518" i="1" s="1"/>
  <c r="Z659" i="1"/>
  <c r="AI659" i="1" s="1"/>
  <c r="AB425" i="1"/>
  <c r="AK425" i="1" s="1"/>
  <c r="AP400" i="1"/>
  <c r="AQ400" i="1" s="1"/>
  <c r="AR400" i="1" s="1"/>
  <c r="AS400" i="1" s="1"/>
  <c r="AT400" i="1" s="1"/>
  <c r="Z297" i="1"/>
  <c r="AI297" i="1" s="1"/>
  <c r="Z252" i="1"/>
  <c r="AI252" i="1" s="1"/>
  <c r="Z232" i="1"/>
  <c r="AI232" i="1" s="1"/>
  <c r="AP261" i="1"/>
  <c r="AQ261" i="1" s="1"/>
  <c r="AR261" i="1" s="1"/>
  <c r="AS261" i="1" s="1"/>
  <c r="AT261" i="1" s="1"/>
  <c r="AD640" i="1"/>
  <c r="AM640" i="1" s="1"/>
  <c r="AP376" i="1"/>
  <c r="AQ376" i="1" s="1"/>
  <c r="AR376" i="1" s="1"/>
  <c r="AS376" i="1" s="1"/>
  <c r="AT376" i="1" s="1"/>
  <c r="AD659" i="1"/>
  <c r="AM659" i="1" s="1"/>
  <c r="AE584" i="1"/>
  <c r="AN584" i="1" s="1"/>
  <c r="AD454" i="1"/>
  <c r="AM454" i="1" s="1"/>
  <c r="AE470" i="1"/>
  <c r="AN470" i="1" s="1"/>
  <c r="AB659" i="1"/>
  <c r="AK659" i="1" s="1"/>
  <c r="AP254" i="1"/>
  <c r="AQ254" i="1" s="1"/>
  <c r="AR254" i="1" s="1"/>
  <c r="AS254" i="1" s="1"/>
  <c r="AT254" i="1" s="1"/>
  <c r="AD426" i="1"/>
  <c r="AM426" i="1" s="1"/>
  <c r="AP490" i="1"/>
  <c r="AU490" i="1" s="1"/>
  <c r="AE257" i="1"/>
  <c r="AN257" i="1" s="1"/>
  <c r="AB297" i="1"/>
  <c r="AK297" i="1" s="1"/>
  <c r="AA523" i="1"/>
  <c r="AJ523" i="1" s="1"/>
  <c r="AD295" i="1"/>
  <c r="AM295" i="1" s="1"/>
  <c r="AB520" i="1"/>
  <c r="AK520" i="1" s="1"/>
  <c r="AY520" i="1" s="1"/>
  <c r="AZ520" i="1" s="1"/>
  <c r="AP377" i="1"/>
  <c r="AQ377" i="1" s="1"/>
  <c r="AR377" i="1" s="1"/>
  <c r="AS377" i="1" s="1"/>
  <c r="AT377" i="1" s="1"/>
  <c r="AB588" i="1"/>
  <c r="AK588" i="1" s="1"/>
  <c r="AA139" i="1"/>
  <c r="AJ139" i="1" s="1"/>
  <c r="AB641" i="1"/>
  <c r="AK641" i="1" s="1"/>
  <c r="AE322" i="1"/>
  <c r="AN322" i="1" s="1"/>
  <c r="AD646" i="1"/>
  <c r="AM646" i="1" s="1"/>
  <c r="AA402" i="1"/>
  <c r="AJ402" i="1" s="1"/>
  <c r="AD563" i="1"/>
  <c r="AM563" i="1" s="1"/>
  <c r="AB512" i="1"/>
  <c r="AK512" i="1" s="1"/>
  <c r="AB533" i="1"/>
  <c r="AK533" i="1" s="1"/>
  <c r="AD428" i="1"/>
  <c r="AM428" i="1" s="1"/>
  <c r="AA322" i="1"/>
  <c r="AJ322" i="1" s="1"/>
  <c r="AD413" i="1"/>
  <c r="AM413" i="1" s="1"/>
  <c r="AA489" i="1"/>
  <c r="AJ489" i="1" s="1"/>
  <c r="AB448" i="1"/>
  <c r="AK448" i="1" s="1"/>
  <c r="Z548" i="1"/>
  <c r="AI548" i="1" s="1"/>
  <c r="AP422" i="1"/>
  <c r="AQ422" i="1" s="1"/>
  <c r="AR422" i="1" s="1"/>
  <c r="AS422" i="1" s="1"/>
  <c r="AT422" i="1" s="1"/>
  <c r="AD571" i="1"/>
  <c r="AM571" i="1" s="1"/>
  <c r="AA335" i="1"/>
  <c r="AJ335" i="1" s="1"/>
  <c r="AB472" i="1"/>
  <c r="AK472" i="1" s="1"/>
  <c r="AP328" i="1"/>
  <c r="AQ328" i="1" s="1"/>
  <c r="AR328" i="1" s="1"/>
  <c r="AS328" i="1" s="1"/>
  <c r="AT328" i="1" s="1"/>
  <c r="AA281" i="1"/>
  <c r="AJ281" i="1" s="1"/>
  <c r="AD322" i="1"/>
  <c r="AM322" i="1" s="1"/>
  <c r="AA196" i="1"/>
  <c r="AJ196" i="1" s="1"/>
  <c r="AB436" i="1"/>
  <c r="AK436" i="1" s="1"/>
  <c r="Z472" i="1"/>
  <c r="AI472" i="1" s="1"/>
  <c r="Z502" i="1"/>
  <c r="AI502" i="1" s="1"/>
  <c r="AB636" i="1"/>
  <c r="AK636" i="1" s="1"/>
  <c r="AP483" i="1"/>
  <c r="AU483" i="1" s="1"/>
  <c r="Z228" i="1"/>
  <c r="AI228" i="1" s="1"/>
  <c r="Z344" i="1"/>
  <c r="AI344" i="1" s="1"/>
  <c r="AB288" i="1"/>
  <c r="AK288" i="1" s="1"/>
  <c r="AD305" i="1"/>
  <c r="AM305" i="1" s="1"/>
  <c r="AE143" i="1"/>
  <c r="AN143" i="1" s="1"/>
  <c r="AE190" i="1"/>
  <c r="AN190" i="1" s="1"/>
  <c r="AY190" i="1" s="1"/>
  <c r="AZ190" i="1" s="1"/>
  <c r="AP80" i="1"/>
  <c r="AU80" i="1" s="1"/>
  <c r="AA247" i="1"/>
  <c r="AJ247" i="1" s="1"/>
  <c r="AD214" i="1"/>
  <c r="AM214" i="1" s="1"/>
  <c r="Z335" i="1"/>
  <c r="AI335" i="1" s="1"/>
  <c r="AP576" i="1"/>
  <c r="AQ576" i="1" s="1"/>
  <c r="AR576" i="1" s="1"/>
  <c r="AS576" i="1" s="1"/>
  <c r="AT576" i="1" s="1"/>
  <c r="AC640" i="1"/>
  <c r="AL640" i="1" s="1"/>
  <c r="AB524" i="1"/>
  <c r="AK524" i="1" s="1"/>
  <c r="AD425" i="1"/>
  <c r="AM425" i="1" s="1"/>
  <c r="AA426" i="1"/>
  <c r="AJ426" i="1" s="1"/>
  <c r="AA380" i="1"/>
  <c r="AJ380" i="1" s="1"/>
  <c r="AE96" i="1"/>
  <c r="AN96" i="1" s="1"/>
  <c r="AA81" i="1"/>
  <c r="AJ81" i="1" s="1"/>
  <c r="AE155" i="1"/>
  <c r="AN155" i="1" s="1"/>
  <c r="AB78" i="1"/>
  <c r="AK78" i="1" s="1"/>
  <c r="AP191" i="1"/>
  <c r="AQ191" i="1" s="1"/>
  <c r="AR191" i="1" s="1"/>
  <c r="AS191" i="1" s="1"/>
  <c r="AT191" i="1" s="1"/>
  <c r="AD148" i="1"/>
  <c r="AM148" i="1" s="1"/>
  <c r="AP232" i="1"/>
  <c r="AQ232" i="1" s="1"/>
  <c r="AR232" i="1" s="1"/>
  <c r="AS232" i="1" s="1"/>
  <c r="AT232" i="1" s="1"/>
  <c r="AB72" i="1"/>
  <c r="AK72" i="1" s="1"/>
  <c r="AE189" i="1"/>
  <c r="AN189" i="1" s="1"/>
  <c r="AY189" i="1" s="1"/>
  <c r="AZ189" i="1" s="1"/>
  <c r="AE250" i="1"/>
  <c r="AN250" i="1" s="1"/>
  <c r="AA162" i="1"/>
  <c r="AJ162" i="1" s="1"/>
  <c r="AP101" i="1"/>
  <c r="AQ101" i="1" s="1"/>
  <c r="AR101" i="1" s="1"/>
  <c r="AS101" i="1" s="1"/>
  <c r="AT101" i="1" s="1"/>
  <c r="AP85" i="1"/>
  <c r="AQ85" i="1" s="1"/>
  <c r="AR85" i="1" s="1"/>
  <c r="AS85" i="1" s="1"/>
  <c r="AT85" i="1" s="1"/>
  <c r="AD533" i="1"/>
  <c r="AM533" i="1" s="1"/>
  <c r="AP180" i="1"/>
  <c r="AQ180" i="1" s="1"/>
  <c r="AR180" i="1" s="1"/>
  <c r="AS180" i="1" s="1"/>
  <c r="AT180" i="1" s="1"/>
  <c r="AB162" i="1"/>
  <c r="AK162" i="1" s="1"/>
  <c r="AD666" i="1"/>
  <c r="AM666" i="1" s="1"/>
  <c r="AA649" i="1"/>
  <c r="AJ649" i="1" s="1"/>
  <c r="AE665" i="1"/>
  <c r="AN665" i="1" s="1"/>
  <c r="AA576" i="1"/>
  <c r="AJ576" i="1" s="1"/>
  <c r="AP555" i="1"/>
  <c r="AU555" i="1" s="1"/>
  <c r="AA261" i="1"/>
  <c r="AJ261" i="1" s="1"/>
  <c r="AB422" i="1"/>
  <c r="AK422" i="1" s="1"/>
  <c r="AD228" i="1"/>
  <c r="AM228" i="1" s="1"/>
  <c r="AA303" i="1"/>
  <c r="AJ303" i="1" s="1"/>
  <c r="AA252" i="1"/>
  <c r="AJ252" i="1" s="1"/>
  <c r="AA294" i="1"/>
  <c r="AB377" i="1"/>
  <c r="AK377" i="1" s="1"/>
  <c r="AP349" i="1"/>
  <c r="AQ349" i="1" s="1"/>
  <c r="AR349" i="1" s="1"/>
  <c r="AS349" i="1" s="1"/>
  <c r="AT349" i="1" s="1"/>
  <c r="AD303" i="1"/>
  <c r="AM303" i="1" s="1"/>
  <c r="AE448" i="1"/>
  <c r="AN448" i="1" s="1"/>
  <c r="AA547" i="1"/>
  <c r="AJ547" i="1" s="1"/>
  <c r="AE635" i="1"/>
  <c r="AN635" i="1" s="1"/>
  <c r="AB665" i="1"/>
  <c r="AK665" i="1" s="1"/>
  <c r="AB635" i="1"/>
  <c r="AK635" i="1" s="1"/>
  <c r="AD587" i="1"/>
  <c r="AM587" i="1" s="1"/>
  <c r="AE656" i="1"/>
  <c r="AN656" i="1" s="1"/>
  <c r="AD277" i="1"/>
  <c r="AM277" i="1" s="1"/>
  <c r="AB303" i="1"/>
  <c r="AK303" i="1" s="1"/>
  <c r="Z322" i="1"/>
  <c r="AI322" i="1" s="1"/>
  <c r="AA304" i="1"/>
  <c r="AJ304" i="1" s="1"/>
  <c r="AE183" i="1"/>
  <c r="AN183" i="1" s="1"/>
  <c r="AD121" i="1"/>
  <c r="AM121" i="1" s="1"/>
  <c r="AD143" i="1"/>
  <c r="AM143" i="1" s="1"/>
  <c r="AD218" i="1"/>
  <c r="AM218" i="1" s="1"/>
  <c r="AD234" i="1"/>
  <c r="AM234" i="1" s="1"/>
  <c r="AB191" i="1"/>
  <c r="AK191" i="1" s="1"/>
  <c r="AP195" i="1"/>
  <c r="AQ195" i="1" s="1"/>
  <c r="AR195" i="1" s="1"/>
  <c r="AS195" i="1" s="1"/>
  <c r="AT195" i="1" s="1"/>
  <c r="AB602" i="1"/>
  <c r="AK602" i="1" s="1"/>
  <c r="Z356" i="1"/>
  <c r="AI356" i="1" s="1"/>
  <c r="AA527" i="1"/>
  <c r="AJ527" i="1" s="1"/>
  <c r="AB300" i="1"/>
  <c r="AK300" i="1" s="1"/>
  <c r="AB426" i="1"/>
  <c r="AK426" i="1" s="1"/>
  <c r="Z261" i="1"/>
  <c r="AI261" i="1" s="1"/>
  <c r="AP418" i="1"/>
  <c r="AQ418" i="1" s="1"/>
  <c r="AR418" i="1" s="1"/>
  <c r="AS418" i="1" s="1"/>
  <c r="AT418" i="1" s="1"/>
  <c r="AP564" i="1"/>
  <c r="AQ564" i="1" s="1"/>
  <c r="AR564" i="1" s="1"/>
  <c r="AS564" i="1" s="1"/>
  <c r="AT564" i="1" s="1"/>
  <c r="AA602" i="1"/>
  <c r="AJ602" i="1" s="1"/>
  <c r="AA458" i="1"/>
  <c r="AJ458" i="1" s="1"/>
  <c r="AP586" i="1"/>
  <c r="AU586" i="1" s="1"/>
  <c r="AD472" i="1"/>
  <c r="AM472" i="1" s="1"/>
  <c r="AB560" i="1"/>
  <c r="AK560" i="1" s="1"/>
  <c r="AD607" i="1"/>
  <c r="AM607" i="1" s="1"/>
  <c r="Z523" i="1"/>
  <c r="AI523" i="1" s="1"/>
  <c r="AA277" i="1"/>
  <c r="AJ277" i="1" s="1"/>
  <c r="AE425" i="1"/>
  <c r="AN425" i="1" s="1"/>
  <c r="AB555" i="1"/>
  <c r="AK555" i="1" s="1"/>
  <c r="AP614" i="1"/>
  <c r="AU614" i="1" s="1"/>
  <c r="Z646" i="1"/>
  <c r="AI646" i="1" s="1"/>
  <c r="AP321" i="1"/>
  <c r="AQ321" i="1" s="1"/>
  <c r="AR321" i="1" s="1"/>
  <c r="AS321" i="1" s="1"/>
  <c r="AT321" i="1" s="1"/>
  <c r="Z640" i="1"/>
  <c r="AI640" i="1" s="1"/>
  <c r="AA331" i="1"/>
  <c r="AJ331" i="1" s="1"/>
  <c r="Z277" i="1"/>
  <c r="AI277" i="1" s="1"/>
  <c r="AP545" i="1"/>
  <c r="AQ545" i="1" s="1"/>
  <c r="AR545" i="1" s="1"/>
  <c r="AS545" i="1" s="1"/>
  <c r="AT545" i="1" s="1"/>
  <c r="Z587" i="1"/>
  <c r="AI587" i="1" s="1"/>
  <c r="AD602" i="1"/>
  <c r="AM602" i="1" s="1"/>
  <c r="AP298" i="1"/>
  <c r="AQ298" i="1" s="1"/>
  <c r="AR298" i="1" s="1"/>
  <c r="AS298" i="1" s="1"/>
  <c r="AT298" i="1" s="1"/>
  <c r="AE252" i="1"/>
  <c r="AN252" i="1" s="1"/>
  <c r="AD162" i="1"/>
  <c r="AM162" i="1" s="1"/>
  <c r="AB252" i="1"/>
  <c r="AK252" i="1" s="1"/>
  <c r="AB335" i="1"/>
  <c r="AK335" i="1" s="1"/>
  <c r="AE304" i="1"/>
  <c r="AN304" i="1" s="1"/>
  <c r="AB402" i="1"/>
  <c r="AK402" i="1" s="1"/>
  <c r="AC425" i="1"/>
  <c r="AL425" i="1" s="1"/>
  <c r="AP279" i="1"/>
  <c r="AU279" i="1" s="1"/>
  <c r="AD89" i="1"/>
  <c r="AM89" i="1" s="1"/>
  <c r="AP227" i="1"/>
  <c r="AQ227" i="1" s="1"/>
  <c r="AR227" i="1" s="1"/>
  <c r="AS227" i="1" s="1"/>
  <c r="AT227" i="1" s="1"/>
  <c r="AA228" i="1"/>
  <c r="AJ228" i="1" s="1"/>
  <c r="AA234" i="1"/>
  <c r="AJ234" i="1" s="1"/>
  <c r="AP206" i="1"/>
  <c r="AQ206" i="1" s="1"/>
  <c r="AR206" i="1" s="1"/>
  <c r="AS206" i="1" s="1"/>
  <c r="AT206" i="1" s="1"/>
  <c r="Z209" i="1"/>
  <c r="AI209" i="1" s="1"/>
  <c r="AJ475" i="1"/>
  <c r="AP104" i="1"/>
  <c r="AU104" i="1" s="1"/>
  <c r="AI376" i="1"/>
  <c r="AB155" i="1"/>
  <c r="AK155" i="1" s="1"/>
  <c r="AP90" i="1"/>
  <c r="AQ90" i="1" s="1"/>
  <c r="AR90" i="1" s="1"/>
  <c r="AS90" i="1" s="1"/>
  <c r="AT90" i="1" s="1"/>
  <c r="Z304" i="1"/>
  <c r="AI304" i="1" s="1"/>
  <c r="AB587" i="1"/>
  <c r="AK587" i="1" s="1"/>
  <c r="AD252" i="1"/>
  <c r="AM252" i="1" s="1"/>
  <c r="AP288" i="1"/>
  <c r="AU288" i="1" s="1"/>
  <c r="AE547" i="1"/>
  <c r="AN547" i="1" s="1"/>
  <c r="AY547" i="1" s="1"/>
  <c r="AZ547" i="1" s="1"/>
  <c r="AE153" i="1"/>
  <c r="AN153" i="1" s="1"/>
  <c r="AP403" i="1"/>
  <c r="AQ403" i="1" s="1"/>
  <c r="AR403" i="1" s="1"/>
  <c r="AS403" i="1" s="1"/>
  <c r="AT403" i="1" s="1"/>
  <c r="AA448" i="1"/>
  <c r="AJ448" i="1" s="1"/>
  <c r="AP324" i="1"/>
  <c r="AU324" i="1" s="1"/>
  <c r="AD304" i="1"/>
  <c r="AM304" i="1" s="1"/>
  <c r="AB281" i="1"/>
  <c r="AK281" i="1" s="1"/>
  <c r="AE602" i="1"/>
  <c r="AN602" i="1" s="1"/>
  <c r="Z448" i="1"/>
  <c r="AI448" i="1" s="1"/>
  <c r="AP463" i="1"/>
  <c r="AQ463" i="1" s="1"/>
  <c r="AR463" i="1" s="1"/>
  <c r="AS463" i="1" s="1"/>
  <c r="AT463" i="1" s="1"/>
  <c r="Z533" i="1"/>
  <c r="AI533" i="1" s="1"/>
  <c r="Z602" i="1"/>
  <c r="AI602" i="1" s="1"/>
  <c r="AE646" i="1"/>
  <c r="AN646" i="1" s="1"/>
  <c r="AD649" i="1"/>
  <c r="AM649" i="1" s="1"/>
  <c r="AD297" i="1"/>
  <c r="AM297" i="1" s="1"/>
  <c r="AA646" i="1"/>
  <c r="AJ646" i="1" s="1"/>
  <c r="AP655" i="1"/>
  <c r="AQ655" i="1" s="1"/>
  <c r="AR655" i="1" s="1"/>
  <c r="AS655" i="1" s="1"/>
  <c r="AT655" i="1" s="1"/>
  <c r="AE297" i="1"/>
  <c r="AN297" i="1" s="1"/>
  <c r="AA538" i="1"/>
  <c r="AJ538" i="1" s="1"/>
  <c r="Z507" i="1"/>
  <c r="AI507" i="1" s="1"/>
  <c r="AU412" i="1"/>
  <c r="AA601" i="1"/>
  <c r="AJ601" i="1" s="1"/>
  <c r="AA429" i="1"/>
  <c r="AJ429" i="1" s="1"/>
  <c r="AD102" i="1"/>
  <c r="AM102" i="1" s="1"/>
  <c r="AP532" i="1"/>
  <c r="AQ532" i="1" s="1"/>
  <c r="AR532" i="1" s="1"/>
  <c r="AS532" i="1" s="1"/>
  <c r="AT532" i="1" s="1"/>
  <c r="AB517" i="1"/>
  <c r="AK517" i="1" s="1"/>
  <c r="AA82" i="1"/>
  <c r="AJ82" i="1" s="1"/>
  <c r="AA549" i="1"/>
  <c r="AJ549" i="1" s="1"/>
  <c r="AE596" i="1"/>
  <c r="AN596" i="1" s="1"/>
  <c r="AE364" i="1"/>
  <c r="AN364" i="1" s="1"/>
  <c r="AJ397" i="1"/>
  <c r="AP465" i="1"/>
  <c r="AU465" i="1" s="1"/>
  <c r="AP471" i="1"/>
  <c r="AQ471" i="1" s="1"/>
  <c r="AR471" i="1" s="1"/>
  <c r="AS471" i="1" s="1"/>
  <c r="AT471" i="1" s="1"/>
  <c r="AP596" i="1"/>
  <c r="AQ596" i="1" s="1"/>
  <c r="AR596" i="1" s="1"/>
  <c r="AS596" i="1" s="1"/>
  <c r="AT596" i="1" s="1"/>
  <c r="Z340" i="1"/>
  <c r="AI340" i="1" s="1"/>
  <c r="AP536" i="1"/>
  <c r="AU536" i="1" s="1"/>
  <c r="AE292" i="1"/>
  <c r="AN292" i="1" s="1"/>
  <c r="AA534" i="1"/>
  <c r="AJ534" i="1" s="1"/>
  <c r="AB501" i="1"/>
  <c r="AK501" i="1" s="1"/>
  <c r="AD643" i="1"/>
  <c r="AM643" i="1" s="1"/>
  <c r="AA437" i="1"/>
  <c r="AJ437" i="1" s="1"/>
  <c r="AD229" i="1"/>
  <c r="AM229" i="1" s="1"/>
  <c r="AA623" i="1"/>
  <c r="AJ623" i="1" s="1"/>
  <c r="AC292" i="1"/>
  <c r="AL292" i="1" s="1"/>
  <c r="Z596" i="1"/>
  <c r="AI596" i="1" s="1"/>
  <c r="AE501" i="1"/>
  <c r="AN501" i="1" s="1"/>
  <c r="AC260" i="1"/>
  <c r="AL260" i="1" s="1"/>
  <c r="AA625" i="1"/>
  <c r="AJ625" i="1" s="1"/>
  <c r="AC288" i="1"/>
  <c r="AL288" i="1" s="1"/>
  <c r="AB493" i="1"/>
  <c r="AK493" i="1" s="1"/>
  <c r="AC503" i="1"/>
  <c r="AL503" i="1" s="1"/>
  <c r="AB360" i="1"/>
  <c r="AK360" i="1" s="1"/>
  <c r="AC139" i="1"/>
  <c r="AL139" i="1" s="1"/>
  <c r="AA107" i="1"/>
  <c r="AJ107" i="1" s="1"/>
  <c r="AP205" i="1"/>
  <c r="AQ205" i="1" s="1"/>
  <c r="AR205" i="1" s="1"/>
  <c r="AS205" i="1" s="1"/>
  <c r="AT205" i="1" s="1"/>
  <c r="AD132" i="1"/>
  <c r="AM132" i="1" s="1"/>
  <c r="AP337" i="1"/>
  <c r="AQ337" i="1" s="1"/>
  <c r="AR337" i="1" s="1"/>
  <c r="AS337" i="1" s="1"/>
  <c r="AT337" i="1" s="1"/>
  <c r="AE647" i="1"/>
  <c r="AN647" i="1" s="1"/>
  <c r="AP138" i="1"/>
  <c r="AQ138" i="1" s="1"/>
  <c r="AR138" i="1" s="1"/>
  <c r="AS138" i="1" s="1"/>
  <c r="AT138" i="1" s="1"/>
  <c r="AD440" i="1"/>
  <c r="AM440" i="1" s="1"/>
  <c r="AP401" i="1"/>
  <c r="AU401" i="1" s="1"/>
  <c r="AP443" i="1"/>
  <c r="AQ443" i="1" s="1"/>
  <c r="AR443" i="1" s="1"/>
  <c r="AS443" i="1" s="1"/>
  <c r="AT443" i="1" s="1"/>
  <c r="Z621" i="1"/>
  <c r="AI621" i="1" s="1"/>
  <c r="Z489" i="1"/>
  <c r="AI489" i="1" s="1"/>
  <c r="AA302" i="1"/>
  <c r="AJ302" i="1" s="1"/>
  <c r="AP660" i="1"/>
  <c r="AQ660" i="1" s="1"/>
  <c r="AR660" i="1" s="1"/>
  <c r="AS660" i="1" s="1"/>
  <c r="AT660" i="1" s="1"/>
  <c r="AD460" i="1"/>
  <c r="AM460" i="1" s="1"/>
  <c r="AB478" i="1"/>
  <c r="AK478" i="1" s="1"/>
  <c r="AA318" i="1"/>
  <c r="AJ318" i="1" s="1"/>
  <c r="AE118" i="1"/>
  <c r="AN118" i="1" s="1"/>
  <c r="AB507" i="1"/>
  <c r="AK507" i="1" s="1"/>
  <c r="AY507" i="1" s="1"/>
  <c r="AZ507" i="1" s="1"/>
  <c r="AE440" i="1"/>
  <c r="AN440" i="1" s="1"/>
  <c r="Z600" i="1"/>
  <c r="AI600" i="1" s="1"/>
  <c r="AP634" i="1"/>
  <c r="AU634" i="1" s="1"/>
  <c r="AE600" i="1"/>
  <c r="AN600" i="1" s="1"/>
  <c r="AA660" i="1"/>
  <c r="AJ660" i="1" s="1"/>
  <c r="AA566" i="1"/>
  <c r="AJ566" i="1" s="1"/>
  <c r="Z410" i="1"/>
  <c r="AI410" i="1" s="1"/>
  <c r="AE432" i="1"/>
  <c r="AN432" i="1" s="1"/>
  <c r="AP521" i="1"/>
  <c r="AQ521" i="1" s="1"/>
  <c r="AR521" i="1" s="1"/>
  <c r="AS521" i="1" s="1"/>
  <c r="AT521" i="1" s="1"/>
  <c r="AC486" i="1"/>
  <c r="AL486" i="1" s="1"/>
  <c r="AA344" i="1"/>
  <c r="AJ344" i="1" s="1"/>
  <c r="Z628" i="1"/>
  <c r="AI628" i="1" s="1"/>
  <c r="AE604" i="1"/>
  <c r="AN604" i="1" s="1"/>
  <c r="AA526" i="1"/>
  <c r="AJ526" i="1" s="1"/>
  <c r="AC389" i="1"/>
  <c r="AL389" i="1" s="1"/>
  <c r="AC571" i="1"/>
  <c r="AL571" i="1" s="1"/>
  <c r="AC641" i="1"/>
  <c r="AL641" i="1" s="1"/>
  <c r="AC320" i="1"/>
  <c r="AL320" i="1" s="1"/>
  <c r="AD437" i="1"/>
  <c r="AM437" i="1" s="1"/>
  <c r="AC257" i="1"/>
  <c r="AL257" i="1" s="1"/>
  <c r="AC413" i="1"/>
  <c r="AL413" i="1" s="1"/>
  <c r="AB364" i="1"/>
  <c r="AK364" i="1" s="1"/>
  <c r="AC436" i="1"/>
  <c r="AL436" i="1" s="1"/>
  <c r="AB429" i="1"/>
  <c r="AK429" i="1" s="1"/>
  <c r="AC82" i="1"/>
  <c r="AL82" i="1" s="1"/>
  <c r="AB345" i="1"/>
  <c r="AK345" i="1" s="1"/>
  <c r="AC481" i="1"/>
  <c r="AL481" i="1" s="1"/>
  <c r="AC588" i="1"/>
  <c r="AL588" i="1" s="1"/>
  <c r="Z429" i="1"/>
  <c r="AI429" i="1" s="1"/>
  <c r="AC340" i="1"/>
  <c r="AL340" i="1" s="1"/>
  <c r="Z371" i="1"/>
  <c r="AI371" i="1" s="1"/>
  <c r="AC534" i="1"/>
  <c r="AL534" i="1" s="1"/>
  <c r="AE344" i="1"/>
  <c r="AN344" i="1" s="1"/>
  <c r="AB348" i="1"/>
  <c r="AK348" i="1" s="1"/>
  <c r="AB424" i="1"/>
  <c r="AK424" i="1" s="1"/>
  <c r="AE413" i="1"/>
  <c r="AN413" i="1" s="1"/>
  <c r="Z493" i="1"/>
  <c r="AI493" i="1" s="1"/>
  <c r="AE213" i="1"/>
  <c r="AN213" i="1" s="1"/>
  <c r="Z292" i="1"/>
  <c r="AI292" i="1" s="1"/>
  <c r="AC364" i="1"/>
  <c r="AL364" i="1" s="1"/>
  <c r="AC604" i="1"/>
  <c r="AL604" i="1" s="1"/>
  <c r="AC596" i="1"/>
  <c r="AL596" i="1" s="1"/>
  <c r="AC214" i="1"/>
  <c r="AL214" i="1" s="1"/>
  <c r="AD409" i="1"/>
  <c r="AM409" i="1" s="1"/>
  <c r="AE436" i="1"/>
  <c r="AN436" i="1" s="1"/>
  <c r="Z501" i="1"/>
  <c r="AI501" i="1" s="1"/>
  <c r="Z471" i="1"/>
  <c r="AI471" i="1" s="1"/>
  <c r="Z424" i="1"/>
  <c r="AI424" i="1" s="1"/>
  <c r="Z625" i="1"/>
  <c r="AI625" i="1" s="1"/>
  <c r="AD470" i="1"/>
  <c r="AM470" i="1" s="1"/>
  <c r="AE375" i="1"/>
  <c r="AN375" i="1" s="1"/>
  <c r="AE533" i="1"/>
  <c r="AN533" i="1" s="1"/>
  <c r="AC333" i="1"/>
  <c r="AL333" i="1" s="1"/>
  <c r="AC526" i="1"/>
  <c r="AL526" i="1" s="1"/>
  <c r="AC643" i="1"/>
  <c r="AL643" i="1" s="1"/>
  <c r="AP220" i="1"/>
  <c r="AU220" i="1" s="1"/>
  <c r="AE188" i="1"/>
  <c r="AN188" i="1" s="1"/>
  <c r="AB243" i="1"/>
  <c r="AK243" i="1" s="1"/>
  <c r="AA102" i="1"/>
  <c r="AJ102" i="1" s="1"/>
  <c r="Z220" i="1"/>
  <c r="AI220" i="1" s="1"/>
  <c r="AA260" i="1"/>
  <c r="AJ260" i="1" s="1"/>
  <c r="AE79" i="1"/>
  <c r="AN79" i="1" s="1"/>
  <c r="AP249" i="1"/>
  <c r="AQ249" i="1" s="1"/>
  <c r="AR249" i="1" s="1"/>
  <c r="AS249" i="1" s="1"/>
  <c r="AT249" i="1" s="1"/>
  <c r="AB284" i="1"/>
  <c r="AK284" i="1" s="1"/>
  <c r="AA161" i="1"/>
  <c r="AJ161" i="1" s="1"/>
  <c r="AE275" i="1"/>
  <c r="AN275" i="1" s="1"/>
  <c r="AB270" i="1"/>
  <c r="AK270" i="1" s="1"/>
  <c r="AE270" i="1"/>
  <c r="AN270" i="1" s="1"/>
  <c r="Z190" i="1"/>
  <c r="AI190" i="1" s="1"/>
  <c r="Z240" i="1"/>
  <c r="AI240" i="1" s="1"/>
  <c r="AE208" i="1"/>
  <c r="AN208" i="1" s="1"/>
  <c r="AA664" i="1"/>
  <c r="AJ664" i="1" s="1"/>
  <c r="AP86" i="1"/>
  <c r="AQ86" i="1" s="1"/>
  <c r="AR86" i="1" s="1"/>
  <c r="AS86" i="1" s="1"/>
  <c r="AT86" i="1" s="1"/>
  <c r="AP150" i="1"/>
  <c r="AU150" i="1" s="1"/>
  <c r="AD536" i="1"/>
  <c r="AM536" i="1" s="1"/>
  <c r="AA596" i="1"/>
  <c r="AJ596" i="1" s="1"/>
  <c r="AA413" i="1"/>
  <c r="AJ413" i="1" s="1"/>
  <c r="AB625" i="1"/>
  <c r="AK625" i="1" s="1"/>
  <c r="AP194" i="1"/>
  <c r="AU194" i="1" s="1"/>
  <c r="AP345" i="1"/>
  <c r="AQ345" i="1" s="1"/>
  <c r="AR345" i="1" s="1"/>
  <c r="AS345" i="1" s="1"/>
  <c r="AT345" i="1" s="1"/>
  <c r="AB139" i="1"/>
  <c r="AK139" i="1" s="1"/>
  <c r="AE589" i="1"/>
  <c r="AN589" i="1" s="1"/>
  <c r="Z413" i="1"/>
  <c r="AI413" i="1" s="1"/>
  <c r="AI388" i="1"/>
  <c r="Z316" i="1"/>
  <c r="AI316" i="1" s="1"/>
  <c r="AB485" i="1"/>
  <c r="AK485" i="1" s="1"/>
  <c r="AD481" i="1"/>
  <c r="AM481" i="1" s="1"/>
  <c r="AP482" i="1"/>
  <c r="AQ482" i="1" s="1"/>
  <c r="AR482" i="1" s="1"/>
  <c r="AS482" i="1" s="1"/>
  <c r="AT482" i="1" s="1"/>
  <c r="AE563" i="1"/>
  <c r="AN563" i="1" s="1"/>
  <c r="Z470" i="1"/>
  <c r="AI470" i="1" s="1"/>
  <c r="AB309" i="1"/>
  <c r="AK309" i="1" s="1"/>
  <c r="AP314" i="1"/>
  <c r="AQ314" i="1" s="1"/>
  <c r="AR314" i="1" s="1"/>
  <c r="AS314" i="1" s="1"/>
  <c r="AT314" i="1" s="1"/>
  <c r="AA313" i="1"/>
  <c r="AJ313" i="1" s="1"/>
  <c r="AB344" i="1"/>
  <c r="AK344" i="1" s="1"/>
  <c r="AA644" i="1"/>
  <c r="AJ644" i="1" s="1"/>
  <c r="Z473" i="1"/>
  <c r="AI473" i="1" s="1"/>
  <c r="AB571" i="1"/>
  <c r="AK571" i="1" s="1"/>
  <c r="AE657" i="1"/>
  <c r="AN657" i="1" s="1"/>
  <c r="AB535" i="1"/>
  <c r="AK535" i="1" s="1"/>
  <c r="AD424" i="1"/>
  <c r="AM424" i="1" s="1"/>
  <c r="AA544" i="1"/>
  <c r="AJ544" i="1" s="1"/>
  <c r="AE439" i="1"/>
  <c r="AN439" i="1" s="1"/>
  <c r="Z364" i="1"/>
  <c r="AI364" i="1" s="1"/>
  <c r="AA288" i="1"/>
  <c r="AJ288" i="1" s="1"/>
  <c r="AE253" i="1"/>
  <c r="AN253" i="1" s="1"/>
  <c r="AE214" i="1"/>
  <c r="AN214" i="1" s="1"/>
  <c r="Z227" i="1"/>
  <c r="AI227" i="1" s="1"/>
  <c r="Z102" i="1"/>
  <c r="AI102" i="1" s="1"/>
  <c r="AD253" i="1"/>
  <c r="AM253" i="1" s="1"/>
  <c r="Z395" i="1"/>
  <c r="AI395" i="1" s="1"/>
  <c r="AB397" i="1"/>
  <c r="AK397" i="1" s="1"/>
  <c r="AP606" i="1"/>
  <c r="AQ606" i="1" s="1"/>
  <c r="AR606" i="1" s="1"/>
  <c r="AS606" i="1" s="1"/>
  <c r="AT606" i="1" s="1"/>
  <c r="AE320" i="1"/>
  <c r="AN320" i="1" s="1"/>
  <c r="AP512" i="1"/>
  <c r="AU512" i="1" s="1"/>
  <c r="AP582" i="1"/>
  <c r="AQ582" i="1" s="1"/>
  <c r="AR582" i="1" s="1"/>
  <c r="AS582" i="1" s="1"/>
  <c r="AT582" i="1" s="1"/>
  <c r="AP639" i="1"/>
  <c r="AQ639" i="1" s="1"/>
  <c r="AR639" i="1" s="1"/>
  <c r="AS639" i="1" s="1"/>
  <c r="AT639" i="1" s="1"/>
  <c r="AE454" i="1"/>
  <c r="AN454" i="1" s="1"/>
  <c r="AD626" i="1"/>
  <c r="AM626" i="1" s="1"/>
  <c r="AD532" i="1"/>
  <c r="AM532" i="1" s="1"/>
  <c r="Z403" i="1"/>
  <c r="AI403" i="1" s="1"/>
  <c r="AD345" i="1"/>
  <c r="AM345" i="1" s="1"/>
  <c r="AP570" i="1"/>
  <c r="AQ570" i="1" s="1"/>
  <c r="AR570" i="1" s="1"/>
  <c r="AS570" i="1" s="1"/>
  <c r="AT570" i="1" s="1"/>
  <c r="AE477" i="1"/>
  <c r="AN477" i="1" s="1"/>
  <c r="AE340" i="1"/>
  <c r="AN340" i="1" s="1"/>
  <c r="AP636" i="1"/>
  <c r="AQ636" i="1" s="1"/>
  <c r="AR636" i="1" s="1"/>
  <c r="AS636" i="1" s="1"/>
  <c r="AT636" i="1" s="1"/>
  <c r="AP578" i="1"/>
  <c r="AQ578" i="1" s="1"/>
  <c r="AR578" i="1" s="1"/>
  <c r="AS578" i="1" s="1"/>
  <c r="AT578" i="1" s="1"/>
  <c r="AP450" i="1"/>
  <c r="AU450" i="1" s="1"/>
  <c r="AP565" i="1"/>
  <c r="AQ565" i="1" s="1"/>
  <c r="AR565" i="1" s="1"/>
  <c r="AS565" i="1" s="1"/>
  <c r="AT565" i="1" s="1"/>
  <c r="AD471" i="1"/>
  <c r="AM471" i="1" s="1"/>
  <c r="AP309" i="1"/>
  <c r="AQ309" i="1" s="1"/>
  <c r="AR309" i="1" s="1"/>
  <c r="AS309" i="1" s="1"/>
  <c r="AT309" i="1" s="1"/>
  <c r="AD372" i="1"/>
  <c r="AM372" i="1" s="1"/>
  <c r="AA595" i="1"/>
  <c r="AJ595" i="1" s="1"/>
  <c r="AP365" i="1"/>
  <c r="AQ365" i="1" s="1"/>
  <c r="AR365" i="1" s="1"/>
  <c r="AS365" i="1" s="1"/>
  <c r="AT365" i="1" s="1"/>
  <c r="AB604" i="1"/>
  <c r="AK604" i="1" s="1"/>
  <c r="AP529" i="1"/>
  <c r="AQ529" i="1" s="1"/>
  <c r="AR529" i="1" s="1"/>
  <c r="AS529" i="1" s="1"/>
  <c r="AT529" i="1" s="1"/>
  <c r="AE348" i="1"/>
  <c r="AN348" i="1" s="1"/>
  <c r="AB213" i="1"/>
  <c r="AK213" i="1" s="1"/>
  <c r="AD350" i="1"/>
  <c r="AM350" i="1" s="1"/>
  <c r="AB411" i="1"/>
  <c r="AK411" i="1" s="1"/>
  <c r="AE360" i="1"/>
  <c r="AN360" i="1" s="1"/>
  <c r="AE313" i="1"/>
  <c r="AN313" i="1" s="1"/>
  <c r="AB536" i="1"/>
  <c r="AK536" i="1" s="1"/>
  <c r="AB351" i="1"/>
  <c r="AK351" i="1" s="1"/>
  <c r="AE534" i="1"/>
  <c r="AN534" i="1" s="1"/>
  <c r="AE328" i="1"/>
  <c r="AN328" i="1" s="1"/>
  <c r="AC190" i="1"/>
  <c r="AL190" i="1" s="1"/>
  <c r="AD493" i="1"/>
  <c r="AM493" i="1" s="1"/>
  <c r="AB292" i="1"/>
  <c r="AK292" i="1" s="1"/>
  <c r="AB328" i="1"/>
  <c r="AK328" i="1" s="1"/>
  <c r="AC404" i="1"/>
  <c r="AL404" i="1" s="1"/>
  <c r="AB596" i="1"/>
  <c r="AK596" i="1" s="1"/>
  <c r="AC470" i="1"/>
  <c r="AL470" i="1" s="1"/>
  <c r="AD360" i="1"/>
  <c r="AM360" i="1" s="1"/>
  <c r="AA200" i="1"/>
  <c r="AJ200" i="1" s="1"/>
  <c r="AC501" i="1"/>
  <c r="AL501" i="1" s="1"/>
  <c r="AC563" i="1"/>
  <c r="AL563" i="1" s="1"/>
  <c r="AD358" i="1"/>
  <c r="AM358" i="1" s="1"/>
  <c r="AA345" i="1"/>
  <c r="AJ345" i="1" s="1"/>
  <c r="Z305" i="1"/>
  <c r="AI305" i="1" s="1"/>
  <c r="AC437" i="1"/>
  <c r="AL437" i="1" s="1"/>
  <c r="AC305" i="1"/>
  <c r="AL305" i="1" s="1"/>
  <c r="AC344" i="1"/>
  <c r="AL344" i="1" s="1"/>
  <c r="AA628" i="1"/>
  <c r="AJ628" i="1" s="1"/>
  <c r="AE411" i="1"/>
  <c r="AN411" i="1" s="1"/>
  <c r="AB471" i="1"/>
  <c r="AK471" i="1" s="1"/>
  <c r="AE493" i="1"/>
  <c r="AN493" i="1" s="1"/>
  <c r="AE260" i="1"/>
  <c r="AN260" i="1" s="1"/>
  <c r="Z263" i="1"/>
  <c r="AI263" i="1" s="1"/>
  <c r="AP203" i="1"/>
  <c r="AQ203" i="1" s="1"/>
  <c r="AR203" i="1" s="1"/>
  <c r="AS203" i="1" s="1"/>
  <c r="AT203" i="1" s="1"/>
  <c r="Z156" i="1"/>
  <c r="AI156" i="1" s="1"/>
  <c r="AE82" i="1"/>
  <c r="AN82" i="1" s="1"/>
  <c r="AE102" i="1"/>
  <c r="AN102" i="1" s="1"/>
  <c r="Z139" i="1"/>
  <c r="AI139" i="1" s="1"/>
  <c r="AP258" i="1"/>
  <c r="AQ258" i="1" s="1"/>
  <c r="AR258" i="1" s="1"/>
  <c r="AS258" i="1" s="1"/>
  <c r="AT258" i="1" s="1"/>
  <c r="AD328" i="1"/>
  <c r="AM328" i="1" s="1"/>
  <c r="Z266" i="1"/>
  <c r="AI266" i="1" s="1"/>
  <c r="AB110" i="1"/>
  <c r="AK110" i="1" s="1"/>
  <c r="AB142" i="1"/>
  <c r="AK142" i="1" s="1"/>
  <c r="AB525" i="1"/>
  <c r="AK525" i="1" s="1"/>
  <c r="AP152" i="1"/>
  <c r="AQ152" i="1" s="1"/>
  <c r="AR152" i="1" s="1"/>
  <c r="AS152" i="1" s="1"/>
  <c r="AT152" i="1" s="1"/>
  <c r="AJ600" i="1"/>
  <c r="Z532" i="1"/>
  <c r="AI532" i="1" s="1"/>
  <c r="AP146" i="1"/>
  <c r="AQ146" i="1" s="1"/>
  <c r="AR146" i="1" s="1"/>
  <c r="AS146" i="1" s="1"/>
  <c r="AT146" i="1" s="1"/>
  <c r="AB563" i="1"/>
  <c r="AK563" i="1" s="1"/>
  <c r="AD625" i="1"/>
  <c r="AM625" i="1" s="1"/>
  <c r="AA320" i="1"/>
  <c r="AJ320" i="1" s="1"/>
  <c r="Z272" i="1"/>
  <c r="AI272" i="1" s="1"/>
  <c r="AE306" i="1"/>
  <c r="AN306" i="1" s="1"/>
  <c r="AD344" i="1"/>
  <c r="AM344" i="1" s="1"/>
  <c r="AD313" i="1"/>
  <c r="AM313" i="1" s="1"/>
  <c r="Z358" i="1"/>
  <c r="AI358" i="1" s="1"/>
  <c r="Z486" i="1"/>
  <c r="AI486" i="1" s="1"/>
  <c r="AD439" i="1"/>
  <c r="AM439" i="1" s="1"/>
  <c r="AP510" i="1"/>
  <c r="AQ510" i="1" s="1"/>
  <c r="AR510" i="1" s="1"/>
  <c r="AS510" i="1" s="1"/>
  <c r="AT510" i="1" s="1"/>
  <c r="AD292" i="1"/>
  <c r="AM292" i="1" s="1"/>
  <c r="AD543" i="1"/>
  <c r="AM543" i="1" s="1"/>
  <c r="AA445" i="1"/>
  <c r="AJ445" i="1" s="1"/>
  <c r="AP301" i="1"/>
  <c r="AU301" i="1" s="1"/>
  <c r="AA641" i="1"/>
  <c r="AJ641" i="1" s="1"/>
  <c r="AP306" i="1"/>
  <c r="AU306" i="1" s="1"/>
  <c r="AA292" i="1"/>
  <c r="AJ292" i="1" s="1"/>
  <c r="AD240" i="1"/>
  <c r="AM240" i="1" s="1"/>
  <c r="AD188" i="1"/>
  <c r="AM188" i="1" s="1"/>
  <c r="AA214" i="1"/>
  <c r="AJ214" i="1" s="1"/>
  <c r="AE544" i="1"/>
  <c r="AN544" i="1" s="1"/>
  <c r="AA577" i="1"/>
  <c r="AJ577" i="1" s="1"/>
  <c r="AA618" i="1"/>
  <c r="AJ618" i="1" s="1"/>
  <c r="AE641" i="1"/>
  <c r="AN641" i="1" s="1"/>
  <c r="AE532" i="1"/>
  <c r="AN532" i="1" s="1"/>
  <c r="Z641" i="1"/>
  <c r="AI641" i="1" s="1"/>
  <c r="AP534" i="1"/>
  <c r="AU534" i="1" s="1"/>
  <c r="AD596" i="1"/>
  <c r="AM596" i="1" s="1"/>
  <c r="AP651" i="1"/>
  <c r="AQ651" i="1" s="1"/>
  <c r="AR651" i="1" s="1"/>
  <c r="AS651" i="1" s="1"/>
  <c r="AT651" i="1" s="1"/>
  <c r="AD542" i="1"/>
  <c r="AM542" i="1" s="1"/>
  <c r="Z536" i="1"/>
  <c r="AI536" i="1" s="1"/>
  <c r="AP516" i="1"/>
  <c r="AQ516" i="1" s="1"/>
  <c r="AR516" i="1" s="1"/>
  <c r="AS516" i="1" s="1"/>
  <c r="AT516" i="1" s="1"/>
  <c r="Z541" i="1"/>
  <c r="AI541" i="1" s="1"/>
  <c r="AE305" i="1"/>
  <c r="AN305" i="1" s="1"/>
  <c r="AB375" i="1"/>
  <c r="AK375" i="1" s="1"/>
  <c r="AE509" i="1"/>
  <c r="AN509" i="1" s="1"/>
  <c r="AD544" i="1"/>
  <c r="AM544" i="1" s="1"/>
  <c r="AB532" i="1"/>
  <c r="AK532" i="1" s="1"/>
  <c r="AA532" i="1"/>
  <c r="AJ532" i="1" s="1"/>
  <c r="AA563" i="1"/>
  <c r="AJ563" i="1" s="1"/>
  <c r="AP461" i="1"/>
  <c r="AQ461" i="1" s="1"/>
  <c r="AR461" i="1" s="1"/>
  <c r="AS461" i="1" s="1"/>
  <c r="AT461" i="1" s="1"/>
  <c r="AB464" i="1"/>
  <c r="AK464" i="1" s="1"/>
  <c r="Z213" i="1"/>
  <c r="AI213" i="1" s="1"/>
  <c r="AA613" i="1"/>
  <c r="AJ613" i="1" s="1"/>
  <c r="AP474" i="1"/>
  <c r="AQ474" i="1" s="1"/>
  <c r="AR474" i="1" s="1"/>
  <c r="AS474" i="1" s="1"/>
  <c r="AT474" i="1" s="1"/>
  <c r="AD464" i="1"/>
  <c r="AM464" i="1" s="1"/>
  <c r="AE606" i="1"/>
  <c r="AN606" i="1" s="1"/>
  <c r="AD538" i="1"/>
  <c r="AM538" i="1" s="1"/>
  <c r="AP341" i="1"/>
  <c r="AQ341" i="1" s="1"/>
  <c r="AR341" i="1" s="1"/>
  <c r="AS341" i="1" s="1"/>
  <c r="AT341" i="1" s="1"/>
  <c r="AD517" i="1"/>
  <c r="AM517" i="1" s="1"/>
  <c r="AA305" i="1"/>
  <c r="AJ305" i="1" s="1"/>
  <c r="AA238" i="1"/>
  <c r="AJ238" i="1" s="1"/>
  <c r="AP378" i="1"/>
  <c r="AU378" i="1" s="1"/>
  <c r="AB214" i="1"/>
  <c r="AK214" i="1" s="1"/>
  <c r="AA436" i="1"/>
  <c r="AJ436" i="1" s="1"/>
  <c r="AC397" i="1"/>
  <c r="AL397" i="1" s="1"/>
  <c r="AA213" i="1"/>
  <c r="AJ213" i="1" s="1"/>
  <c r="AB437" i="1"/>
  <c r="AK437" i="1" s="1"/>
  <c r="AP228" i="1"/>
  <c r="AU228" i="1" s="1"/>
  <c r="AC454" i="1"/>
  <c r="AL454" i="1" s="1"/>
  <c r="AB463" i="1"/>
  <c r="AK463" i="1" s="1"/>
  <c r="AA351" i="1"/>
  <c r="AJ351" i="1" s="1"/>
  <c r="AE485" i="1"/>
  <c r="AN485" i="1" s="1"/>
  <c r="AD530" i="1"/>
  <c r="AM530" i="1" s="1"/>
  <c r="AC393" i="1"/>
  <c r="AL393" i="1" s="1"/>
  <c r="Z188" i="1"/>
  <c r="AI188" i="1" s="1"/>
  <c r="AP245" i="1"/>
  <c r="AU245" i="1" s="1"/>
  <c r="AB272" i="1"/>
  <c r="AK272" i="1" s="1"/>
  <c r="AR287" i="1"/>
  <c r="AS287" i="1" s="1"/>
  <c r="AT287" i="1" s="1"/>
  <c r="AA187" i="1"/>
  <c r="AJ187" i="1" s="1"/>
  <c r="Z275" i="1"/>
  <c r="AI275" i="1" s="1"/>
  <c r="AP208" i="1"/>
  <c r="AQ208" i="1" s="1"/>
  <c r="AR208" i="1" s="1"/>
  <c r="AS208" i="1" s="1"/>
  <c r="AT208" i="1" s="1"/>
  <c r="AD190" i="1"/>
  <c r="AM190" i="1" s="1"/>
  <c r="Z253" i="1"/>
  <c r="AI253" i="1" s="1"/>
  <c r="AD288" i="1"/>
  <c r="AM288" i="1" s="1"/>
  <c r="AA328" i="1"/>
  <c r="AJ328" i="1" s="1"/>
  <c r="AE142" i="1"/>
  <c r="AN142" i="1" s="1"/>
  <c r="Z544" i="1"/>
  <c r="AI544" i="1" s="1"/>
  <c r="AB134" i="1"/>
  <c r="AK134" i="1" s="1"/>
  <c r="AP417" i="1"/>
  <c r="AQ417" i="1" s="1"/>
  <c r="AR417" i="1" s="1"/>
  <c r="AS417" i="1" s="1"/>
  <c r="AT417" i="1" s="1"/>
  <c r="Z662" i="1"/>
  <c r="AI662" i="1" s="1"/>
  <c r="AP172" i="1"/>
  <c r="AQ172" i="1" s="1"/>
  <c r="AR172" i="1" s="1"/>
  <c r="AS172" i="1" s="1"/>
  <c r="AT172" i="1" s="1"/>
  <c r="AP135" i="1"/>
  <c r="AU135" i="1" s="1"/>
  <c r="AI608" i="1"/>
  <c r="AE593" i="1"/>
  <c r="AN593" i="1" s="1"/>
  <c r="AP171" i="1"/>
  <c r="AQ171" i="1" s="1"/>
  <c r="AR171" i="1" s="1"/>
  <c r="AS171" i="1" s="1"/>
  <c r="AT171" i="1" s="1"/>
  <c r="AB628" i="1"/>
  <c r="AK628" i="1" s="1"/>
  <c r="AY628" i="1" s="1"/>
  <c r="AB549" i="1"/>
  <c r="AK549" i="1" s="1"/>
  <c r="AB595" i="1"/>
  <c r="AK595" i="1" s="1"/>
  <c r="AD522" i="1"/>
  <c r="AM522" i="1" s="1"/>
  <c r="AJ190" i="1"/>
  <c r="Z642" i="1"/>
  <c r="AI642" i="1" s="1"/>
  <c r="AA188" i="1"/>
  <c r="AJ188" i="1" s="1"/>
  <c r="AJ297" i="1"/>
  <c r="Z142" i="1"/>
  <c r="AI142" i="1" s="1"/>
  <c r="AP603" i="1"/>
  <c r="AQ603" i="1" s="1"/>
  <c r="AR603" i="1" s="1"/>
  <c r="AS603" i="1" s="1"/>
  <c r="AT603" i="1" s="1"/>
  <c r="AA240" i="1"/>
  <c r="AJ240" i="1" s="1"/>
  <c r="AR289" i="1"/>
  <c r="AS289" i="1" s="1"/>
  <c r="AT289" i="1" s="1"/>
  <c r="Z249" i="1"/>
  <c r="AI249" i="1" s="1"/>
  <c r="Z404" i="1"/>
  <c r="AI404" i="1" s="1"/>
  <c r="Z397" i="1"/>
  <c r="AI397" i="1" s="1"/>
  <c r="AA364" i="1"/>
  <c r="AJ364" i="1" s="1"/>
  <c r="AB358" i="1"/>
  <c r="AK358" i="1" s="1"/>
  <c r="AB341" i="1"/>
  <c r="AK341" i="1" s="1"/>
  <c r="Z534" i="1"/>
  <c r="AI534" i="1" s="1"/>
  <c r="AI396" i="1"/>
  <c r="AE67" i="1"/>
  <c r="AN67" i="1" s="1"/>
  <c r="AJ513" i="1"/>
  <c r="AE514" i="1"/>
  <c r="AN514" i="1" s="1"/>
  <c r="AD375" i="1"/>
  <c r="AM375" i="1" s="1"/>
  <c r="Z597" i="1"/>
  <c r="AI597" i="1" s="1"/>
  <c r="AD320" i="1"/>
  <c r="AM320" i="1" s="1"/>
  <c r="AA325" i="1"/>
  <c r="AJ325" i="1" s="1"/>
  <c r="AD111" i="1"/>
  <c r="AM111" i="1" s="1"/>
  <c r="AE464" i="1"/>
  <c r="AN464" i="1" s="1"/>
  <c r="AB643" i="1"/>
  <c r="AK643" i="1" s="1"/>
  <c r="AD601" i="1"/>
  <c r="AM601" i="1" s="1"/>
  <c r="AA424" i="1"/>
  <c r="AJ424" i="1" s="1"/>
  <c r="AD294" i="1"/>
  <c r="AM294" i="1" s="1"/>
  <c r="AP487" i="1"/>
  <c r="AQ487" i="1" s="1"/>
  <c r="AR487" i="1" s="1"/>
  <c r="AS487" i="1" s="1"/>
  <c r="AT487" i="1" s="1"/>
  <c r="AR664" i="1"/>
  <c r="AS664" i="1" s="1"/>
  <c r="AT664" i="1" s="1"/>
  <c r="AA473" i="1"/>
  <c r="AJ473" i="1" s="1"/>
  <c r="AD628" i="1"/>
  <c r="AM628" i="1" s="1"/>
  <c r="AD501" i="1"/>
  <c r="AM501" i="1" s="1"/>
  <c r="AS522" i="1"/>
  <c r="AT522" i="1" s="1"/>
  <c r="AD397" i="1"/>
  <c r="AM397" i="1" s="1"/>
  <c r="AA501" i="1"/>
  <c r="AJ501" i="1" s="1"/>
  <c r="AE571" i="1"/>
  <c r="AN571" i="1" s="1"/>
  <c r="Z563" i="1"/>
  <c r="AI563" i="1" s="1"/>
  <c r="AP617" i="1"/>
  <c r="AQ617" i="1" s="1"/>
  <c r="AR617" i="1" s="1"/>
  <c r="AS617" i="1" s="1"/>
  <c r="AT617" i="1" s="1"/>
  <c r="Z375" i="1"/>
  <c r="AI375" i="1" s="1"/>
  <c r="AP481" i="1"/>
  <c r="AQ481" i="1" s="1"/>
  <c r="AR481" i="1" s="1"/>
  <c r="AS481" i="1" s="1"/>
  <c r="AT481" i="1" s="1"/>
  <c r="AP656" i="1"/>
  <c r="AQ656" i="1" s="1"/>
  <c r="AR656" i="1" s="1"/>
  <c r="AS656" i="1" s="1"/>
  <c r="AT656" i="1" s="1"/>
  <c r="Z538" i="1"/>
  <c r="AI538" i="1" s="1"/>
  <c r="AP514" i="1"/>
  <c r="AQ514" i="1" s="1"/>
  <c r="AR514" i="1" s="1"/>
  <c r="AS514" i="1" s="1"/>
  <c r="AT514" i="1" s="1"/>
  <c r="AA457" i="1"/>
  <c r="AJ457" i="1" s="1"/>
  <c r="AE169" i="1"/>
  <c r="AN169" i="1" s="1"/>
  <c r="AB611" i="1"/>
  <c r="AK611" i="1" s="1"/>
  <c r="AE133" i="1"/>
  <c r="AN133" i="1" s="1"/>
  <c r="AE116" i="1"/>
  <c r="AN116" i="1" s="1"/>
  <c r="AD341" i="1"/>
  <c r="AM341" i="1" s="1"/>
  <c r="AA279" i="1"/>
  <c r="AJ279" i="1" s="1"/>
  <c r="AB559" i="1"/>
  <c r="AK559" i="1" s="1"/>
  <c r="AI425" i="1"/>
  <c r="AP192" i="1"/>
  <c r="AQ192" i="1" s="1"/>
  <c r="AR192" i="1" s="1"/>
  <c r="AS192" i="1" s="1"/>
  <c r="AT192" i="1" s="1"/>
  <c r="AD518" i="1"/>
  <c r="AM518" i="1" s="1"/>
  <c r="Z385" i="1"/>
  <c r="AI385" i="1" s="1"/>
  <c r="AE545" i="1"/>
  <c r="AN545" i="1" s="1"/>
  <c r="AB523" i="1"/>
  <c r="AK523" i="1" s="1"/>
  <c r="AY523" i="1" s="1"/>
  <c r="AZ523" i="1" s="1"/>
  <c r="AE337" i="1"/>
  <c r="AN337" i="1" s="1"/>
  <c r="AB502" i="1"/>
  <c r="AK502" i="1" s="1"/>
  <c r="AD512" i="1"/>
  <c r="AM512" i="1" s="1"/>
  <c r="AD97" i="1"/>
  <c r="AM97" i="1" s="1"/>
  <c r="AU561" i="1"/>
  <c r="AP361" i="1"/>
  <c r="AQ361" i="1" s="1"/>
  <c r="AR361" i="1" s="1"/>
  <c r="AS361" i="1" s="1"/>
  <c r="AT361" i="1" s="1"/>
  <c r="AE339" i="1"/>
  <c r="AN339" i="1" s="1"/>
  <c r="AD523" i="1"/>
  <c r="AM523" i="1" s="1"/>
  <c r="AP364" i="1"/>
  <c r="AU364" i="1" s="1"/>
  <c r="AA132" i="1"/>
  <c r="AJ132" i="1" s="1"/>
  <c r="Z598" i="1"/>
  <c r="AI598" i="1" s="1"/>
  <c r="AD461" i="1"/>
  <c r="AM461" i="1" s="1"/>
  <c r="AD519" i="1"/>
  <c r="AM519" i="1" s="1"/>
  <c r="AE465" i="1"/>
  <c r="AN465" i="1" s="1"/>
  <c r="AP523" i="1"/>
  <c r="AQ523" i="1" s="1"/>
  <c r="AR523" i="1" s="1"/>
  <c r="AS523" i="1" s="1"/>
  <c r="AT523" i="1" s="1"/>
  <c r="AP641" i="1"/>
  <c r="AQ641" i="1" s="1"/>
  <c r="AR641" i="1" s="1"/>
  <c r="AS641" i="1" s="1"/>
  <c r="AT641" i="1" s="1"/>
  <c r="Z460" i="1"/>
  <c r="AI460" i="1" s="1"/>
  <c r="Z665" i="1"/>
  <c r="AI665" i="1" s="1"/>
  <c r="AC408" i="1"/>
  <c r="AL408" i="1" s="1"/>
  <c r="AP548" i="1"/>
  <c r="AQ548" i="1" s="1"/>
  <c r="AR548" i="1" s="1"/>
  <c r="AS548" i="1" s="1"/>
  <c r="AT548" i="1" s="1"/>
  <c r="AA478" i="1"/>
  <c r="AJ478" i="1" s="1"/>
  <c r="AP530" i="1"/>
  <c r="AU530" i="1" s="1"/>
  <c r="AE466" i="1"/>
  <c r="AN466" i="1" s="1"/>
  <c r="AP524" i="1"/>
  <c r="AQ524" i="1" s="1"/>
  <c r="AR524" i="1" s="1"/>
  <c r="AS524" i="1" s="1"/>
  <c r="AT524" i="1" s="1"/>
  <c r="AP436" i="1"/>
  <c r="AQ436" i="1" s="1"/>
  <c r="AR436" i="1" s="1"/>
  <c r="AS436" i="1" s="1"/>
  <c r="AT436" i="1" s="1"/>
  <c r="Z490" i="1"/>
  <c r="AI490" i="1" s="1"/>
  <c r="AB80" i="1"/>
  <c r="AK80" i="1" s="1"/>
  <c r="AC89" i="1"/>
  <c r="AL89" i="1" s="1"/>
  <c r="AC618" i="1"/>
  <c r="AL618" i="1" s="1"/>
  <c r="AP375" i="1"/>
  <c r="AQ375" i="1" s="1"/>
  <c r="AR375" i="1" s="1"/>
  <c r="AS375" i="1" s="1"/>
  <c r="AT375" i="1" s="1"/>
  <c r="AE618" i="1"/>
  <c r="AN618" i="1" s="1"/>
  <c r="AD633" i="1"/>
  <c r="AM633" i="1" s="1"/>
  <c r="AP130" i="1"/>
  <c r="AQ130" i="1" s="1"/>
  <c r="AR130" i="1" s="1"/>
  <c r="AS130" i="1" s="1"/>
  <c r="AT130" i="1" s="1"/>
  <c r="Z492" i="1"/>
  <c r="AI492" i="1" s="1"/>
  <c r="AA440" i="1"/>
  <c r="AJ440" i="1" s="1"/>
  <c r="AB147" i="1"/>
  <c r="AK147" i="1" s="1"/>
  <c r="AP229" i="1"/>
  <c r="AQ229" i="1" s="1"/>
  <c r="AR229" i="1" s="1"/>
  <c r="AS229" i="1" s="1"/>
  <c r="AT229" i="1" s="1"/>
  <c r="Z89" i="1"/>
  <c r="AI89" i="1" s="1"/>
  <c r="AA337" i="1"/>
  <c r="AJ337" i="1" s="1"/>
  <c r="AD387" i="1"/>
  <c r="AM387" i="1" s="1"/>
  <c r="AE613" i="1"/>
  <c r="AN613" i="1" s="1"/>
  <c r="AY613" i="1" s="1"/>
  <c r="AZ613" i="1" s="1"/>
  <c r="AA382" i="1"/>
  <c r="AJ382" i="1" s="1"/>
  <c r="AU515" i="1"/>
  <c r="Z421" i="1"/>
  <c r="AI421" i="1" s="1"/>
  <c r="AP583" i="1"/>
  <c r="AQ583" i="1" s="1"/>
  <c r="AR583" i="1" s="1"/>
  <c r="AS583" i="1" s="1"/>
  <c r="AT583" i="1" s="1"/>
  <c r="AE586" i="1"/>
  <c r="AN586" i="1" s="1"/>
  <c r="AB392" i="1"/>
  <c r="AK392" i="1" s="1"/>
  <c r="AA598" i="1"/>
  <c r="AJ598" i="1" s="1"/>
  <c r="AP445" i="1"/>
  <c r="AQ445" i="1" s="1"/>
  <c r="AR445" i="1" s="1"/>
  <c r="AS445" i="1" s="1"/>
  <c r="AT445" i="1" s="1"/>
  <c r="AD651" i="1"/>
  <c r="AM651" i="1" s="1"/>
  <c r="AP584" i="1"/>
  <c r="AQ584" i="1" s="1"/>
  <c r="AR584" i="1" s="1"/>
  <c r="AS584" i="1" s="1"/>
  <c r="AT584" i="1" s="1"/>
  <c r="AC509" i="1"/>
  <c r="AL509" i="1" s="1"/>
  <c r="Z95" i="1"/>
  <c r="AI95" i="1" s="1"/>
  <c r="AD541" i="1"/>
  <c r="AM541" i="1" s="1"/>
  <c r="Z159" i="1"/>
  <c r="AI159" i="1" s="1"/>
  <c r="AB541" i="1"/>
  <c r="AK541" i="1" s="1"/>
  <c r="AD80" i="1"/>
  <c r="AM80" i="1" s="1"/>
  <c r="AA622" i="1"/>
  <c r="AJ622" i="1" s="1"/>
  <c r="AE580" i="1"/>
  <c r="AN580" i="1" s="1"/>
  <c r="AC542" i="1"/>
  <c r="AL542" i="1" s="1"/>
  <c r="AA421" i="1"/>
  <c r="AJ421" i="1" s="1"/>
  <c r="Z148" i="1"/>
  <c r="AI148" i="1" s="1"/>
  <c r="Z147" i="1"/>
  <c r="AI147" i="1" s="1"/>
  <c r="AB658" i="1"/>
  <c r="AK658" i="1" s="1"/>
  <c r="AC294" i="1"/>
  <c r="AL294" i="1" s="1"/>
  <c r="AE390" i="1"/>
  <c r="AN390" i="1" s="1"/>
  <c r="Z325" i="1"/>
  <c r="AI325" i="1" s="1"/>
  <c r="AA73" i="1"/>
  <c r="AJ73" i="1" s="1"/>
  <c r="AC421" i="1"/>
  <c r="AL421" i="1" s="1"/>
  <c r="AA462" i="1"/>
  <c r="AJ462" i="1" s="1"/>
  <c r="AB421" i="1"/>
  <c r="AK421" i="1" s="1"/>
  <c r="AE562" i="1"/>
  <c r="AN562" i="1" s="1"/>
  <c r="AE73" i="1"/>
  <c r="AN73" i="1" s="1"/>
  <c r="AB645" i="1"/>
  <c r="AK645" i="1" s="1"/>
  <c r="AR424" i="1"/>
  <c r="AS424" i="1" s="1"/>
  <c r="AT424" i="1" s="1"/>
  <c r="AC147" i="1"/>
  <c r="AL147" i="1" s="1"/>
  <c r="AC341" i="1"/>
  <c r="AL341" i="1" s="1"/>
  <c r="Z88" i="1"/>
  <c r="AI88" i="1" s="1"/>
  <c r="AD91" i="1"/>
  <c r="AM91" i="1" s="1"/>
  <c r="AP457" i="1"/>
  <c r="AQ457" i="1" s="1"/>
  <c r="AR457" i="1" s="1"/>
  <c r="AS457" i="1" s="1"/>
  <c r="AT457" i="1" s="1"/>
  <c r="AP88" i="1"/>
  <c r="AQ88" i="1" s="1"/>
  <c r="AR88" i="1" s="1"/>
  <c r="AS88" i="1" s="1"/>
  <c r="AT88" i="1" s="1"/>
  <c r="Z635" i="1"/>
  <c r="AI635" i="1" s="1"/>
  <c r="AP178" i="1"/>
  <c r="AQ178" i="1" s="1"/>
  <c r="AR178" i="1" s="1"/>
  <c r="AS178" i="1" s="1"/>
  <c r="AT178" i="1" s="1"/>
  <c r="AP381" i="1"/>
  <c r="AQ381" i="1" s="1"/>
  <c r="AR381" i="1" s="1"/>
  <c r="AS381" i="1" s="1"/>
  <c r="AT381" i="1" s="1"/>
  <c r="AA474" i="1"/>
  <c r="AJ474" i="1" s="1"/>
  <c r="AE380" i="1"/>
  <c r="AN380" i="1" s="1"/>
  <c r="AA482" i="1"/>
  <c r="AJ482" i="1" s="1"/>
  <c r="AD204" i="1"/>
  <c r="AM204" i="1" s="1"/>
  <c r="AE279" i="1"/>
  <c r="AN279" i="1" s="1"/>
  <c r="AD209" i="1"/>
  <c r="AM209" i="1" s="1"/>
  <c r="AE163" i="1"/>
  <c r="AN163" i="1" s="1"/>
  <c r="AE490" i="1"/>
  <c r="AN490" i="1" s="1"/>
  <c r="AD619" i="1"/>
  <c r="AM619" i="1" s="1"/>
  <c r="AP560" i="1"/>
  <c r="AQ560" i="1" s="1"/>
  <c r="AR560" i="1" s="1"/>
  <c r="AS560" i="1" s="1"/>
  <c r="AT560" i="1" s="1"/>
  <c r="AE530" i="1"/>
  <c r="AN530" i="1" s="1"/>
  <c r="AA315" i="1"/>
  <c r="AJ315" i="1" s="1"/>
  <c r="Z481" i="1"/>
  <c r="AI481" i="1" s="1"/>
  <c r="Z440" i="1"/>
  <c r="AI440" i="1" s="1"/>
  <c r="AE524" i="1"/>
  <c r="AN524" i="1" s="1"/>
  <c r="AR558" i="1"/>
  <c r="AS558" i="1" s="1"/>
  <c r="AT558" i="1" s="1"/>
  <c r="AB338" i="1"/>
  <c r="AK338" i="1" s="1"/>
  <c r="AY338" i="1" s="1"/>
  <c r="AZ338" i="1" s="1"/>
  <c r="AA407" i="1"/>
  <c r="AJ407" i="1" s="1"/>
  <c r="AA274" i="1"/>
  <c r="AJ274" i="1" s="1"/>
  <c r="Z301" i="1"/>
  <c r="AI301" i="1" s="1"/>
  <c r="AS654" i="1"/>
  <c r="AT654" i="1" s="1"/>
  <c r="Z585" i="1"/>
  <c r="AI585" i="1" s="1"/>
  <c r="AB380" i="1"/>
  <c r="AK380" i="1" s="1"/>
  <c r="AP356" i="1"/>
  <c r="AQ356" i="1" s="1"/>
  <c r="AR356" i="1" s="1"/>
  <c r="AS356" i="1" s="1"/>
  <c r="AT356" i="1" s="1"/>
  <c r="AP392" i="1"/>
  <c r="AU392" i="1" s="1"/>
  <c r="AE527" i="1"/>
  <c r="AN527" i="1" s="1"/>
  <c r="AY527" i="1" s="1"/>
  <c r="Z234" i="1"/>
  <c r="AB323" i="1"/>
  <c r="AK323" i="1" s="1"/>
  <c r="AB490" i="1"/>
  <c r="AK490" i="1" s="1"/>
  <c r="AA453" i="1"/>
  <c r="AJ453" i="1" s="1"/>
  <c r="AE415" i="1"/>
  <c r="AN415" i="1" s="1"/>
  <c r="AA580" i="1"/>
  <c r="AJ580" i="1" s="1"/>
  <c r="AE342" i="1"/>
  <c r="AN342" i="1" s="1"/>
  <c r="AB534" i="1"/>
  <c r="AK534" i="1" s="1"/>
  <c r="AB580" i="1"/>
  <c r="AK580" i="1" s="1"/>
  <c r="AC518" i="1"/>
  <c r="AL518" i="1" s="1"/>
  <c r="AA519" i="1"/>
  <c r="AJ519" i="1" s="1"/>
  <c r="AA376" i="1"/>
  <c r="AJ376" i="1" s="1"/>
  <c r="Z163" i="1"/>
  <c r="AI163" i="1" s="1"/>
  <c r="AA104" i="1"/>
  <c r="AJ104" i="1" s="1"/>
  <c r="AE132" i="1"/>
  <c r="AN132" i="1" s="1"/>
  <c r="AD622" i="1"/>
  <c r="AM622" i="1" s="1"/>
  <c r="AP539" i="1"/>
  <c r="AU539" i="1" s="1"/>
  <c r="AP627" i="1"/>
  <c r="AQ627" i="1" s="1"/>
  <c r="AR627" i="1" s="1"/>
  <c r="AS627" i="1" s="1"/>
  <c r="AT627" i="1" s="1"/>
  <c r="Z417" i="1"/>
  <c r="AI417" i="1" s="1"/>
  <c r="AP464" i="1"/>
  <c r="AU464" i="1" s="1"/>
  <c r="AB543" i="1"/>
  <c r="AK543" i="1" s="1"/>
  <c r="AP480" i="1"/>
  <c r="AQ480" i="1" s="1"/>
  <c r="AR480" i="1" s="1"/>
  <c r="AS480" i="1" s="1"/>
  <c r="AT480" i="1" s="1"/>
  <c r="AA410" i="1"/>
  <c r="AJ410" i="1" s="1"/>
  <c r="AP566" i="1"/>
  <c r="AU566" i="1" s="1"/>
  <c r="AA591" i="1"/>
  <c r="AJ591" i="1" s="1"/>
  <c r="AA502" i="1"/>
  <c r="AJ502" i="1" s="1"/>
  <c r="AD429" i="1"/>
  <c r="AM429" i="1" s="1"/>
  <c r="Z580" i="1"/>
  <c r="AI580" i="1" s="1"/>
  <c r="AA518" i="1"/>
  <c r="AJ518" i="1" s="1"/>
  <c r="AC519" i="1"/>
  <c r="AL519" i="1" s="1"/>
  <c r="Z121" i="1"/>
  <c r="AI121" i="1" s="1"/>
  <c r="AP248" i="1"/>
  <c r="AQ248" i="1" s="1"/>
  <c r="AR248" i="1" s="1"/>
  <c r="AS248" i="1" s="1"/>
  <c r="AT248" i="1" s="1"/>
  <c r="AP369" i="1"/>
  <c r="AQ369" i="1" s="1"/>
  <c r="AR369" i="1" s="1"/>
  <c r="AS369" i="1" s="1"/>
  <c r="AT369" i="1" s="1"/>
  <c r="Z622" i="1"/>
  <c r="AI622" i="1" s="1"/>
  <c r="AB622" i="1"/>
  <c r="AK622" i="1" s="1"/>
  <c r="AP650" i="1"/>
  <c r="AQ650" i="1" s="1"/>
  <c r="AR650" i="1" s="1"/>
  <c r="AS650" i="1" s="1"/>
  <c r="AT650" i="1" s="1"/>
  <c r="AB206" i="1"/>
  <c r="AK206" i="1" s="1"/>
  <c r="Z328" i="1"/>
  <c r="AI328" i="1" s="1"/>
  <c r="Z613" i="1"/>
  <c r="AI613" i="1" s="1"/>
  <c r="AA340" i="1"/>
  <c r="AJ340" i="1" s="1"/>
  <c r="AP233" i="1"/>
  <c r="AQ233" i="1" s="1"/>
  <c r="AR233" i="1" s="1"/>
  <c r="AS233" i="1" s="1"/>
  <c r="AT233" i="1" s="1"/>
  <c r="AB626" i="1"/>
  <c r="AK626" i="1" s="1"/>
  <c r="AE577" i="1"/>
  <c r="AN577" i="1" s="1"/>
  <c r="AP409" i="1"/>
  <c r="AQ409" i="1" s="1"/>
  <c r="AR409" i="1" s="1"/>
  <c r="AS409" i="1" s="1"/>
  <c r="AT409" i="1" s="1"/>
  <c r="Z466" i="1"/>
  <c r="AI466" i="1" s="1"/>
  <c r="Z577" i="1"/>
  <c r="AI577" i="1" s="1"/>
  <c r="Z222" i="1"/>
  <c r="AI222" i="1" s="1"/>
  <c r="Z175" i="1"/>
  <c r="AI175" i="1" s="1"/>
  <c r="Z239" i="1"/>
  <c r="AI239" i="1" s="1"/>
  <c r="Z76" i="1"/>
  <c r="AI76" i="1" s="1"/>
  <c r="AD195" i="1"/>
  <c r="AM195" i="1" s="1"/>
  <c r="AP165" i="1"/>
  <c r="AQ165" i="1" s="1"/>
  <c r="AR165" i="1" s="1"/>
  <c r="AS165" i="1" s="1"/>
  <c r="AT165" i="1" s="1"/>
  <c r="Z554" i="1"/>
  <c r="AI554" i="1" s="1"/>
  <c r="Z317" i="1"/>
  <c r="AI317" i="1" s="1"/>
  <c r="AE371" i="1"/>
  <c r="AN371" i="1" s="1"/>
  <c r="AA409" i="1"/>
  <c r="AJ409" i="1" s="1"/>
  <c r="AB630" i="1"/>
  <c r="AK630" i="1" s="1"/>
  <c r="AP499" i="1"/>
  <c r="AU499" i="1" s="1"/>
  <c r="AP350" i="1"/>
  <c r="AQ350" i="1" s="1"/>
  <c r="AR350" i="1" s="1"/>
  <c r="AS350" i="1" s="1"/>
  <c r="AT350" i="1" s="1"/>
  <c r="AA263" i="1"/>
  <c r="AJ263" i="1" s="1"/>
  <c r="AB200" i="1"/>
  <c r="AK200" i="1" s="1"/>
  <c r="AD73" i="1"/>
  <c r="AM73" i="1" s="1"/>
  <c r="Z267" i="1"/>
  <c r="AI267" i="1" s="1"/>
  <c r="AA662" i="1"/>
  <c r="AJ662" i="1" s="1"/>
  <c r="AB568" i="1"/>
  <c r="AK568" i="1" s="1"/>
  <c r="Z461" i="1"/>
  <c r="AI461" i="1" s="1"/>
  <c r="Z200" i="1"/>
  <c r="AI200" i="1" s="1"/>
  <c r="Z549" i="1"/>
  <c r="AI549" i="1" s="1"/>
  <c r="Z594" i="1"/>
  <c r="AI594" i="1" s="1"/>
  <c r="AA371" i="1"/>
  <c r="AJ371" i="1" s="1"/>
  <c r="AA665" i="1"/>
  <c r="AJ665" i="1" s="1"/>
  <c r="AD485" i="1"/>
  <c r="AM485" i="1" s="1"/>
  <c r="AB433" i="1"/>
  <c r="AK433" i="1" s="1"/>
  <c r="AP517" i="1"/>
  <c r="AQ517" i="1" s="1"/>
  <c r="AR517" i="1" s="1"/>
  <c r="AS517" i="1" s="1"/>
  <c r="AT517" i="1" s="1"/>
  <c r="AP498" i="1"/>
  <c r="AQ498" i="1" s="1"/>
  <c r="AR498" i="1" s="1"/>
  <c r="AS498" i="1" s="1"/>
  <c r="AT498" i="1" s="1"/>
  <c r="AE469" i="1"/>
  <c r="AN469" i="1" s="1"/>
  <c r="Z270" i="1"/>
  <c r="AI270" i="1" s="1"/>
  <c r="Z551" i="1"/>
  <c r="AI551" i="1" s="1"/>
  <c r="AE658" i="1"/>
  <c r="AN658" i="1" s="1"/>
  <c r="AB562" i="1"/>
  <c r="AK562" i="1" s="1"/>
  <c r="AP632" i="1"/>
  <c r="AU632" i="1" s="1"/>
  <c r="AA484" i="1"/>
  <c r="AJ484" i="1" s="1"/>
  <c r="AP358" i="1"/>
  <c r="AU358" i="1" s="1"/>
  <c r="AP607" i="1"/>
  <c r="AQ607" i="1" s="1"/>
  <c r="AR607" i="1" s="1"/>
  <c r="AS607" i="1" s="1"/>
  <c r="AT607" i="1" s="1"/>
  <c r="AP492" i="1"/>
  <c r="AU492" i="1" s="1"/>
  <c r="AD514" i="1"/>
  <c r="AM514" i="1" s="1"/>
  <c r="AP334" i="1"/>
  <c r="AU334" i="1" s="1"/>
  <c r="AD476" i="1"/>
  <c r="AM476" i="1" s="1"/>
  <c r="AE366" i="1"/>
  <c r="AN366" i="1" s="1"/>
  <c r="AE601" i="1"/>
  <c r="AN601" i="1" s="1"/>
  <c r="AP373" i="1"/>
  <c r="AU373" i="1" s="1"/>
  <c r="AP330" i="1"/>
  <c r="AU330" i="1" s="1"/>
  <c r="Z362" i="1"/>
  <c r="AI362" i="1" s="1"/>
  <c r="AP410" i="1"/>
  <c r="AQ410" i="1" s="1"/>
  <c r="AR410" i="1" s="1"/>
  <c r="AS410" i="1" s="1"/>
  <c r="AT410" i="1" s="1"/>
  <c r="AE212" i="1"/>
  <c r="AN212" i="1" s="1"/>
  <c r="AD567" i="1"/>
  <c r="AM567" i="1" s="1"/>
  <c r="Z527" i="1"/>
  <c r="AI527" i="1" s="1"/>
  <c r="AB451" i="1"/>
  <c r="AK451" i="1" s="1"/>
  <c r="AA393" i="1"/>
  <c r="AJ393" i="1" s="1"/>
  <c r="AA375" i="1"/>
  <c r="AJ375" i="1" s="1"/>
  <c r="AA373" i="1"/>
  <c r="AJ373" i="1" s="1"/>
  <c r="AD442" i="1"/>
  <c r="AM442" i="1" s="1"/>
  <c r="AB446" i="1"/>
  <c r="AK446" i="1" s="1"/>
  <c r="AP589" i="1"/>
  <c r="AQ589" i="1" s="1"/>
  <c r="AR589" i="1" s="1"/>
  <c r="AS589" i="1" s="1"/>
  <c r="AT589" i="1" s="1"/>
  <c r="AA327" i="1"/>
  <c r="AJ327" i="1" s="1"/>
  <c r="AE502" i="1"/>
  <c r="AN502" i="1" s="1"/>
  <c r="AA619" i="1"/>
  <c r="AJ619" i="1" s="1"/>
  <c r="AE462" i="1"/>
  <c r="AN462" i="1" s="1"/>
  <c r="Z383" i="1"/>
  <c r="AI383" i="1" s="1"/>
  <c r="Z567" i="1"/>
  <c r="AI567" i="1" s="1"/>
  <c r="AP434" i="1"/>
  <c r="AU434" i="1" s="1"/>
  <c r="AD342" i="1"/>
  <c r="AM342" i="1" s="1"/>
  <c r="AB528" i="1"/>
  <c r="AK528" i="1" s="1"/>
  <c r="AB339" i="1"/>
  <c r="AK339" i="1" s="1"/>
  <c r="AP197" i="1"/>
  <c r="AQ197" i="1" s="1"/>
  <c r="AR197" i="1" s="1"/>
  <c r="AS197" i="1" s="1"/>
  <c r="AT197" i="1" s="1"/>
  <c r="AD379" i="1"/>
  <c r="AM379" i="1" s="1"/>
  <c r="AA343" i="1"/>
  <c r="AJ343" i="1" s="1"/>
  <c r="AP556" i="1"/>
  <c r="AQ556" i="1" s="1"/>
  <c r="AR556" i="1" s="1"/>
  <c r="AS556" i="1" s="1"/>
  <c r="AT556" i="1" s="1"/>
  <c r="Z438" i="1"/>
  <c r="AI438" i="1" s="1"/>
  <c r="AB320" i="1"/>
  <c r="AK320" i="1" s="1"/>
  <c r="AP504" i="1"/>
  <c r="AQ504" i="1" s="1"/>
  <c r="AR504" i="1" s="1"/>
  <c r="AS504" i="1" s="1"/>
  <c r="AT504" i="1" s="1"/>
  <c r="AA417" i="1"/>
  <c r="AJ417" i="1" s="1"/>
  <c r="AD408" i="1"/>
  <c r="AM408" i="1" s="1"/>
  <c r="AA430" i="1"/>
  <c r="AJ430" i="1" s="1"/>
  <c r="AD371" i="1"/>
  <c r="AM371" i="1" s="1"/>
  <c r="AE408" i="1"/>
  <c r="AN408" i="1" s="1"/>
  <c r="AY408" i="1" s="1"/>
  <c r="AZ408" i="1" s="1"/>
  <c r="AA248" i="1"/>
  <c r="AJ248" i="1" s="1"/>
  <c r="Z257" i="1"/>
  <c r="AI257" i="1" s="1"/>
  <c r="AD337" i="1"/>
  <c r="AM337" i="1" s="1"/>
  <c r="AP387" i="1"/>
  <c r="AQ387" i="1" s="1"/>
  <c r="AR387" i="1" s="1"/>
  <c r="AS387" i="1" s="1"/>
  <c r="AT387" i="1" s="1"/>
  <c r="AD524" i="1"/>
  <c r="AM524" i="1" s="1"/>
  <c r="AA643" i="1"/>
  <c r="AJ643" i="1" s="1"/>
  <c r="AE567" i="1"/>
  <c r="AN567" i="1" s="1"/>
  <c r="AE659" i="1"/>
  <c r="AN659" i="1" s="1"/>
  <c r="AY659" i="1" s="1"/>
  <c r="AZ659" i="1" s="1"/>
  <c r="AP663" i="1"/>
  <c r="AQ663" i="1" s="1"/>
  <c r="AR663" i="1" s="1"/>
  <c r="AS663" i="1" s="1"/>
  <c r="AT663" i="1" s="1"/>
  <c r="AP486" i="1"/>
  <c r="AQ486" i="1" s="1"/>
  <c r="AR486" i="1" s="1"/>
  <c r="AS486" i="1" s="1"/>
  <c r="AT486" i="1" s="1"/>
  <c r="Z327" i="1"/>
  <c r="AI327" i="1" s="1"/>
  <c r="Z462" i="1"/>
  <c r="AI462" i="1" s="1"/>
  <c r="AA493" i="1"/>
  <c r="AJ493" i="1" s="1"/>
  <c r="AA336" i="1"/>
  <c r="AJ336" i="1" s="1"/>
  <c r="AE240" i="1"/>
  <c r="AN240" i="1" s="1"/>
  <c r="AD285" i="1"/>
  <c r="AM285" i="1" s="1"/>
  <c r="AA203" i="1"/>
  <c r="AJ203" i="1" s="1"/>
  <c r="AP186" i="1"/>
  <c r="AQ186" i="1" s="1"/>
  <c r="AR186" i="1" s="1"/>
  <c r="AS186" i="1" s="1"/>
  <c r="AT186" i="1" s="1"/>
  <c r="Z124" i="1"/>
  <c r="AI124" i="1" s="1"/>
  <c r="AA142" i="1"/>
  <c r="AJ142" i="1" s="1"/>
  <c r="AP198" i="1"/>
  <c r="AU198" i="1" s="1"/>
  <c r="Z214" i="1"/>
  <c r="AI214" i="1" s="1"/>
  <c r="AA342" i="1"/>
  <c r="AJ342" i="1" s="1"/>
  <c r="AS114" i="1"/>
  <c r="AT114" i="1" s="1"/>
  <c r="AD93" i="1"/>
  <c r="AM93" i="1" s="1"/>
  <c r="AP244" i="1"/>
  <c r="AQ244" i="1" s="1"/>
  <c r="AR244" i="1" s="1"/>
  <c r="AS244" i="1" s="1"/>
  <c r="AT244" i="1" s="1"/>
  <c r="Z631" i="1"/>
  <c r="AI631" i="1" s="1"/>
  <c r="AP231" i="1"/>
  <c r="AQ231" i="1" s="1"/>
  <c r="AR231" i="1" s="1"/>
  <c r="AS231" i="1" s="1"/>
  <c r="AT231" i="1" s="1"/>
  <c r="AA630" i="1"/>
  <c r="AJ630" i="1" s="1"/>
  <c r="AE198" i="1"/>
  <c r="AN198" i="1" s="1"/>
  <c r="Z137" i="1"/>
  <c r="AI137" i="1" s="1"/>
  <c r="AD449" i="1"/>
  <c r="AM449" i="1" s="1"/>
  <c r="AD594" i="1"/>
  <c r="AM594" i="1" s="1"/>
  <c r="AC300" i="1"/>
  <c r="AL300" i="1" s="1"/>
  <c r="AP408" i="1"/>
  <c r="AQ408" i="1" s="1"/>
  <c r="AR408" i="1" s="1"/>
  <c r="AS408" i="1" s="1"/>
  <c r="AT408" i="1" s="1"/>
  <c r="AD590" i="1"/>
  <c r="AM590" i="1" s="1"/>
  <c r="AC631" i="1"/>
  <c r="AL631" i="1" s="1"/>
  <c r="AA435" i="1"/>
  <c r="AJ435" i="1" s="1"/>
  <c r="AB365" i="1"/>
  <c r="AK365" i="1" s="1"/>
  <c r="AA298" i="1"/>
  <c r="AJ298" i="1" s="1"/>
  <c r="AP635" i="1"/>
  <c r="AU635" i="1" s="1"/>
  <c r="AB458" i="1"/>
  <c r="AK458" i="1" s="1"/>
  <c r="AA395" i="1"/>
  <c r="AJ395" i="1" s="1"/>
  <c r="AP567" i="1"/>
  <c r="AU567" i="1" s="1"/>
  <c r="AU374" i="1"/>
  <c r="Z132" i="1"/>
  <c r="AI132" i="1" s="1"/>
  <c r="AD642" i="1"/>
  <c r="AM642" i="1" s="1"/>
  <c r="AP303" i="1"/>
  <c r="AU303" i="1" s="1"/>
  <c r="AC316" i="1"/>
  <c r="AL316" i="1" s="1"/>
  <c r="AD311" i="1"/>
  <c r="AM311" i="1" s="1"/>
  <c r="AB589" i="1"/>
  <c r="AK589" i="1" s="1"/>
  <c r="AA191" i="1"/>
  <c r="AJ191" i="1" s="1"/>
  <c r="AE203" i="1"/>
  <c r="AN203" i="1" s="1"/>
  <c r="AP448" i="1"/>
  <c r="AQ448" i="1" s="1"/>
  <c r="AR448" i="1" s="1"/>
  <c r="AS448" i="1" s="1"/>
  <c r="AT448" i="1" s="1"/>
  <c r="AA286" i="1"/>
  <c r="AJ286" i="1" s="1"/>
  <c r="Z242" i="1"/>
  <c r="AI242" i="1" s="1"/>
  <c r="AE106" i="1"/>
  <c r="AN106" i="1" s="1"/>
  <c r="AE137" i="1"/>
  <c r="AN137" i="1" s="1"/>
  <c r="AB130" i="1"/>
  <c r="AK130" i="1" s="1"/>
  <c r="Z79" i="1"/>
  <c r="AI79" i="1" s="1"/>
  <c r="Z556" i="1"/>
  <c r="AI556" i="1" s="1"/>
  <c r="AR308" i="1"/>
  <c r="AS308" i="1" s="1"/>
  <c r="AT308" i="1" s="1"/>
  <c r="AA268" i="1"/>
  <c r="AJ268" i="1" s="1"/>
  <c r="AD268" i="1"/>
  <c r="AM268" i="1" s="1"/>
  <c r="AC226" i="1"/>
  <c r="AL226" i="1" s="1"/>
  <c r="AB226" i="1"/>
  <c r="AK226" i="1" s="1"/>
  <c r="AC617" i="1"/>
  <c r="AL617" i="1" s="1"/>
  <c r="AD617" i="1"/>
  <c r="AM617" i="1" s="1"/>
  <c r="AJ652" i="1"/>
  <c r="AC183" i="1"/>
  <c r="AL183" i="1" s="1"/>
  <c r="AD183" i="1"/>
  <c r="AM183" i="1" s="1"/>
  <c r="AB573" i="1"/>
  <c r="AK573" i="1" s="1"/>
  <c r="Z573" i="1"/>
  <c r="AI573" i="1" s="1"/>
  <c r="AD573" i="1"/>
  <c r="AM573" i="1" s="1"/>
  <c r="AD412" i="1"/>
  <c r="AM412" i="1" s="1"/>
  <c r="AB412" i="1"/>
  <c r="AK412" i="1" s="1"/>
  <c r="AC414" i="1"/>
  <c r="AL414" i="1" s="1"/>
  <c r="AB414" i="1"/>
  <c r="AK414" i="1" s="1"/>
  <c r="AY414" i="1" s="1"/>
  <c r="AB224" i="1"/>
  <c r="AK224" i="1" s="1"/>
  <c r="AD224" i="1"/>
  <c r="AM224" i="1" s="1"/>
  <c r="AB395" i="1"/>
  <c r="AK395" i="1" s="1"/>
  <c r="AD656" i="1"/>
  <c r="AM656" i="1" s="1"/>
  <c r="AE638" i="1"/>
  <c r="AN638" i="1" s="1"/>
  <c r="AA579" i="1"/>
  <c r="AJ579" i="1" s="1"/>
  <c r="Z504" i="1"/>
  <c r="AI504" i="1" s="1"/>
  <c r="Z540" i="1"/>
  <c r="AI540" i="1" s="1"/>
  <c r="AA377" i="1"/>
  <c r="AJ377" i="1" s="1"/>
  <c r="AB352" i="1"/>
  <c r="AK352" i="1" s="1"/>
  <c r="AD365" i="1"/>
  <c r="AM365" i="1" s="1"/>
  <c r="AD314" i="1"/>
  <c r="AM314" i="1" s="1"/>
  <c r="AP616" i="1"/>
  <c r="AU616" i="1" s="1"/>
  <c r="AB631" i="1"/>
  <c r="AK631" i="1" s="1"/>
  <c r="AB506" i="1"/>
  <c r="AK506" i="1" s="1"/>
  <c r="AE384" i="1"/>
  <c r="AN384" i="1" s="1"/>
  <c r="AA300" i="1"/>
  <c r="AJ300" i="1" s="1"/>
  <c r="AE207" i="1"/>
  <c r="AN207" i="1" s="1"/>
  <c r="AC630" i="1"/>
  <c r="AL630" i="1" s="1"/>
  <c r="AB608" i="1"/>
  <c r="AK608" i="1" s="1"/>
  <c r="AD130" i="1"/>
  <c r="AM130" i="1" s="1"/>
  <c r="AD194" i="1"/>
  <c r="AM194" i="1" s="1"/>
  <c r="AD343" i="1"/>
  <c r="AM343" i="1" s="1"/>
  <c r="AP260" i="1"/>
  <c r="AQ260" i="1" s="1"/>
  <c r="AR260" i="1" s="1"/>
  <c r="AS260" i="1" s="1"/>
  <c r="AT260" i="1" s="1"/>
  <c r="AQ374" i="1"/>
  <c r="AR374" i="1" s="1"/>
  <c r="AS374" i="1" s="1"/>
  <c r="AT374" i="1" s="1"/>
  <c r="AB175" i="1"/>
  <c r="AK175" i="1" s="1"/>
  <c r="Z651" i="1"/>
  <c r="AI651" i="1" s="1"/>
  <c r="AB263" i="1"/>
  <c r="AK263" i="1" s="1"/>
  <c r="AP502" i="1"/>
  <c r="AQ502" i="1" s="1"/>
  <c r="AR502" i="1" s="1"/>
  <c r="AS502" i="1" s="1"/>
  <c r="AT502" i="1" s="1"/>
  <c r="AP528" i="1"/>
  <c r="AQ528" i="1" s="1"/>
  <c r="AR528" i="1" s="1"/>
  <c r="AS528" i="1" s="1"/>
  <c r="AT528" i="1" s="1"/>
  <c r="Z660" i="1"/>
  <c r="AI660" i="1" s="1"/>
  <c r="AB467" i="1"/>
  <c r="AK467" i="1" s="1"/>
  <c r="AB241" i="1"/>
  <c r="AK241" i="1" s="1"/>
  <c r="AC403" i="1"/>
  <c r="AL403" i="1" s="1"/>
  <c r="AC395" i="1"/>
  <c r="AL395" i="1" s="1"/>
  <c r="AB590" i="1"/>
  <c r="AK590" i="1" s="1"/>
  <c r="AC302" i="1"/>
  <c r="AL302" i="1" s="1"/>
  <c r="AE512" i="1"/>
  <c r="AN512" i="1" s="1"/>
  <c r="Z324" i="1"/>
  <c r="AI324" i="1" s="1"/>
  <c r="AE504" i="1"/>
  <c r="AN504" i="1" s="1"/>
  <c r="AY504" i="1" s="1"/>
  <c r="AB121" i="1"/>
  <c r="AK121" i="1" s="1"/>
  <c r="AE124" i="1"/>
  <c r="AN124" i="1" s="1"/>
  <c r="Z98" i="1"/>
  <c r="AI98" i="1" s="1"/>
  <c r="AE453" i="1"/>
  <c r="AN453" i="1" s="1"/>
  <c r="AA357" i="1"/>
  <c r="AJ357" i="1" s="1"/>
  <c r="AA334" i="1"/>
  <c r="AJ334" i="1" s="1"/>
  <c r="AB267" i="1"/>
  <c r="AK267" i="1" s="1"/>
  <c r="AC267" i="1"/>
  <c r="AL267" i="1" s="1"/>
  <c r="AC477" i="1"/>
  <c r="AL477" i="1" s="1"/>
  <c r="AC218" i="1"/>
  <c r="AL218" i="1" s="1"/>
  <c r="AA654" i="1"/>
  <c r="AJ654" i="1" s="1"/>
  <c r="AB654" i="1"/>
  <c r="AK654" i="1" s="1"/>
  <c r="AE468" i="1"/>
  <c r="AN468" i="1" s="1"/>
  <c r="AP468" i="1"/>
  <c r="AQ468" i="1" s="1"/>
  <c r="AR468" i="1" s="1"/>
  <c r="AS468" i="1" s="1"/>
  <c r="AT468" i="1" s="1"/>
  <c r="AD133" i="1"/>
  <c r="AM133" i="1" s="1"/>
  <c r="AC133" i="1"/>
  <c r="AL133" i="1" s="1"/>
  <c r="AD494" i="1"/>
  <c r="AM494" i="1" s="1"/>
  <c r="Z494" i="1"/>
  <c r="AI494" i="1" s="1"/>
  <c r="AH502" i="1"/>
  <c r="Z476" i="1"/>
  <c r="AI476" i="1" s="1"/>
  <c r="AC476" i="1"/>
  <c r="AL476" i="1" s="1"/>
  <c r="AC354" i="1"/>
  <c r="AL354" i="1" s="1"/>
  <c r="AE354" i="1"/>
  <c r="AN354" i="1" s="1"/>
  <c r="AC583" i="1"/>
  <c r="AL583" i="1" s="1"/>
  <c r="AE583" i="1"/>
  <c r="AN583" i="1" s="1"/>
  <c r="AP428" i="1"/>
  <c r="AQ428" i="1" s="1"/>
  <c r="AR428" i="1" s="1"/>
  <c r="AS428" i="1" s="1"/>
  <c r="AT428" i="1" s="1"/>
  <c r="AE428" i="1"/>
  <c r="AN428" i="1" s="1"/>
  <c r="AY428" i="1" s="1"/>
  <c r="AZ428" i="1" s="1"/>
  <c r="AB509" i="1"/>
  <c r="AK509" i="1" s="1"/>
  <c r="AP509" i="1"/>
  <c r="AQ509" i="1" s="1"/>
  <c r="AR509" i="1" s="1"/>
  <c r="AS509" i="1" s="1"/>
  <c r="AT509" i="1" s="1"/>
  <c r="AE351" i="1"/>
  <c r="AN351" i="1" s="1"/>
  <c r="AP351" i="1"/>
  <c r="AU351" i="1" s="1"/>
  <c r="AE246" i="1"/>
  <c r="AN246" i="1" s="1"/>
  <c r="AC246" i="1"/>
  <c r="AL246" i="1" s="1"/>
  <c r="AP322" i="1"/>
  <c r="AU322" i="1" s="1"/>
  <c r="AB322" i="1"/>
  <c r="AK322" i="1" s="1"/>
  <c r="AP304" i="1"/>
  <c r="AB304" i="1"/>
  <c r="AK304" i="1" s="1"/>
  <c r="AD315" i="1"/>
  <c r="AM315" i="1" s="1"/>
  <c r="AB315" i="1"/>
  <c r="AK315" i="1" s="1"/>
  <c r="AC315" i="1"/>
  <c r="AL315" i="1" s="1"/>
  <c r="AA330" i="1"/>
  <c r="AJ330" i="1" s="1"/>
  <c r="AB330" i="1"/>
  <c r="AK330" i="1" s="1"/>
  <c r="AC67" i="1"/>
  <c r="AL67" i="1" s="1"/>
  <c r="AB67" i="1"/>
  <c r="AK67" i="1" s="1"/>
  <c r="AP540" i="1"/>
  <c r="AU540" i="1" s="1"/>
  <c r="AD555" i="1"/>
  <c r="AM555" i="1" s="1"/>
  <c r="Z352" i="1"/>
  <c r="AI352" i="1" s="1"/>
  <c r="AE590" i="1"/>
  <c r="AN590" i="1" s="1"/>
  <c r="AD458" i="1"/>
  <c r="AM458" i="1" s="1"/>
  <c r="Z273" i="1"/>
  <c r="AI273" i="1" s="1"/>
  <c r="AD384" i="1"/>
  <c r="AM384" i="1" s="1"/>
  <c r="AP440" i="1"/>
  <c r="AQ440" i="1" s="1"/>
  <c r="AR440" i="1" s="1"/>
  <c r="AS440" i="1" s="1"/>
  <c r="AT440" i="1" s="1"/>
  <c r="AP642" i="1"/>
  <c r="AQ642" i="1" s="1"/>
  <c r="AR642" i="1" s="1"/>
  <c r="AS642" i="1" s="1"/>
  <c r="AT642" i="1" s="1"/>
  <c r="AA352" i="1"/>
  <c r="AJ352" i="1" s="1"/>
  <c r="AD287" i="1"/>
  <c r="AM287" i="1" s="1"/>
  <c r="AA77" i="1"/>
  <c r="AJ77" i="1" s="1"/>
  <c r="AU127" i="1"/>
  <c r="Z171" i="1"/>
  <c r="AI171" i="1" s="1"/>
  <c r="AC298" i="1"/>
  <c r="AL298" i="1" s="1"/>
  <c r="AC660" i="1"/>
  <c r="AL660" i="1" s="1"/>
  <c r="AD92" i="1"/>
  <c r="AM92" i="1" s="1"/>
  <c r="AE654" i="1"/>
  <c r="AN654" i="1" s="1"/>
  <c r="AA323" i="1"/>
  <c r="AJ323" i="1" s="1"/>
  <c r="AA287" i="1"/>
  <c r="AJ287" i="1" s="1"/>
  <c r="Z133" i="1"/>
  <c r="AI133" i="1" s="1"/>
  <c r="AR561" i="1"/>
  <c r="AS561" i="1" s="1"/>
  <c r="AT561" i="1" s="1"/>
  <c r="AC435" i="1"/>
  <c r="AL435" i="1" s="1"/>
  <c r="AE631" i="1"/>
  <c r="AN631" i="1" s="1"/>
  <c r="AP344" i="1"/>
  <c r="AU344" i="1" s="1"/>
  <c r="AE388" i="1"/>
  <c r="AN388" i="1" s="1"/>
  <c r="AB403" i="1"/>
  <c r="AK403" i="1" s="1"/>
  <c r="AD383" i="1"/>
  <c r="AM383" i="1" s="1"/>
  <c r="AC458" i="1"/>
  <c r="AL458" i="1" s="1"/>
  <c r="AD241" i="1"/>
  <c r="AM241" i="1" s="1"/>
  <c r="AP602" i="1"/>
  <c r="AP439" i="1"/>
  <c r="AQ439" i="1" s="1"/>
  <c r="AR439" i="1" s="1"/>
  <c r="AS439" i="1" s="1"/>
  <c r="AT439" i="1" s="1"/>
  <c r="AD302" i="1"/>
  <c r="AM302" i="1" s="1"/>
  <c r="AE141" i="1"/>
  <c r="AN141" i="1" s="1"/>
  <c r="AC121" i="1"/>
  <c r="AL121" i="1" s="1"/>
  <c r="AC504" i="1"/>
  <c r="AL504" i="1" s="1"/>
  <c r="AE185" i="1"/>
  <c r="AN185" i="1" s="1"/>
  <c r="Z191" i="1"/>
  <c r="AI191" i="1" s="1"/>
  <c r="Z152" i="1"/>
  <c r="AI152" i="1" s="1"/>
  <c r="AA282" i="1"/>
  <c r="AJ282" i="1" s="1"/>
  <c r="AP479" i="1"/>
  <c r="AQ479" i="1" s="1"/>
  <c r="AR479" i="1" s="1"/>
  <c r="AS479" i="1" s="1"/>
  <c r="AT479" i="1" s="1"/>
  <c r="AD202" i="1"/>
  <c r="AM202" i="1" s="1"/>
  <c r="AB286" i="1"/>
  <c r="AK286" i="1" s="1"/>
  <c r="AY286" i="1" s="1"/>
  <c r="AZ286" i="1" s="1"/>
  <c r="AE395" i="1"/>
  <c r="AN395" i="1" s="1"/>
  <c r="AD396" i="1"/>
  <c r="AM396" i="1" s="1"/>
  <c r="AC195" i="1"/>
  <c r="AL195" i="1" s="1"/>
  <c r="AB195" i="1"/>
  <c r="AK195" i="1" s="1"/>
  <c r="Z497" i="1"/>
  <c r="AI497" i="1" s="1"/>
  <c r="AC497" i="1"/>
  <c r="AL497" i="1" s="1"/>
  <c r="AA570" i="1"/>
  <c r="AJ570" i="1" s="1"/>
  <c r="AE570" i="1"/>
  <c r="AN570" i="1" s="1"/>
  <c r="AY570" i="1" s="1"/>
  <c r="AE660" i="1"/>
  <c r="AN660" i="1" s="1"/>
  <c r="AU218" i="1"/>
  <c r="AB287" i="1"/>
  <c r="AK287" i="1" s="1"/>
  <c r="Z309" i="1"/>
  <c r="AI309" i="1" s="1"/>
  <c r="AC656" i="1"/>
  <c r="AL656" i="1" s="1"/>
  <c r="AP340" i="1"/>
  <c r="AU340" i="1" s="1"/>
  <c r="AP562" i="1"/>
  <c r="AU562" i="1" s="1"/>
  <c r="Z286" i="1"/>
  <c r="AI286" i="1" s="1"/>
  <c r="AA366" i="1"/>
  <c r="AJ366" i="1" s="1"/>
  <c r="AA388" i="1"/>
  <c r="AJ388" i="1" s="1"/>
  <c r="Z430" i="1"/>
  <c r="AI430" i="1" s="1"/>
  <c r="AC97" i="1"/>
  <c r="AL97" i="1" s="1"/>
  <c r="Z218" i="1"/>
  <c r="AI218" i="1" s="1"/>
  <c r="Z579" i="1"/>
  <c r="AI579" i="1" s="1"/>
  <c r="Z422" i="1"/>
  <c r="AI422" i="1" s="1"/>
  <c r="AE476" i="1"/>
  <c r="AN476" i="1" s="1"/>
  <c r="AC191" i="1"/>
  <c r="AL191" i="1" s="1"/>
  <c r="AC566" i="1"/>
  <c r="AL566" i="1" s="1"/>
  <c r="AJ524" i="1"/>
  <c r="Z276" i="1"/>
  <c r="AI276" i="1" s="1"/>
  <c r="AD537" i="1"/>
  <c r="AM537" i="1" s="1"/>
  <c r="AC372" i="1"/>
  <c r="AL372" i="1" s="1"/>
  <c r="AD318" i="1"/>
  <c r="AM318" i="1" s="1"/>
  <c r="Z477" i="1"/>
  <c r="AI477" i="1" s="1"/>
  <c r="Z127" i="1"/>
  <c r="AI127" i="1" s="1"/>
  <c r="Z181" i="1"/>
  <c r="AI181" i="1" s="1"/>
  <c r="AC273" i="1"/>
  <c r="AL273" i="1" s="1"/>
  <c r="AE323" i="1"/>
  <c r="AN323" i="1" s="1"/>
  <c r="Z87" i="1"/>
  <c r="AI87" i="1" s="1"/>
  <c r="AB74" i="1"/>
  <c r="AK74" i="1" s="1"/>
  <c r="Z255" i="1"/>
  <c r="AI255" i="1" s="1"/>
  <c r="AB302" i="1"/>
  <c r="AK302" i="1" s="1"/>
  <c r="AB248" i="1"/>
  <c r="AK248" i="1" s="1"/>
  <c r="Z93" i="1"/>
  <c r="AI93" i="1" s="1"/>
  <c r="AD185" i="1"/>
  <c r="AM185" i="1" s="1"/>
  <c r="AA140" i="1"/>
  <c r="AJ140" i="1" s="1"/>
  <c r="AA160" i="1"/>
  <c r="AJ160" i="1" s="1"/>
  <c r="AI100" i="1"/>
  <c r="Z73" i="1"/>
  <c r="AI73" i="1" s="1"/>
  <c r="AP74" i="1"/>
  <c r="AQ74" i="1" s="1"/>
  <c r="AR74" i="1" s="1"/>
  <c r="AS74" i="1" s="1"/>
  <c r="AT74" i="1" s="1"/>
  <c r="Z122" i="1"/>
  <c r="AI122" i="1" s="1"/>
  <c r="AD286" i="1"/>
  <c r="AM286" i="1" s="1"/>
  <c r="AA185" i="1"/>
  <c r="AJ185" i="1" s="1"/>
  <c r="AA259" i="1"/>
  <c r="AJ259" i="1" s="1"/>
  <c r="Z202" i="1"/>
  <c r="AI202" i="1" s="1"/>
  <c r="AA242" i="1"/>
  <c r="AJ242" i="1" s="1"/>
  <c r="AB236" i="1"/>
  <c r="AK236" i="1" s="1"/>
  <c r="AB280" i="1"/>
  <c r="AK280" i="1" s="1"/>
  <c r="AE111" i="1"/>
  <c r="AN111" i="1" s="1"/>
  <c r="AD103" i="1"/>
  <c r="AM103" i="1" s="1"/>
  <c r="AP75" i="1"/>
  <c r="AU75" i="1" s="1"/>
  <c r="AA246" i="1"/>
  <c r="AJ246" i="1" s="1"/>
  <c r="AE178" i="1"/>
  <c r="AN178" i="1" s="1"/>
  <c r="AB123" i="1"/>
  <c r="AK123" i="1" s="1"/>
  <c r="AE84" i="1"/>
  <c r="AN84" i="1" s="1"/>
  <c r="AA218" i="1"/>
  <c r="AJ218" i="1" s="1"/>
  <c r="Z283" i="1"/>
  <c r="AI283" i="1" s="1"/>
  <c r="AA85" i="1"/>
  <c r="AJ85" i="1" s="1"/>
  <c r="AE225" i="1"/>
  <c r="AN225" i="1" s="1"/>
  <c r="AI511" i="1"/>
  <c r="AB185" i="1"/>
  <c r="AK185" i="1" s="1"/>
  <c r="AP169" i="1"/>
  <c r="AQ169" i="1" s="1"/>
  <c r="AR169" i="1" s="1"/>
  <c r="AS169" i="1" s="1"/>
  <c r="AT169" i="1" s="1"/>
  <c r="AE326" i="1"/>
  <c r="AN326" i="1" s="1"/>
  <c r="AP120" i="1"/>
  <c r="AQ120" i="1" s="1"/>
  <c r="AR120" i="1" s="1"/>
  <c r="AS120" i="1" s="1"/>
  <c r="AT120" i="1" s="1"/>
  <c r="AB111" i="1"/>
  <c r="AK111" i="1" s="1"/>
  <c r="AP154" i="1"/>
  <c r="AU154" i="1" s="1"/>
  <c r="AB416" i="1"/>
  <c r="AK416" i="1" s="1"/>
  <c r="AA416" i="1"/>
  <c r="AJ416" i="1" s="1"/>
  <c r="AA608" i="1"/>
  <c r="AJ608" i="1" s="1"/>
  <c r="AA133" i="1"/>
  <c r="AJ133" i="1" s="1"/>
  <c r="AP267" i="1"/>
  <c r="AQ267" i="1" s="1"/>
  <c r="AR267" i="1" s="1"/>
  <c r="AS267" i="1" s="1"/>
  <c r="AT267" i="1" s="1"/>
  <c r="AE311" i="1"/>
  <c r="AN311" i="1" s="1"/>
  <c r="AD263" i="1"/>
  <c r="AM263" i="1" s="1"/>
  <c r="AA398" i="1"/>
  <c r="AJ398" i="1" s="1"/>
  <c r="AD300" i="1"/>
  <c r="AM300" i="1" s="1"/>
  <c r="AE363" i="1"/>
  <c r="AN363" i="1" s="1"/>
  <c r="AA384" i="1"/>
  <c r="AJ384" i="1" s="1"/>
  <c r="Z401" i="1"/>
  <c r="AI401" i="1" s="1"/>
  <c r="Z338" i="1"/>
  <c r="AI338" i="1" s="1"/>
  <c r="AP574" i="1"/>
  <c r="AU574" i="1" s="1"/>
  <c r="AP470" i="1"/>
  <c r="AQ470" i="1" s="1"/>
  <c r="AR470" i="1" s="1"/>
  <c r="AS470" i="1" s="1"/>
  <c r="AT470" i="1" s="1"/>
  <c r="AB244" i="1"/>
  <c r="AK244" i="1" s="1"/>
  <c r="AD407" i="1"/>
  <c r="AM407" i="1" s="1"/>
  <c r="AE494" i="1"/>
  <c r="AN494" i="1" s="1"/>
  <c r="AU647" i="1"/>
  <c r="AP623" i="1"/>
  <c r="AQ623" i="1" s="1"/>
  <c r="AR623" i="1" s="1"/>
  <c r="AS623" i="1" s="1"/>
  <c r="AT623" i="1" s="1"/>
  <c r="AE594" i="1"/>
  <c r="AN594" i="1" s="1"/>
  <c r="AD498" i="1"/>
  <c r="AM498" i="1" s="1"/>
  <c r="AB591" i="1"/>
  <c r="AK591" i="1" s="1"/>
  <c r="AA256" i="1"/>
  <c r="AJ256" i="1" s="1"/>
  <c r="AD271" i="1"/>
  <c r="AM271" i="1" s="1"/>
  <c r="AP77" i="1"/>
  <c r="AQ77" i="1" s="1"/>
  <c r="AR77" i="1" s="1"/>
  <c r="AS77" i="1" s="1"/>
  <c r="AT77" i="1" s="1"/>
  <c r="AP159" i="1"/>
  <c r="AQ159" i="1" s="1"/>
  <c r="AR159" i="1" s="1"/>
  <c r="AS159" i="1" s="1"/>
  <c r="AT159" i="1" s="1"/>
  <c r="AD283" i="1"/>
  <c r="AM283" i="1" s="1"/>
  <c r="AE591" i="1"/>
  <c r="AN591" i="1" s="1"/>
  <c r="AB594" i="1"/>
  <c r="AK594" i="1" s="1"/>
  <c r="AB218" i="1"/>
  <c r="AK218" i="1" s="1"/>
  <c r="Z428" i="1"/>
  <c r="AI428" i="1" s="1"/>
  <c r="AE421" i="1"/>
  <c r="AN421" i="1" s="1"/>
  <c r="AE472" i="1"/>
  <c r="AN472" i="1" s="1"/>
  <c r="AA454" i="1"/>
  <c r="AJ454" i="1" s="1"/>
  <c r="AB530" i="1"/>
  <c r="AK530" i="1" s="1"/>
  <c r="Z274" i="1"/>
  <c r="AI274" i="1" s="1"/>
  <c r="Z319" i="1"/>
  <c r="AI319" i="1" s="1"/>
  <c r="AD648" i="1"/>
  <c r="AM648" i="1" s="1"/>
  <c r="AD572" i="1"/>
  <c r="AM572" i="1" s="1"/>
  <c r="Z508" i="1"/>
  <c r="AI508" i="1" s="1"/>
  <c r="AE458" i="1"/>
  <c r="AN458" i="1" s="1"/>
  <c r="AP549" i="1"/>
  <c r="AQ549" i="1" s="1"/>
  <c r="AR549" i="1" s="1"/>
  <c r="AS549" i="1" s="1"/>
  <c r="AT549" i="1" s="1"/>
  <c r="AD333" i="1"/>
  <c r="AM333" i="1" s="1"/>
  <c r="AP367" i="1"/>
  <c r="AQ367" i="1" s="1"/>
  <c r="AR367" i="1" s="1"/>
  <c r="AS367" i="1" s="1"/>
  <c r="AT367" i="1" s="1"/>
  <c r="AP568" i="1"/>
  <c r="AQ568" i="1" s="1"/>
  <c r="AR568" i="1" s="1"/>
  <c r="AS568" i="1" s="1"/>
  <c r="AT568" i="1" s="1"/>
  <c r="AD448" i="1"/>
  <c r="AM448" i="1" s="1"/>
  <c r="AD402" i="1"/>
  <c r="AM402" i="1" s="1"/>
  <c r="AE210" i="1"/>
  <c r="AN210" i="1" s="1"/>
  <c r="AU585" i="1"/>
  <c r="AA406" i="1"/>
  <c r="AJ406" i="1" s="1"/>
  <c r="AP316" i="1"/>
  <c r="AQ316" i="1" s="1"/>
  <c r="AR316" i="1" s="1"/>
  <c r="AS316" i="1" s="1"/>
  <c r="AT316" i="1" s="1"/>
  <c r="AE564" i="1"/>
  <c r="AN564" i="1" s="1"/>
  <c r="AP291" i="1"/>
  <c r="AQ291" i="1" s="1"/>
  <c r="AR291" i="1" s="1"/>
  <c r="AS291" i="1" s="1"/>
  <c r="AT291" i="1" s="1"/>
  <c r="AD610" i="1"/>
  <c r="AM610" i="1" s="1"/>
  <c r="AP405" i="1"/>
  <c r="AQ405" i="1" s="1"/>
  <c r="AR405" i="1" s="1"/>
  <c r="AS405" i="1" s="1"/>
  <c r="AT405" i="1" s="1"/>
  <c r="AP296" i="1"/>
  <c r="AU296" i="1" s="1"/>
  <c r="AA295" i="1"/>
  <c r="AJ295" i="1" s="1"/>
  <c r="AD403" i="1"/>
  <c r="AM403" i="1" s="1"/>
  <c r="AE410" i="1"/>
  <c r="AN410" i="1" s="1"/>
  <c r="AP368" i="1"/>
  <c r="AQ368" i="1" s="1"/>
  <c r="AR368" i="1" s="1"/>
  <c r="AS368" i="1" s="1"/>
  <c r="AT368" i="1" s="1"/>
  <c r="AB557" i="1"/>
  <c r="AK557" i="1" s="1"/>
  <c r="AD364" i="1"/>
  <c r="AM364" i="1" s="1"/>
  <c r="AA587" i="1"/>
  <c r="AJ587" i="1" s="1"/>
  <c r="AA483" i="1"/>
  <c r="AJ483" i="1" s="1"/>
  <c r="AE404" i="1"/>
  <c r="AN404" i="1" s="1"/>
  <c r="AA442" i="1"/>
  <c r="AJ442" i="1" s="1"/>
  <c r="AB438" i="1"/>
  <c r="AK438" i="1" s="1"/>
  <c r="AP419" i="1"/>
  <c r="AU419" i="1" s="1"/>
  <c r="AP453" i="1"/>
  <c r="AU453" i="1" s="1"/>
  <c r="AD635" i="1"/>
  <c r="AM635" i="1" s="1"/>
  <c r="AD559" i="1"/>
  <c r="AM559" i="1" s="1"/>
  <c r="Z512" i="1"/>
  <c r="AI512" i="1" s="1"/>
  <c r="AE397" i="1"/>
  <c r="AN397" i="1" s="1"/>
  <c r="AE585" i="1"/>
  <c r="AN585" i="1" s="1"/>
  <c r="AE426" i="1"/>
  <c r="AN426" i="1" s="1"/>
  <c r="Z384" i="1"/>
  <c r="AI384" i="1" s="1"/>
  <c r="Z402" i="1"/>
  <c r="AI402" i="1" s="1"/>
  <c r="AP452" i="1"/>
  <c r="AQ452" i="1" s="1"/>
  <c r="AR452" i="1" s="1"/>
  <c r="AS452" i="1" s="1"/>
  <c r="AT452" i="1" s="1"/>
  <c r="AD261" i="1"/>
  <c r="AM261" i="1" s="1"/>
  <c r="AP386" i="1"/>
  <c r="AQ386" i="1" s="1"/>
  <c r="AR386" i="1" s="1"/>
  <c r="AS386" i="1" s="1"/>
  <c r="AT386" i="1" s="1"/>
  <c r="AP317" i="1"/>
  <c r="AU317" i="1" s="1"/>
  <c r="AB390" i="1"/>
  <c r="AK390" i="1" s="1"/>
  <c r="AB340" i="1"/>
  <c r="AK340" i="1" s="1"/>
  <c r="AP336" i="1"/>
  <c r="AU336" i="1" s="1"/>
  <c r="AA571" i="1"/>
  <c r="AJ571" i="1" s="1"/>
  <c r="AD436" i="1"/>
  <c r="AM436" i="1" s="1"/>
  <c r="AA533" i="1"/>
  <c r="AJ533" i="1" s="1"/>
  <c r="Z517" i="1"/>
  <c r="AI517" i="1" s="1"/>
  <c r="AB646" i="1"/>
  <c r="AK646" i="1" s="1"/>
  <c r="AE649" i="1"/>
  <c r="AN649" i="1" s="1"/>
  <c r="Z649" i="1"/>
  <c r="AI649" i="1" s="1"/>
  <c r="AA155" i="1"/>
  <c r="AJ155" i="1" s="1"/>
  <c r="Z153" i="1"/>
  <c r="AI153" i="1" s="1"/>
  <c r="AE619" i="1"/>
  <c r="AN619" i="1" s="1"/>
  <c r="Z141" i="1"/>
  <c r="AI141" i="1" s="1"/>
  <c r="AP129" i="1"/>
  <c r="AQ129" i="1" s="1"/>
  <c r="AR129" i="1" s="1"/>
  <c r="AS129" i="1" s="1"/>
  <c r="AT129" i="1" s="1"/>
  <c r="AD654" i="1"/>
  <c r="AM654" i="1" s="1"/>
  <c r="AP600" i="1"/>
  <c r="AU600" i="1" s="1"/>
  <c r="AD662" i="1"/>
  <c r="AM662" i="1" s="1"/>
  <c r="Z323" i="1"/>
  <c r="AI323" i="1" s="1"/>
  <c r="Z558" i="1"/>
  <c r="AI558" i="1" s="1"/>
  <c r="Z623" i="1"/>
  <c r="AI623" i="1" s="1"/>
  <c r="AA530" i="1"/>
  <c r="AJ530" i="1" s="1"/>
  <c r="AJ559" i="1"/>
  <c r="AA631" i="1"/>
  <c r="AJ631" i="1" s="1"/>
  <c r="AA403" i="1"/>
  <c r="AJ403" i="1" s="1"/>
  <c r="AB494" i="1"/>
  <c r="AK494" i="1" s="1"/>
  <c r="AP67" i="1"/>
  <c r="AQ67" i="1" s="1"/>
  <c r="AR67" i="1" s="1"/>
  <c r="AS67" i="1" s="1"/>
  <c r="AT67" i="1" s="1"/>
  <c r="Z537" i="1"/>
  <c r="AI537" i="1" s="1"/>
  <c r="AP427" i="1"/>
  <c r="AA520" i="1"/>
  <c r="AJ520" i="1" s="1"/>
  <c r="AE587" i="1"/>
  <c r="AN587" i="1" s="1"/>
  <c r="AA222" i="1"/>
  <c r="AJ222" i="1" s="1"/>
  <c r="AE222" i="1"/>
  <c r="AN222" i="1" s="1"/>
  <c r="AC222" i="1"/>
  <c r="AL222" i="1" s="1"/>
  <c r="AC578" i="1"/>
  <c r="AL578" i="1" s="1"/>
  <c r="Z578" i="1"/>
  <c r="AI578" i="1" s="1"/>
  <c r="AC350" i="1"/>
  <c r="AL350" i="1" s="1"/>
  <c r="AB350" i="1"/>
  <c r="AK350" i="1" s="1"/>
  <c r="AB231" i="1"/>
  <c r="AK231" i="1" s="1"/>
  <c r="AA231" i="1"/>
  <c r="AJ231" i="1" s="1"/>
  <c r="AB89" i="1"/>
  <c r="AK89" i="1" s="1"/>
  <c r="AP89" i="1"/>
  <c r="AQ89" i="1" s="1"/>
  <c r="AR89" i="1" s="1"/>
  <c r="AS89" i="1" s="1"/>
  <c r="AT89" i="1" s="1"/>
  <c r="AA634" i="1"/>
  <c r="AJ634" i="1" s="1"/>
  <c r="AD634" i="1"/>
  <c r="AM634" i="1" s="1"/>
  <c r="AP379" i="1"/>
  <c r="AQ379" i="1" s="1"/>
  <c r="AR379" i="1" s="1"/>
  <c r="AS379" i="1" s="1"/>
  <c r="AT379" i="1" s="1"/>
  <c r="AC106" i="1"/>
  <c r="AL106" i="1" s="1"/>
  <c r="Z106" i="1"/>
  <c r="AI106" i="1" s="1"/>
  <c r="AD279" i="1"/>
  <c r="AM279" i="1" s="1"/>
  <c r="AC279" i="1"/>
  <c r="AL279" i="1" s="1"/>
  <c r="AC461" i="1"/>
  <c r="AL461" i="1" s="1"/>
  <c r="AE461" i="1"/>
  <c r="AN461" i="1" s="1"/>
  <c r="AY461" i="1" s="1"/>
  <c r="AZ461" i="1" s="1"/>
  <c r="AB655" i="1"/>
  <c r="AK655" i="1" s="1"/>
  <c r="Z655" i="1"/>
  <c r="AI655" i="1" s="1"/>
  <c r="AC545" i="1"/>
  <c r="AL545" i="1" s="1"/>
  <c r="AB545" i="1"/>
  <c r="AK545" i="1" s="1"/>
  <c r="AE459" i="1"/>
  <c r="AN459" i="1" s="1"/>
  <c r="Z607" i="1"/>
  <c r="AI607" i="1" s="1"/>
  <c r="AD435" i="1"/>
  <c r="AM435" i="1" s="1"/>
  <c r="Z226" i="1"/>
  <c r="AI226" i="1" s="1"/>
  <c r="AD298" i="1"/>
  <c r="AM298" i="1" s="1"/>
  <c r="AA505" i="1"/>
  <c r="AJ505" i="1" s="1"/>
  <c r="AP395" i="1"/>
  <c r="AU395" i="1" s="1"/>
  <c r="AE314" i="1"/>
  <c r="AN314" i="1" s="1"/>
  <c r="Z206" i="1"/>
  <c r="AI206" i="1" s="1"/>
  <c r="AE316" i="1"/>
  <c r="AN316" i="1" s="1"/>
  <c r="AE224" i="1"/>
  <c r="AN224" i="1" s="1"/>
  <c r="AE435" i="1"/>
  <c r="AN435" i="1" s="1"/>
  <c r="AD521" i="1"/>
  <c r="AM521" i="1" s="1"/>
  <c r="AA573" i="1"/>
  <c r="AJ573" i="1" s="1"/>
  <c r="AP658" i="1"/>
  <c r="AU658" i="1" s="1"/>
  <c r="Z555" i="1"/>
  <c r="AI555" i="1" s="1"/>
  <c r="AA220" i="1"/>
  <c r="AJ220" i="1" s="1"/>
  <c r="AP348" i="1"/>
  <c r="AQ348" i="1" s="1"/>
  <c r="AR348" i="1" s="1"/>
  <c r="AS348" i="1" s="1"/>
  <c r="AT348" i="1" s="1"/>
  <c r="Z505" i="1"/>
  <c r="AI505" i="1" s="1"/>
  <c r="AB430" i="1"/>
  <c r="AK430" i="1" s="1"/>
  <c r="AA113" i="1"/>
  <c r="AJ113" i="1" s="1"/>
  <c r="AE449" i="1"/>
  <c r="AN449" i="1" s="1"/>
  <c r="AD198" i="1"/>
  <c r="AM198" i="1" s="1"/>
  <c r="AD479" i="1"/>
  <c r="AM479" i="1" s="1"/>
  <c r="AC366" i="1"/>
  <c r="AL366" i="1" s="1"/>
  <c r="AP485" i="1"/>
  <c r="AQ485" i="1" s="1"/>
  <c r="AR485" i="1" s="1"/>
  <c r="AS485" i="1" s="1"/>
  <c r="AT485" i="1" s="1"/>
  <c r="AD430" i="1"/>
  <c r="AM430" i="1" s="1"/>
  <c r="AD388" i="1"/>
  <c r="AM388" i="1" s="1"/>
  <c r="AC540" i="1"/>
  <c r="AL540" i="1" s="1"/>
  <c r="AB566" i="1"/>
  <c r="AK566" i="1" s="1"/>
  <c r="AC383" i="1"/>
  <c r="AL383" i="1" s="1"/>
  <c r="AE467" i="1"/>
  <c r="AN467" i="1" s="1"/>
  <c r="AB486" i="1"/>
  <c r="AK486" i="1" s="1"/>
  <c r="AY486" i="1" s="1"/>
  <c r="AZ486" i="1" s="1"/>
  <c r="AB86" i="1"/>
  <c r="AK86" i="1" s="1"/>
  <c r="AY86" i="1" s="1"/>
  <c r="AZ86" i="1" s="1"/>
  <c r="Z566" i="1"/>
  <c r="AI566" i="1" s="1"/>
  <c r="AC192" i="1"/>
  <c r="AL192" i="1" s="1"/>
  <c r="AC212" i="1"/>
  <c r="AL212" i="1" s="1"/>
  <c r="AA479" i="1"/>
  <c r="AJ479" i="1" s="1"/>
  <c r="AA414" i="1"/>
  <c r="AJ414" i="1" s="1"/>
  <c r="AD415" i="1"/>
  <c r="AM415" i="1" s="1"/>
  <c r="Z664" i="1"/>
  <c r="AI664" i="1" s="1"/>
  <c r="Z176" i="1"/>
  <c r="AI176" i="1" s="1"/>
  <c r="AC276" i="1"/>
  <c r="AL276" i="1" s="1"/>
  <c r="AC579" i="1"/>
  <c r="AL579" i="1" s="1"/>
  <c r="AB582" i="1"/>
  <c r="AK582" i="1" s="1"/>
  <c r="AP87" i="1"/>
  <c r="AQ87" i="1" s="1"/>
  <c r="AR87" i="1" s="1"/>
  <c r="AS87" i="1" s="1"/>
  <c r="AT87" i="1" s="1"/>
  <c r="AA262" i="1"/>
  <c r="AJ262" i="1" s="1"/>
  <c r="AA198" i="1"/>
  <c r="AJ198" i="1" s="1"/>
  <c r="AD243" i="1"/>
  <c r="AM243" i="1" s="1"/>
  <c r="AD226" i="1"/>
  <c r="AM226" i="1" s="1"/>
  <c r="Z131" i="1"/>
  <c r="AI131" i="1" s="1"/>
  <c r="AA127" i="1"/>
  <c r="AJ127" i="1" s="1"/>
  <c r="AB114" i="1"/>
  <c r="AK114" i="1" s="1"/>
  <c r="AD212" i="1"/>
  <c r="AM212" i="1" s="1"/>
  <c r="Z243" i="1"/>
  <c r="AI243" i="1" s="1"/>
  <c r="AP184" i="1"/>
  <c r="AU184" i="1" s="1"/>
  <c r="Z314" i="1"/>
  <c r="AI314" i="1" s="1"/>
  <c r="AB632" i="1"/>
  <c r="AK632" i="1" s="1"/>
  <c r="AD354" i="1"/>
  <c r="AM354" i="1" s="1"/>
  <c r="AD276" i="1"/>
  <c r="AM276" i="1" s="1"/>
  <c r="AA326" i="1"/>
  <c r="AJ326" i="1" s="1"/>
  <c r="AD444" i="1"/>
  <c r="AM444" i="1" s="1"/>
  <c r="AP526" i="1"/>
  <c r="AQ526" i="1" s="1"/>
  <c r="AR526" i="1" s="1"/>
  <c r="AS526" i="1" s="1"/>
  <c r="AT526" i="1" s="1"/>
  <c r="AE347" i="1"/>
  <c r="AN347" i="1" s="1"/>
  <c r="AD77" i="1"/>
  <c r="AM77" i="1" s="1"/>
  <c r="AD107" i="1"/>
  <c r="AM107" i="1" s="1"/>
  <c r="Z247" i="1"/>
  <c r="AI247" i="1" s="1"/>
  <c r="AD176" i="1"/>
  <c r="AM176" i="1" s="1"/>
  <c r="AE553" i="1"/>
  <c r="AN553" i="1" s="1"/>
  <c r="AD598" i="1"/>
  <c r="AM598" i="1" s="1"/>
  <c r="AP384" i="1"/>
  <c r="AQ384" i="1" s="1"/>
  <c r="AR384" i="1" s="1"/>
  <c r="AS384" i="1" s="1"/>
  <c r="AT384" i="1" s="1"/>
  <c r="AA350" i="1"/>
  <c r="AJ350" i="1" s="1"/>
  <c r="AA181" i="1"/>
  <c r="AJ181" i="1" s="1"/>
  <c r="AE181" i="1"/>
  <c r="AN181" i="1" s="1"/>
  <c r="AB321" i="1"/>
  <c r="AK321" i="1" s="1"/>
  <c r="AE321" i="1"/>
  <c r="AN321" i="1" s="1"/>
  <c r="AA293" i="1"/>
  <c r="AJ293" i="1" s="1"/>
  <c r="Z293" i="1"/>
  <c r="AI293" i="1" s="1"/>
  <c r="Z484" i="1"/>
  <c r="AI484" i="1" s="1"/>
  <c r="AD484" i="1"/>
  <c r="AM484" i="1" s="1"/>
  <c r="AC451" i="1"/>
  <c r="AL451" i="1" s="1"/>
  <c r="AD451" i="1"/>
  <c r="AM451" i="1" s="1"/>
  <c r="AE451" i="1"/>
  <c r="AN451" i="1" s="1"/>
  <c r="Z412" i="1"/>
  <c r="AI412" i="1" s="1"/>
  <c r="AE412" i="1"/>
  <c r="AN412" i="1" s="1"/>
  <c r="AB456" i="1"/>
  <c r="AK456" i="1" s="1"/>
  <c r="AA456" i="1"/>
  <c r="AJ456" i="1" s="1"/>
  <c r="AD456" i="1"/>
  <c r="AM456" i="1" s="1"/>
  <c r="AE374" i="1"/>
  <c r="AN374" i="1" s="1"/>
  <c r="Z374" i="1"/>
  <c r="AI374" i="1" s="1"/>
  <c r="AE343" i="1"/>
  <c r="AN343" i="1" s="1"/>
  <c r="AC343" i="1"/>
  <c r="AL343" i="1" s="1"/>
  <c r="AC207" i="1"/>
  <c r="AL207" i="1" s="1"/>
  <c r="Z207" i="1"/>
  <c r="AI207" i="1" s="1"/>
  <c r="AC301" i="1"/>
  <c r="AL301" i="1" s="1"/>
  <c r="AB301" i="1"/>
  <c r="AK301" i="1" s="1"/>
  <c r="AA148" i="1"/>
  <c r="AJ148" i="1" s="1"/>
  <c r="AE148" i="1"/>
  <c r="AN148" i="1" s="1"/>
  <c r="AU654" i="1"/>
  <c r="AU289" i="1"/>
  <c r="AB583" i="1"/>
  <c r="AK583" i="1" s="1"/>
  <c r="AB354" i="1"/>
  <c r="AK354" i="1" s="1"/>
  <c r="AB298" i="1"/>
  <c r="AK298" i="1" s="1"/>
  <c r="AY298" i="1" s="1"/>
  <c r="AZ298" i="1" s="1"/>
  <c r="AA555" i="1"/>
  <c r="AJ555" i="1" s="1"/>
  <c r="AE114" i="1"/>
  <c r="AN114" i="1" s="1"/>
  <c r="AE492" i="1"/>
  <c r="AN492" i="1" s="1"/>
  <c r="AB440" i="1"/>
  <c r="AK440" i="1" s="1"/>
  <c r="AE592" i="1"/>
  <c r="AN592" i="1" s="1"/>
  <c r="AA455" i="1"/>
  <c r="AJ455" i="1" s="1"/>
  <c r="Z479" i="1"/>
  <c r="AI479" i="1" s="1"/>
  <c r="AC314" i="1"/>
  <c r="AL314" i="1" s="1"/>
  <c r="AP284" i="1"/>
  <c r="AQ284" i="1" s="1"/>
  <c r="AR284" i="1" s="1"/>
  <c r="AS284" i="1" s="1"/>
  <c r="AT284" i="1" s="1"/>
  <c r="AC171" i="1"/>
  <c r="AL171" i="1" s="1"/>
  <c r="Z357" i="1"/>
  <c r="AI357" i="1" s="1"/>
  <c r="AC521" i="1"/>
  <c r="AL521" i="1" s="1"/>
  <c r="AE573" i="1"/>
  <c r="AN573" i="1" s="1"/>
  <c r="AE555" i="1"/>
  <c r="AN555" i="1" s="1"/>
  <c r="AP469" i="1"/>
  <c r="AQ469" i="1" s="1"/>
  <c r="AR469" i="1" s="1"/>
  <c r="AS469" i="1" s="1"/>
  <c r="AT469" i="1" s="1"/>
  <c r="AA78" i="1"/>
  <c r="AJ78" i="1" s="1"/>
  <c r="AC505" i="1"/>
  <c r="AL505" i="1" s="1"/>
  <c r="AP638" i="1"/>
  <c r="AU638" i="1" s="1"/>
  <c r="AD113" i="1"/>
  <c r="AM113" i="1" s="1"/>
  <c r="AB634" i="1"/>
  <c r="AK634" i="1" s="1"/>
  <c r="AD181" i="1"/>
  <c r="AM181" i="1" s="1"/>
  <c r="AD552" i="1"/>
  <c r="AM552" i="1" s="1"/>
  <c r="AB77" i="1"/>
  <c r="AK77" i="1" s="1"/>
  <c r="AB388" i="1"/>
  <c r="AK388" i="1" s="1"/>
  <c r="AB540" i="1"/>
  <c r="AK540" i="1" s="1"/>
  <c r="AC77" i="1"/>
  <c r="AL77" i="1" s="1"/>
  <c r="Z343" i="1"/>
  <c r="AI343" i="1" s="1"/>
  <c r="AE166" i="1"/>
  <c r="AN166" i="1" s="1"/>
  <c r="Z583" i="1"/>
  <c r="AI583" i="1" s="1"/>
  <c r="AA383" i="1"/>
  <c r="AJ383" i="1" s="1"/>
  <c r="AA583" i="1"/>
  <c r="AJ583" i="1" s="1"/>
  <c r="AC456" i="1"/>
  <c r="AL456" i="1" s="1"/>
  <c r="AP252" i="1"/>
  <c r="AQ252" i="1" s="1"/>
  <c r="AR252" i="1" s="1"/>
  <c r="AS252" i="1" s="1"/>
  <c r="AT252" i="1" s="1"/>
  <c r="AE455" i="1"/>
  <c r="AN455" i="1" s="1"/>
  <c r="AE446" i="1"/>
  <c r="AN446" i="1" s="1"/>
  <c r="AD374" i="1"/>
  <c r="AM374" i="1" s="1"/>
  <c r="AC634" i="1"/>
  <c r="AL634" i="1" s="1"/>
  <c r="AD583" i="1"/>
  <c r="AM583" i="1" s="1"/>
  <c r="AB347" i="1"/>
  <c r="AK347" i="1" s="1"/>
  <c r="AA124" i="1"/>
  <c r="AJ124" i="1" s="1"/>
  <c r="AE579" i="1"/>
  <c r="AN579" i="1" s="1"/>
  <c r="AD578" i="1"/>
  <c r="AM578" i="1" s="1"/>
  <c r="AC484" i="1"/>
  <c r="AL484" i="1" s="1"/>
  <c r="Z414" i="1"/>
  <c r="AI414" i="1" s="1"/>
  <c r="AB334" i="1"/>
  <c r="AK334" i="1" s="1"/>
  <c r="AE350" i="1"/>
  <c r="AN350" i="1" s="1"/>
  <c r="AI568" i="1"/>
  <c r="AE77" i="1"/>
  <c r="AN77" i="1" s="1"/>
  <c r="AI143" i="1"/>
  <c r="AP610" i="1"/>
  <c r="AA536" i="1"/>
  <c r="AJ536" i="1" s="1"/>
  <c r="AE552" i="1"/>
  <c r="AN552" i="1" s="1"/>
  <c r="AP506" i="1"/>
  <c r="AQ506" i="1" s="1"/>
  <c r="AR506" i="1" s="1"/>
  <c r="AS506" i="1" s="1"/>
  <c r="AT506" i="1" s="1"/>
  <c r="AP396" i="1"/>
  <c r="AQ396" i="1" s="1"/>
  <c r="AR396" i="1" s="1"/>
  <c r="AS396" i="1" s="1"/>
  <c r="AT396" i="1" s="1"/>
  <c r="AA540" i="1"/>
  <c r="AJ540" i="1" s="1"/>
  <c r="AA374" i="1"/>
  <c r="AJ374" i="1" s="1"/>
  <c r="Z542" i="1"/>
  <c r="AI542" i="1" s="1"/>
  <c r="AD588" i="1"/>
  <c r="AM588" i="1" s="1"/>
  <c r="AA588" i="1"/>
  <c r="AJ588" i="1" s="1"/>
  <c r="Z354" i="1"/>
  <c r="AI354" i="1" s="1"/>
  <c r="Z298" i="1"/>
  <c r="AI298" i="1" s="1"/>
  <c r="AC555" i="1"/>
  <c r="AL555" i="1" s="1"/>
  <c r="AA92" i="1"/>
  <c r="AJ92" i="1" s="1"/>
  <c r="AA226" i="1"/>
  <c r="AJ226" i="1" s="1"/>
  <c r="Z224" i="1"/>
  <c r="AI224" i="1" s="1"/>
  <c r="AD582" i="1"/>
  <c r="AM582" i="1" s="1"/>
  <c r="Z372" i="1"/>
  <c r="AI372" i="1" s="1"/>
  <c r="AA224" i="1"/>
  <c r="AJ224" i="1" s="1"/>
  <c r="AE171" i="1"/>
  <c r="AN171" i="1" s="1"/>
  <c r="Z97" i="1"/>
  <c r="AI97" i="1" s="1"/>
  <c r="AC573" i="1"/>
  <c r="AL573" i="1" s="1"/>
  <c r="AB222" i="1"/>
  <c r="AK222" i="1" s="1"/>
  <c r="AD505" i="1"/>
  <c r="AM505" i="1" s="1"/>
  <c r="Z145" i="1"/>
  <c r="AI145" i="1" s="1"/>
  <c r="Z634" i="1"/>
  <c r="AI634" i="1" s="1"/>
  <c r="AB324" i="1"/>
  <c r="AK324" i="1" s="1"/>
  <c r="AA617" i="1"/>
  <c r="AJ617" i="1" s="1"/>
  <c r="AC430" i="1"/>
  <c r="AL430" i="1" s="1"/>
  <c r="AA97" i="1"/>
  <c r="AJ97" i="1" s="1"/>
  <c r="AE634" i="1"/>
  <c r="AN634" i="1" s="1"/>
  <c r="AD467" i="1"/>
  <c r="AM467" i="1" s="1"/>
  <c r="AE365" i="1"/>
  <c r="AN365" i="1" s="1"/>
  <c r="AC446" i="1"/>
  <c r="AL446" i="1" s="1"/>
  <c r="AP235" i="1"/>
  <c r="AQ235" i="1" s="1"/>
  <c r="AR235" i="1" s="1"/>
  <c r="AS235" i="1" s="1"/>
  <c r="AT235" i="1" s="1"/>
  <c r="AD455" i="1"/>
  <c r="AM455" i="1" s="1"/>
  <c r="AA207" i="1"/>
  <c r="AJ207" i="1" s="1"/>
  <c r="AB357" i="1"/>
  <c r="AK357" i="1" s="1"/>
  <c r="AC124" i="1"/>
  <c r="AL124" i="1" s="1"/>
  <c r="Z459" i="1"/>
  <c r="AI459" i="1" s="1"/>
  <c r="AR127" i="1"/>
  <c r="AS127" i="1" s="1"/>
  <c r="AT127" i="1" s="1"/>
  <c r="AA347" i="1"/>
  <c r="AJ347" i="1" s="1"/>
  <c r="AC412" i="1"/>
  <c r="AL412" i="1" s="1"/>
  <c r="Z521" i="1"/>
  <c r="AI521" i="1" s="1"/>
  <c r="AA359" i="1"/>
  <c r="AJ359" i="1" s="1"/>
  <c r="AE186" i="1"/>
  <c r="AN186" i="1" s="1"/>
  <c r="AC374" i="1"/>
  <c r="AL374" i="1" s="1"/>
  <c r="AE131" i="1"/>
  <c r="AN131" i="1" s="1"/>
  <c r="AE273" i="1"/>
  <c r="AN273" i="1" s="1"/>
  <c r="AU533" i="1"/>
  <c r="AP613" i="1"/>
  <c r="AQ613" i="1" s="1"/>
  <c r="AR613" i="1" s="1"/>
  <c r="AS613" i="1" s="1"/>
  <c r="AT613" i="1" s="1"/>
  <c r="AE484" i="1"/>
  <c r="AN484" i="1" s="1"/>
  <c r="AA611" i="1"/>
  <c r="AJ611" i="1" s="1"/>
  <c r="AD459" i="1"/>
  <c r="AM459" i="1" s="1"/>
  <c r="AP652" i="1"/>
  <c r="AU652" i="1" s="1"/>
  <c r="AE430" i="1"/>
  <c r="AN430" i="1" s="1"/>
  <c r="AD665" i="1"/>
  <c r="AM665" i="1" s="1"/>
  <c r="Z445" i="1"/>
  <c r="AI445" i="1" s="1"/>
  <c r="AD366" i="1"/>
  <c r="AM366" i="1" s="1"/>
  <c r="AE513" i="1"/>
  <c r="AN513" i="1" s="1"/>
  <c r="AE444" i="1"/>
  <c r="AN444" i="1" s="1"/>
  <c r="AA658" i="1"/>
  <c r="AJ658" i="1" s="1"/>
  <c r="AD632" i="1"/>
  <c r="AM632" i="1" s="1"/>
  <c r="AB529" i="1"/>
  <c r="AK529" i="1" s="1"/>
  <c r="Z342" i="1"/>
  <c r="AI342" i="1" s="1"/>
  <c r="Z399" i="1"/>
  <c r="AI399" i="1" s="1"/>
  <c r="AI464" i="1"/>
  <c r="AB539" i="1"/>
  <c r="AK539" i="1" s="1"/>
  <c r="AA655" i="1"/>
  <c r="AJ655" i="1" s="1"/>
  <c r="AA363" i="1"/>
  <c r="AJ363" i="1" s="1"/>
  <c r="AD566" i="1"/>
  <c r="AM566" i="1" s="1"/>
  <c r="AP247" i="1"/>
  <c r="AQ247" i="1" s="1"/>
  <c r="AR247" i="1" s="1"/>
  <c r="AS247" i="1" s="1"/>
  <c r="AT247" i="1" s="1"/>
  <c r="Z347" i="1"/>
  <c r="AI347" i="1" s="1"/>
  <c r="AE614" i="1"/>
  <c r="AN614" i="1" s="1"/>
  <c r="AP313" i="1"/>
  <c r="AQ313" i="1" s="1"/>
  <c r="AR313" i="1" s="1"/>
  <c r="AS313" i="1" s="1"/>
  <c r="AT313" i="1" s="1"/>
  <c r="AA465" i="1"/>
  <c r="AJ465" i="1" s="1"/>
  <c r="AA521" i="1"/>
  <c r="AJ521" i="1" s="1"/>
  <c r="AA562" i="1"/>
  <c r="AJ562" i="1" s="1"/>
  <c r="AE519" i="1"/>
  <c r="AN519" i="1" s="1"/>
  <c r="AY519" i="1" s="1"/>
  <c r="AZ519" i="1" s="1"/>
  <c r="Z586" i="1"/>
  <c r="AI586" i="1" s="1"/>
  <c r="AD592" i="1"/>
  <c r="AM592" i="1" s="1"/>
  <c r="AE566" i="1"/>
  <c r="AN566" i="1" s="1"/>
  <c r="AA467" i="1"/>
  <c r="AJ467" i="1" s="1"/>
  <c r="AB489" i="1"/>
  <c r="AK489" i="1" s="1"/>
  <c r="AD478" i="1"/>
  <c r="AM478" i="1" s="1"/>
  <c r="AA362" i="1"/>
  <c r="AJ362" i="1" s="1"/>
  <c r="AR460" i="1"/>
  <c r="AS460" i="1" s="1"/>
  <c r="AT460" i="1" s="1"/>
  <c r="AB415" i="1"/>
  <c r="AK415" i="1" s="1"/>
  <c r="AB118" i="1"/>
  <c r="AK118" i="1" s="1"/>
  <c r="AP601" i="1"/>
  <c r="AQ601" i="1" s="1"/>
  <c r="AR601" i="1" s="1"/>
  <c r="AS601" i="1" s="1"/>
  <c r="AT601" i="1" s="1"/>
  <c r="Z416" i="1"/>
  <c r="AI416" i="1" s="1"/>
  <c r="AP416" i="1"/>
  <c r="AQ416" i="1" s="1"/>
  <c r="AR416" i="1" s="1"/>
  <c r="AS416" i="1" s="1"/>
  <c r="AT416" i="1" s="1"/>
  <c r="AE325" i="1"/>
  <c r="AN325" i="1" s="1"/>
  <c r="AP643" i="1"/>
  <c r="AQ643" i="1" s="1"/>
  <c r="AR643" i="1" s="1"/>
  <c r="AS643" i="1" s="1"/>
  <c r="AT643" i="1" s="1"/>
  <c r="AE588" i="1"/>
  <c r="AN588" i="1" s="1"/>
  <c r="AA379" i="1"/>
  <c r="AJ379" i="1" s="1"/>
  <c r="AE598" i="1"/>
  <c r="AN598" i="1" s="1"/>
  <c r="AP513" i="1"/>
  <c r="AU513" i="1" s="1"/>
  <c r="AA486" i="1"/>
  <c r="AJ486" i="1" s="1"/>
  <c r="AB359" i="1"/>
  <c r="AK359" i="1" s="1"/>
  <c r="AE597" i="1"/>
  <c r="AN597" i="1" s="1"/>
  <c r="AE521" i="1"/>
  <c r="AN521" i="1" s="1"/>
  <c r="AY521" i="1" s="1"/>
  <c r="AZ521" i="1" s="1"/>
  <c r="AA446" i="1"/>
  <c r="AJ446" i="1" s="1"/>
  <c r="AB434" i="1"/>
  <c r="AK434" i="1" s="1"/>
  <c r="AB505" i="1"/>
  <c r="AK505" i="1" s="1"/>
  <c r="AY505" i="1" s="1"/>
  <c r="AB383" i="1"/>
  <c r="AK383" i="1" s="1"/>
  <c r="Z455" i="1"/>
  <c r="AI455" i="1" s="1"/>
  <c r="Z467" i="1"/>
  <c r="AI467" i="1" s="1"/>
  <c r="AB366" i="1"/>
  <c r="AK366" i="1" s="1"/>
  <c r="AP491" i="1"/>
  <c r="AQ491" i="1" s="1"/>
  <c r="AR491" i="1" s="1"/>
  <c r="AS491" i="1" s="1"/>
  <c r="AT491" i="1" s="1"/>
  <c r="AP537" i="1"/>
  <c r="AQ537" i="1" s="1"/>
  <c r="AR537" i="1" s="1"/>
  <c r="AS537" i="1" s="1"/>
  <c r="AT537" i="1" s="1"/>
  <c r="AD490" i="1"/>
  <c r="AM490" i="1" s="1"/>
  <c r="AD395" i="1"/>
  <c r="AM395" i="1" s="1"/>
  <c r="Z451" i="1"/>
  <c r="AI451" i="1" s="1"/>
  <c r="AP423" i="1"/>
  <c r="AQ423" i="1" s="1"/>
  <c r="AR423" i="1" s="1"/>
  <c r="AS423" i="1" s="1"/>
  <c r="AT423" i="1" s="1"/>
  <c r="AA243" i="1"/>
  <c r="AJ243" i="1" s="1"/>
  <c r="AB355" i="1"/>
  <c r="AK355" i="1" s="1"/>
  <c r="AA354" i="1"/>
  <c r="AJ354" i="1" s="1"/>
  <c r="AD138" i="1"/>
  <c r="AM138" i="1" s="1"/>
  <c r="AA514" i="1"/>
  <c r="AJ514" i="1" s="1"/>
  <c r="AB476" i="1"/>
  <c r="AK476" i="1" s="1"/>
  <c r="Z408" i="1"/>
  <c r="AI408" i="1" s="1"/>
  <c r="AD323" i="1"/>
  <c r="AM323" i="1" s="1"/>
  <c r="AB389" i="1"/>
  <c r="AK389" i="1" s="1"/>
  <c r="AA301" i="1"/>
  <c r="AJ301" i="1" s="1"/>
  <c r="AE287" i="1"/>
  <c r="AN287" i="1" s="1"/>
  <c r="AB262" i="1"/>
  <c r="AK262" i="1" s="1"/>
  <c r="AY262" i="1" s="1"/>
  <c r="AZ262" i="1" s="1"/>
  <c r="AP327" i="1"/>
  <c r="AQ327" i="1" s="1"/>
  <c r="AR327" i="1" s="1"/>
  <c r="AS327" i="1" s="1"/>
  <c r="AT327" i="1" s="1"/>
  <c r="Z444" i="1"/>
  <c r="AI444" i="1" s="1"/>
  <c r="AP360" i="1"/>
  <c r="AQ360" i="1" s="1"/>
  <c r="AR360" i="1" s="1"/>
  <c r="AS360" i="1" s="1"/>
  <c r="AT360" i="1" s="1"/>
  <c r="AA346" i="1"/>
  <c r="AJ346" i="1" s="1"/>
  <c r="AA537" i="1"/>
  <c r="AJ537" i="1" s="1"/>
  <c r="AB618" i="1"/>
  <c r="AK618" i="1" s="1"/>
  <c r="AD399" i="1"/>
  <c r="AM399" i="1" s="1"/>
  <c r="AE175" i="1"/>
  <c r="AN175" i="1" s="1"/>
  <c r="Z666" i="1"/>
  <c r="AI666" i="1" s="1"/>
  <c r="Z457" i="1"/>
  <c r="AI457" i="1" s="1"/>
  <c r="AP657" i="1"/>
  <c r="AU657" i="1" s="1"/>
  <c r="Z126" i="1"/>
  <c r="AI126" i="1" s="1"/>
  <c r="AP398" i="1"/>
  <c r="AQ398" i="1" s="1"/>
  <c r="AR398" i="1" s="1"/>
  <c r="AS398" i="1" s="1"/>
  <c r="AT398" i="1" s="1"/>
  <c r="AE218" i="1"/>
  <c r="AN218" i="1" s="1"/>
  <c r="AE294" i="1"/>
  <c r="AN294" i="1" s="1"/>
  <c r="AD325" i="1"/>
  <c r="AM325" i="1" s="1"/>
  <c r="Z193" i="1"/>
  <c r="AI193" i="1" s="1"/>
  <c r="AA272" i="1"/>
  <c r="AJ272" i="1" s="1"/>
  <c r="AA253" i="1"/>
  <c r="AJ253" i="1" s="1"/>
  <c r="AP295" i="1"/>
  <c r="AU295" i="1" s="1"/>
  <c r="AB81" i="1"/>
  <c r="AK81" i="1" s="1"/>
  <c r="AB135" i="1"/>
  <c r="AK135" i="1" s="1"/>
  <c r="AA170" i="1"/>
  <c r="AJ170" i="1" s="1"/>
  <c r="AP207" i="1"/>
  <c r="AQ207" i="1" s="1"/>
  <c r="AR207" i="1" s="1"/>
  <c r="AS207" i="1" s="1"/>
  <c r="AT207" i="1" s="1"/>
  <c r="Z85" i="1"/>
  <c r="AI85" i="1" s="1"/>
  <c r="Z107" i="1"/>
  <c r="AI107" i="1" s="1"/>
  <c r="AE176" i="1"/>
  <c r="AN176" i="1" s="1"/>
  <c r="AP182" i="1"/>
  <c r="AQ182" i="1" s="1"/>
  <c r="AR182" i="1" s="1"/>
  <c r="AS182" i="1" s="1"/>
  <c r="AT182" i="1" s="1"/>
  <c r="AA89" i="1"/>
  <c r="AJ89" i="1" s="1"/>
  <c r="AA120" i="1"/>
  <c r="AJ120" i="1" s="1"/>
  <c r="Z160" i="1"/>
  <c r="AI160" i="1" s="1"/>
  <c r="AP161" i="1"/>
  <c r="AQ161" i="1" s="1"/>
  <c r="AR161" i="1" s="1"/>
  <c r="AS161" i="1" s="1"/>
  <c r="AT161" i="1" s="1"/>
  <c r="AD221" i="1"/>
  <c r="AM221" i="1" s="1"/>
  <c r="AB108" i="1"/>
  <c r="AK108" i="1" s="1"/>
  <c r="AA95" i="1"/>
  <c r="AJ95" i="1" s="1"/>
  <c r="AD245" i="1"/>
  <c r="AM245" i="1" s="1"/>
  <c r="AP190" i="1"/>
  <c r="AU190" i="1" s="1"/>
  <c r="AE197" i="1"/>
  <c r="AN197" i="1" s="1"/>
  <c r="AB182" i="1"/>
  <c r="AK182" i="1" s="1"/>
  <c r="AA111" i="1"/>
  <c r="AJ111" i="1" s="1"/>
  <c r="Z201" i="1"/>
  <c r="AI201" i="1" s="1"/>
  <c r="AE139" i="1"/>
  <c r="AN139" i="1" s="1"/>
  <c r="AE165" i="1"/>
  <c r="AN165" i="1" s="1"/>
  <c r="AB212" i="1"/>
  <c r="AK212" i="1" s="1"/>
  <c r="AP76" i="1"/>
  <c r="AQ76" i="1" s="1"/>
  <c r="AR76" i="1" s="1"/>
  <c r="AS76" i="1" s="1"/>
  <c r="AT76" i="1" s="1"/>
  <c r="AA125" i="1"/>
  <c r="AJ125" i="1" s="1"/>
  <c r="AD237" i="1"/>
  <c r="AM237" i="1" s="1"/>
  <c r="AD251" i="1"/>
  <c r="AM251" i="1" s="1"/>
  <c r="AD201" i="1"/>
  <c r="AM201" i="1" s="1"/>
  <c r="AA171" i="1"/>
  <c r="AJ171" i="1" s="1"/>
  <c r="AD207" i="1"/>
  <c r="AM207" i="1" s="1"/>
  <c r="Z111" i="1"/>
  <c r="AI111" i="1" s="1"/>
  <c r="AD171" i="1"/>
  <c r="AM171" i="1" s="1"/>
  <c r="AE274" i="1"/>
  <c r="AN274" i="1" s="1"/>
  <c r="AA285" i="1"/>
  <c r="AJ285" i="1" s="1"/>
  <c r="AP331" i="1"/>
  <c r="AQ331" i="1" s="1"/>
  <c r="AR331" i="1" s="1"/>
  <c r="AS331" i="1" s="1"/>
  <c r="AT331" i="1" s="1"/>
  <c r="AD316" i="1"/>
  <c r="AM316" i="1" s="1"/>
  <c r="AD163" i="1"/>
  <c r="AM163" i="1" s="1"/>
  <c r="AB283" i="1"/>
  <c r="AK283" i="1" s="1"/>
  <c r="AD465" i="1"/>
  <c r="AM465" i="1" s="1"/>
  <c r="AP156" i="1"/>
  <c r="AU156" i="1" s="1"/>
  <c r="AB124" i="1"/>
  <c r="AK124" i="1" s="1"/>
  <c r="AP108" i="1"/>
  <c r="AQ108" i="1" s="1"/>
  <c r="AR108" i="1" s="1"/>
  <c r="AS108" i="1" s="1"/>
  <c r="AT108" i="1" s="1"/>
  <c r="AP98" i="1"/>
  <c r="AQ98" i="1" s="1"/>
  <c r="AR98" i="1" s="1"/>
  <c r="AS98" i="1" s="1"/>
  <c r="AT98" i="1" s="1"/>
  <c r="AP170" i="1"/>
  <c r="AQ170" i="1" s="1"/>
  <c r="AR170" i="1" s="1"/>
  <c r="AS170" i="1" s="1"/>
  <c r="AT170" i="1" s="1"/>
  <c r="AP163" i="1"/>
  <c r="AQ163" i="1" s="1"/>
  <c r="AR163" i="1" s="1"/>
  <c r="AS163" i="1" s="1"/>
  <c r="AT163" i="1" s="1"/>
  <c r="AA541" i="1"/>
  <c r="AJ541" i="1" s="1"/>
  <c r="Z518" i="1"/>
  <c r="AI518" i="1" s="1"/>
  <c r="AE642" i="1"/>
  <c r="AN642" i="1" s="1"/>
  <c r="AJ512" i="1"/>
  <c r="AP579" i="1"/>
  <c r="AQ579" i="1" s="1"/>
  <c r="AR579" i="1" s="1"/>
  <c r="AS579" i="1" s="1"/>
  <c r="AT579" i="1" s="1"/>
  <c r="AE202" i="1"/>
  <c r="AN202" i="1" s="1"/>
  <c r="AB342" i="1"/>
  <c r="AK342" i="1" s="1"/>
  <c r="AP332" i="1"/>
  <c r="AQ332" i="1" s="1"/>
  <c r="AR332" i="1" s="1"/>
  <c r="AS332" i="1" s="1"/>
  <c r="AT332" i="1" s="1"/>
  <c r="AD540" i="1"/>
  <c r="AM540" i="1" s="1"/>
  <c r="AP631" i="1"/>
  <c r="AQ631" i="1" s="1"/>
  <c r="AR631" i="1" s="1"/>
  <c r="AS631" i="1" s="1"/>
  <c r="AT631" i="1" s="1"/>
  <c r="AE387" i="1"/>
  <c r="AN387" i="1" s="1"/>
  <c r="AP326" i="1"/>
  <c r="AU326" i="1" s="1"/>
  <c r="AB399" i="1"/>
  <c r="AK399" i="1" s="1"/>
  <c r="AA212" i="1"/>
  <c r="AJ212" i="1" s="1"/>
  <c r="AA392" i="1"/>
  <c r="AJ392" i="1" s="1"/>
  <c r="AA461" i="1"/>
  <c r="AJ461" i="1" s="1"/>
  <c r="AR412" i="1"/>
  <c r="AS412" i="1" s="1"/>
  <c r="AT412" i="1" s="1"/>
  <c r="AA497" i="1"/>
  <c r="AJ497" i="1" s="1"/>
  <c r="AP531" i="1"/>
  <c r="AQ531" i="1" s="1"/>
  <c r="AR531" i="1" s="1"/>
  <c r="AS531" i="1" s="1"/>
  <c r="AT531" i="1" s="1"/>
  <c r="AU239" i="1"/>
  <c r="AA592" i="1"/>
  <c r="AJ592" i="1" s="1"/>
  <c r="AB518" i="1"/>
  <c r="AK518" i="1" s="1"/>
  <c r="AP425" i="1"/>
  <c r="AQ425" i="1" s="1"/>
  <c r="AR425" i="1" s="1"/>
  <c r="AS425" i="1" s="1"/>
  <c r="AT425" i="1" s="1"/>
  <c r="AP462" i="1"/>
  <c r="AU462" i="1" s="1"/>
  <c r="AA372" i="1"/>
  <c r="AJ372" i="1" s="1"/>
  <c r="AB273" i="1"/>
  <c r="AK273" i="1" s="1"/>
  <c r="AE233" i="1"/>
  <c r="AN233" i="1" s="1"/>
  <c r="AP213" i="1"/>
  <c r="AA466" i="1"/>
  <c r="AJ466" i="1" s="1"/>
  <c r="AE536" i="1"/>
  <c r="AN536" i="1" s="1"/>
  <c r="AE357" i="1"/>
  <c r="AN357" i="1" s="1"/>
  <c r="AD644" i="1"/>
  <c r="AM644" i="1" s="1"/>
  <c r="AA451" i="1"/>
  <c r="AJ451" i="1" s="1"/>
  <c r="AB503" i="1"/>
  <c r="AK503" i="1" s="1"/>
  <c r="AA189" i="1"/>
  <c r="AJ189" i="1" s="1"/>
  <c r="Z77" i="1"/>
  <c r="AI77" i="1" s="1"/>
  <c r="Z601" i="1"/>
  <c r="AI601" i="1" s="1"/>
  <c r="AD139" i="1"/>
  <c r="AM139" i="1" s="1"/>
  <c r="AP276" i="1"/>
  <c r="AE85" i="1"/>
  <c r="AN85" i="1" s="1"/>
  <c r="AD262" i="1"/>
  <c r="AM262" i="1" s="1"/>
  <c r="AP126" i="1"/>
  <c r="AQ126" i="1" s="1"/>
  <c r="AR126" i="1" s="1"/>
  <c r="AS126" i="1" s="1"/>
  <c r="AT126" i="1" s="1"/>
  <c r="AB97" i="1"/>
  <c r="AK97" i="1" s="1"/>
  <c r="AY97" i="1" s="1"/>
  <c r="AZ97" i="1" s="1"/>
  <c r="AE479" i="1"/>
  <c r="AN479" i="1" s="1"/>
  <c r="AB374" i="1"/>
  <c r="AK374" i="1" s="1"/>
  <c r="Z350" i="1"/>
  <c r="AI350" i="1" s="1"/>
  <c r="AP630" i="1"/>
  <c r="AQ630" i="1" s="1"/>
  <c r="AR630" i="1" s="1"/>
  <c r="AS630" i="1" s="1"/>
  <c r="AT630" i="1" s="1"/>
  <c r="AA324" i="1"/>
  <c r="AJ324" i="1" s="1"/>
  <c r="AP339" i="1"/>
  <c r="AQ339" i="1" s="1"/>
  <c r="AR339" i="1" s="1"/>
  <c r="AS339" i="1" s="1"/>
  <c r="AT339" i="1" s="1"/>
  <c r="AP435" i="1"/>
  <c r="AQ435" i="1" s="1"/>
  <c r="AR435" i="1" s="1"/>
  <c r="AS435" i="1" s="1"/>
  <c r="AT435" i="1" s="1"/>
  <c r="AA257" i="1"/>
  <c r="AJ257" i="1" s="1"/>
  <c r="AD641" i="1"/>
  <c r="AM641" i="1" s="1"/>
  <c r="AP478" i="1"/>
  <c r="AU478" i="1" s="1"/>
  <c r="AP590" i="1"/>
  <c r="AQ590" i="1" s="1"/>
  <c r="AR590" i="1" s="1"/>
  <c r="AS590" i="1" s="1"/>
  <c r="AT590" i="1" s="1"/>
  <c r="AB537" i="1"/>
  <c r="AK537" i="1" s="1"/>
  <c r="AD347" i="1"/>
  <c r="AM347" i="1" s="1"/>
  <c r="AP320" i="1"/>
  <c r="AQ320" i="1" s="1"/>
  <c r="AR320" i="1" s="1"/>
  <c r="AS320" i="1" s="1"/>
  <c r="AT320" i="1" s="1"/>
  <c r="AA552" i="1"/>
  <c r="AJ552" i="1" s="1"/>
  <c r="AP467" i="1"/>
  <c r="AQ467" i="1" s="1"/>
  <c r="AR467" i="1" s="1"/>
  <c r="AS467" i="1" s="1"/>
  <c r="AT467" i="1" s="1"/>
  <c r="AA399" i="1"/>
  <c r="AJ399" i="1" s="1"/>
  <c r="AU362" i="1"/>
  <c r="AQ362" i="1"/>
  <c r="AR362" i="1" s="1"/>
  <c r="AS362" i="1" s="1"/>
  <c r="AT362" i="1" s="1"/>
  <c r="AU488" i="1"/>
  <c r="AQ488" i="1"/>
  <c r="AR488" i="1" s="1"/>
  <c r="AS488" i="1" s="1"/>
  <c r="AT488" i="1" s="1"/>
  <c r="AA452" i="1"/>
  <c r="AJ452" i="1" s="1"/>
  <c r="AB452" i="1"/>
  <c r="AK452" i="1" s="1"/>
  <c r="AC254" i="1"/>
  <c r="AL254" i="1" s="1"/>
  <c r="AA254" i="1"/>
  <c r="AJ254" i="1" s="1"/>
  <c r="AC447" i="1"/>
  <c r="AL447" i="1" s="1"/>
  <c r="Z447" i="1"/>
  <c r="AI447" i="1" s="1"/>
  <c r="AA167" i="1"/>
  <c r="AJ167" i="1" s="1"/>
  <c r="Z167" i="1"/>
  <c r="AI167" i="1" s="1"/>
  <c r="AC258" i="1"/>
  <c r="AL258" i="1" s="1"/>
  <c r="Z258" i="1"/>
  <c r="AI258" i="1" s="1"/>
  <c r="AP73" i="1"/>
  <c r="AQ73" i="1" s="1"/>
  <c r="AR73" i="1" s="1"/>
  <c r="AS73" i="1" s="1"/>
  <c r="AT73" i="1" s="1"/>
  <c r="AB73" i="1"/>
  <c r="AK73" i="1" s="1"/>
  <c r="AD120" i="1"/>
  <c r="AM120" i="1" s="1"/>
  <c r="AC120" i="1"/>
  <c r="AL120" i="1" s="1"/>
  <c r="AB349" i="1"/>
  <c r="AK349" i="1" s="1"/>
  <c r="AE349" i="1"/>
  <c r="AN349" i="1" s="1"/>
  <c r="AB551" i="1"/>
  <c r="AK551" i="1" s="1"/>
  <c r="AA551" i="1"/>
  <c r="AJ551" i="1" s="1"/>
  <c r="AP141" i="1"/>
  <c r="AQ141" i="1" s="1"/>
  <c r="AR141" i="1" s="1"/>
  <c r="AS141" i="1" s="1"/>
  <c r="AT141" i="1" s="1"/>
  <c r="AB294" i="1"/>
  <c r="AK294" i="1" s="1"/>
  <c r="AP294" i="1"/>
  <c r="AQ294" i="1" s="1"/>
  <c r="AR294" i="1" s="1"/>
  <c r="AS294" i="1" s="1"/>
  <c r="AT294" i="1" s="1"/>
  <c r="Z248" i="1"/>
  <c r="AI248" i="1" s="1"/>
  <c r="AE248" i="1"/>
  <c r="AN248" i="1" s="1"/>
  <c r="AH302" i="1"/>
  <c r="AE398" i="1"/>
  <c r="AN398" i="1" s="1"/>
  <c r="AC398" i="1"/>
  <c r="AL398" i="1" s="1"/>
  <c r="AP355" i="1"/>
  <c r="AQ355" i="1" s="1"/>
  <c r="AR355" i="1" s="1"/>
  <c r="AS355" i="1" s="1"/>
  <c r="AT355" i="1" s="1"/>
  <c r="AE355" i="1"/>
  <c r="AN355" i="1" s="1"/>
  <c r="AB266" i="1"/>
  <c r="AK266" i="1" s="1"/>
  <c r="AC266" i="1"/>
  <c r="AL266" i="1" s="1"/>
  <c r="Z609" i="1"/>
  <c r="AI609" i="1" s="1"/>
  <c r="AB609" i="1"/>
  <c r="AK609" i="1" s="1"/>
  <c r="AC468" i="1"/>
  <c r="AL468" i="1" s="1"/>
  <c r="AB468" i="1"/>
  <c r="AK468" i="1" s="1"/>
  <c r="AD657" i="1"/>
  <c r="AM657" i="1" s="1"/>
  <c r="AA657" i="1"/>
  <c r="AJ657" i="1" s="1"/>
  <c r="AC210" i="1"/>
  <c r="AL210" i="1" s="1"/>
  <c r="AB210" i="1"/>
  <c r="AK210" i="1" s="1"/>
  <c r="AA110" i="1"/>
  <c r="AJ110" i="1" s="1"/>
  <c r="AC110" i="1"/>
  <c r="AL110" i="1" s="1"/>
  <c r="AC439" i="1"/>
  <c r="AL439" i="1" s="1"/>
  <c r="AA439" i="1"/>
  <c r="AJ439" i="1" s="1"/>
  <c r="AA499" i="1"/>
  <c r="AJ499" i="1" s="1"/>
  <c r="AE290" i="1"/>
  <c r="AN290" i="1" s="1"/>
  <c r="AE112" i="1"/>
  <c r="AN112" i="1" s="1"/>
  <c r="AB103" i="1"/>
  <c r="AK103" i="1" s="1"/>
  <c r="AU460" i="1"/>
  <c r="Z370" i="1"/>
  <c r="AI370" i="1" s="1"/>
  <c r="AP366" i="1"/>
  <c r="AE278" i="1"/>
  <c r="AN278" i="1" s="1"/>
  <c r="AD483" i="1"/>
  <c r="AM483" i="1" s="1"/>
  <c r="AB346" i="1"/>
  <c r="AK346" i="1" s="1"/>
  <c r="AD238" i="1"/>
  <c r="AM238" i="1" s="1"/>
  <c r="AE196" i="1"/>
  <c r="AN196" i="1" s="1"/>
  <c r="Z434" i="1"/>
  <c r="AI434" i="1" s="1"/>
  <c r="Z259" i="1"/>
  <c r="AI259" i="1" s="1"/>
  <c r="AJ404" i="1"/>
  <c r="Z382" i="1"/>
  <c r="AI382" i="1" s="1"/>
  <c r="AB362" i="1"/>
  <c r="AK362" i="1" s="1"/>
  <c r="Z238" i="1"/>
  <c r="AI238" i="1" s="1"/>
  <c r="AC238" i="1"/>
  <c r="AL238" i="1" s="1"/>
  <c r="AD118" i="1"/>
  <c r="AM118" i="1" s="1"/>
  <c r="AE138" i="1"/>
  <c r="AN138" i="1" s="1"/>
  <c r="AE548" i="1"/>
  <c r="AN548" i="1" s="1"/>
  <c r="AB601" i="1"/>
  <c r="AK601" i="1" s="1"/>
  <c r="Z345" i="1"/>
  <c r="AI345" i="1" s="1"/>
  <c r="AA138" i="1"/>
  <c r="AJ138" i="1" s="1"/>
  <c r="AD410" i="1"/>
  <c r="AM410" i="1" s="1"/>
  <c r="AP505" i="1"/>
  <c r="AQ505" i="1" s="1"/>
  <c r="AR505" i="1" s="1"/>
  <c r="AS505" i="1" s="1"/>
  <c r="AT505" i="1" s="1"/>
  <c r="AB649" i="1"/>
  <c r="AK649" i="1" s="1"/>
  <c r="AE341" i="1"/>
  <c r="AN341" i="1" s="1"/>
  <c r="AE537" i="1"/>
  <c r="AN537" i="1" s="1"/>
  <c r="AD278" i="1"/>
  <c r="AM278" i="1" s="1"/>
  <c r="AD434" i="1"/>
  <c r="AM434" i="1" s="1"/>
  <c r="AA370" i="1"/>
  <c r="AJ370" i="1" s="1"/>
  <c r="AE123" i="1"/>
  <c r="AN123" i="1" s="1"/>
  <c r="AP618" i="1"/>
  <c r="AQ618" i="1" s="1"/>
  <c r="AR618" i="1" s="1"/>
  <c r="AS618" i="1" s="1"/>
  <c r="AT618" i="1" s="1"/>
  <c r="AD427" i="1"/>
  <c r="AM427" i="1" s="1"/>
  <c r="AC193" i="1"/>
  <c r="AL193" i="1" s="1"/>
  <c r="AC483" i="1"/>
  <c r="AL483" i="1" s="1"/>
  <c r="AB585" i="1"/>
  <c r="AK585" i="1" s="1"/>
  <c r="Z178" i="1"/>
  <c r="AI178" i="1" s="1"/>
  <c r="AE193" i="1"/>
  <c r="AN193" i="1" s="1"/>
  <c r="AD370" i="1"/>
  <c r="AM370" i="1" s="1"/>
  <c r="AB167" i="1"/>
  <c r="AK167" i="1" s="1"/>
  <c r="AB282" i="1"/>
  <c r="AK282" i="1" s="1"/>
  <c r="Z337" i="1"/>
  <c r="AI337" i="1" s="1"/>
  <c r="AA70" i="1"/>
  <c r="AJ70" i="1" s="1"/>
  <c r="AA275" i="1"/>
  <c r="AJ275" i="1" s="1"/>
  <c r="AD488" i="1"/>
  <c r="AM488" i="1" s="1"/>
  <c r="AP476" i="1"/>
  <c r="AQ476" i="1" s="1"/>
  <c r="AR476" i="1" s="1"/>
  <c r="AS476" i="1" s="1"/>
  <c r="AT476" i="1" s="1"/>
  <c r="AP557" i="1"/>
  <c r="AU557" i="1" s="1"/>
  <c r="Z564" i="1"/>
  <c r="AI564" i="1" s="1"/>
  <c r="AD564" i="1"/>
  <c r="AM564" i="1" s="1"/>
  <c r="AU514" i="1"/>
  <c r="AA485" i="1"/>
  <c r="AJ485" i="1" s="1"/>
  <c r="AE662" i="1"/>
  <c r="AN662" i="1" s="1"/>
  <c r="AP273" i="1"/>
  <c r="AE126" i="1"/>
  <c r="AN126" i="1" s="1"/>
  <c r="AE81" i="1"/>
  <c r="AN81" i="1" s="1"/>
  <c r="AD76" i="1"/>
  <c r="AM76" i="1" s="1"/>
  <c r="AD156" i="1"/>
  <c r="AM156" i="1" s="1"/>
  <c r="AD608" i="1"/>
  <c r="AM608" i="1" s="1"/>
  <c r="AA645" i="1"/>
  <c r="AJ645" i="1" s="1"/>
  <c r="Z393" i="1"/>
  <c r="AI393" i="1" s="1"/>
  <c r="AA593" i="1"/>
  <c r="AJ593" i="1" s="1"/>
  <c r="AD653" i="1"/>
  <c r="AM653" i="1" s="1"/>
  <c r="AP167" i="1"/>
  <c r="AQ167" i="1" s="1"/>
  <c r="AR167" i="1" s="1"/>
  <c r="AS167" i="1" s="1"/>
  <c r="AT167" i="1" s="1"/>
  <c r="AE617" i="1"/>
  <c r="AN617" i="1" s="1"/>
  <c r="AD196" i="1"/>
  <c r="AM196" i="1" s="1"/>
  <c r="AB578" i="1"/>
  <c r="AK578" i="1" s="1"/>
  <c r="AC220" i="1"/>
  <c r="AL220" i="1" s="1"/>
  <c r="AD78" i="1"/>
  <c r="AM78" i="1" s="1"/>
  <c r="AE87" i="1"/>
  <c r="AN87" i="1" s="1"/>
  <c r="AY87" i="1" s="1"/>
  <c r="AZ87" i="1" s="1"/>
  <c r="AP210" i="1"/>
  <c r="AD293" i="1"/>
  <c r="AM293" i="1" s="1"/>
  <c r="Z113" i="1"/>
  <c r="AI113" i="1" s="1"/>
  <c r="AD382" i="1"/>
  <c r="AM382" i="1" s="1"/>
  <c r="AE362" i="1"/>
  <c r="AN362" i="1" s="1"/>
  <c r="AC362" i="1"/>
  <c r="AL362" i="1" s="1"/>
  <c r="AC126" i="1"/>
  <c r="AL126" i="1" s="1"/>
  <c r="Z617" i="1"/>
  <c r="AI617" i="1" s="1"/>
  <c r="AE331" i="1"/>
  <c r="AN331" i="1" s="1"/>
  <c r="AY331" i="1" s="1"/>
  <c r="AZ331" i="1" s="1"/>
  <c r="AE238" i="1"/>
  <c r="AN238" i="1" s="1"/>
  <c r="AA469" i="1"/>
  <c r="AJ469" i="1" s="1"/>
  <c r="Z369" i="1"/>
  <c r="AI369" i="1" s="1"/>
  <c r="AE452" i="1"/>
  <c r="AN452" i="1" s="1"/>
  <c r="AE191" i="1"/>
  <c r="AN191" i="1" s="1"/>
  <c r="AB398" i="1"/>
  <c r="AK398" i="1" s="1"/>
  <c r="Z254" i="1"/>
  <c r="AI254" i="1" s="1"/>
  <c r="AE389" i="1"/>
  <c r="AN389" i="1" s="1"/>
  <c r="AE403" i="1"/>
  <c r="AN403" i="1" s="1"/>
  <c r="AC644" i="1"/>
  <c r="AL644" i="1" s="1"/>
  <c r="AE70" i="1"/>
  <c r="AN70" i="1" s="1"/>
  <c r="AB275" i="1"/>
  <c r="AK275" i="1" s="1"/>
  <c r="AC422" i="1"/>
  <c r="AL422" i="1" s="1"/>
  <c r="AJ153" i="1"/>
  <c r="AC118" i="1"/>
  <c r="AL118" i="1" s="1"/>
  <c r="AD110" i="1"/>
  <c r="AM110" i="1" s="1"/>
  <c r="AC86" i="1"/>
  <c r="AL86" i="1" s="1"/>
  <c r="AP282" i="1"/>
  <c r="AU282" i="1" s="1"/>
  <c r="AB279" i="1"/>
  <c r="AK279" i="1" s="1"/>
  <c r="AD220" i="1"/>
  <c r="AM220" i="1" s="1"/>
  <c r="AE345" i="1"/>
  <c r="AN345" i="1" s="1"/>
  <c r="AB138" i="1"/>
  <c r="AK138" i="1" s="1"/>
  <c r="AC243" i="1"/>
  <c r="AL243" i="1" s="1"/>
  <c r="AB410" i="1"/>
  <c r="AK410" i="1" s="1"/>
  <c r="AE346" i="1"/>
  <c r="AN346" i="1" s="1"/>
  <c r="Z208" i="1"/>
  <c r="AI208" i="1" s="1"/>
  <c r="AB379" i="1"/>
  <c r="AK379" i="1" s="1"/>
  <c r="AB246" i="1"/>
  <c r="AK246" i="1" s="1"/>
  <c r="AJ425" i="1"/>
  <c r="Z290" i="1"/>
  <c r="AI290" i="1" s="1"/>
  <c r="Z346" i="1"/>
  <c r="AI346" i="1" s="1"/>
  <c r="AB293" i="1"/>
  <c r="AK293" i="1" s="1"/>
  <c r="AU649" i="1"/>
  <c r="AC337" i="1"/>
  <c r="AL337" i="1" s="1"/>
  <c r="AE623" i="1"/>
  <c r="AN623" i="1" s="1"/>
  <c r="AB462" i="1"/>
  <c r="AK462" i="1" s="1"/>
  <c r="AB614" i="1"/>
  <c r="AK614" i="1" s="1"/>
  <c r="AC452" i="1"/>
  <c r="AL452" i="1" s="1"/>
  <c r="Z432" i="1"/>
  <c r="AI432" i="1" s="1"/>
  <c r="AP262" i="1"/>
  <c r="AQ262" i="1" s="1"/>
  <c r="AR262" i="1" s="1"/>
  <c r="AS262" i="1" s="1"/>
  <c r="AT262" i="1" s="1"/>
  <c r="AP588" i="1"/>
  <c r="AQ588" i="1" s="1"/>
  <c r="AR588" i="1" s="1"/>
  <c r="AS588" i="1" s="1"/>
  <c r="AT588" i="1" s="1"/>
  <c r="AC488" i="1"/>
  <c r="AL488" i="1" s="1"/>
  <c r="AE488" i="1"/>
  <c r="AN488" i="1" s="1"/>
  <c r="AB483" i="1"/>
  <c r="AK483" i="1" s="1"/>
  <c r="Z483" i="1"/>
  <c r="AI483" i="1" s="1"/>
  <c r="AC379" i="1"/>
  <c r="AL379" i="1" s="1"/>
  <c r="Z379" i="1"/>
  <c r="AI379" i="1" s="1"/>
  <c r="AE127" i="1"/>
  <c r="AN127" i="1" s="1"/>
  <c r="AC127" i="1"/>
  <c r="AL127" i="1" s="1"/>
  <c r="Z198" i="1"/>
  <c r="AI198" i="1" s="1"/>
  <c r="AB198" i="1"/>
  <c r="AK198" i="1" s="1"/>
  <c r="AE268" i="1"/>
  <c r="AN268" i="1" s="1"/>
  <c r="AC268" i="1"/>
  <c r="AL268" i="1" s="1"/>
  <c r="AP305" i="1"/>
  <c r="AQ305" i="1" s="1"/>
  <c r="AR305" i="1" s="1"/>
  <c r="AS305" i="1" s="1"/>
  <c r="AT305" i="1" s="1"/>
  <c r="AB305" i="1"/>
  <c r="AK305" i="1" s="1"/>
  <c r="AD589" i="1"/>
  <c r="AM589" i="1" s="1"/>
  <c r="Z589" i="1"/>
  <c r="AI589" i="1" s="1"/>
  <c r="AA578" i="1"/>
  <c r="AJ578" i="1" s="1"/>
  <c r="AE578" i="1"/>
  <c r="AN578" i="1" s="1"/>
  <c r="AC107" i="1"/>
  <c r="AL107" i="1" s="1"/>
  <c r="AB107" i="1"/>
  <c r="AK107" i="1" s="1"/>
  <c r="AE107" i="1"/>
  <c r="AN107" i="1" s="1"/>
  <c r="AA637" i="1"/>
  <c r="AJ637" i="1" s="1"/>
  <c r="Z637" i="1"/>
  <c r="AI637" i="1" s="1"/>
  <c r="AC492" i="1"/>
  <c r="AL492" i="1" s="1"/>
  <c r="AA492" i="1"/>
  <c r="AJ492" i="1" s="1"/>
  <c r="AB492" i="1"/>
  <c r="AK492" i="1" s="1"/>
  <c r="AC621" i="1"/>
  <c r="AL621" i="1" s="1"/>
  <c r="AB621" i="1"/>
  <c r="AK621" i="1" s="1"/>
  <c r="AB465" i="1"/>
  <c r="AK465" i="1" s="1"/>
  <c r="Z465" i="1"/>
  <c r="AI465" i="1" s="1"/>
  <c r="AU558" i="1"/>
  <c r="AE156" i="1"/>
  <c r="AN156" i="1" s="1"/>
  <c r="AH190" i="1"/>
  <c r="AE608" i="1"/>
  <c r="AN608" i="1" s="1"/>
  <c r="AB488" i="1"/>
  <c r="AK488" i="1" s="1"/>
  <c r="Z196" i="1"/>
  <c r="AI196" i="1" s="1"/>
  <c r="AD362" i="1"/>
  <c r="AM362" i="1" s="1"/>
  <c r="AB579" i="1"/>
  <c r="AK579" i="1" s="1"/>
  <c r="AE167" i="1"/>
  <c r="AN167" i="1" s="1"/>
  <c r="AB220" i="1"/>
  <c r="AK220" i="1" s="1"/>
  <c r="AE434" i="1"/>
  <c r="AN434" i="1" s="1"/>
  <c r="AP415" i="1"/>
  <c r="AQ415" i="1" s="1"/>
  <c r="AR415" i="1" s="1"/>
  <c r="AS415" i="1" s="1"/>
  <c r="AT415" i="1" s="1"/>
  <c r="Z475" i="1"/>
  <c r="AI475" i="1" s="1"/>
  <c r="AA548" i="1"/>
  <c r="AJ548" i="1" s="1"/>
  <c r="AE144" i="1"/>
  <c r="AN144" i="1" s="1"/>
  <c r="AP646" i="1"/>
  <c r="AQ646" i="1" s="1"/>
  <c r="AR646" i="1" s="1"/>
  <c r="AS646" i="1" s="1"/>
  <c r="AT646" i="1" s="1"/>
  <c r="AA166" i="1"/>
  <c r="AJ166" i="1" s="1"/>
  <c r="AJ356" i="1"/>
  <c r="AE254" i="1"/>
  <c r="AN254" i="1" s="1"/>
  <c r="AP389" i="1"/>
  <c r="AU389" i="1" s="1"/>
  <c r="AB447" i="1"/>
  <c r="AK447" i="1" s="1"/>
  <c r="AB405" i="1"/>
  <c r="AK405" i="1" s="1"/>
  <c r="Z118" i="1"/>
  <c r="AI118" i="1" s="1"/>
  <c r="AC475" i="1"/>
  <c r="AL475" i="1" s="1"/>
  <c r="AH314" i="1"/>
  <c r="AC138" i="1"/>
  <c r="AL138" i="1" s="1"/>
  <c r="AC410" i="1"/>
  <c r="AL410" i="1" s="1"/>
  <c r="AP225" i="1"/>
  <c r="AQ225" i="1" s="1"/>
  <c r="AR225" i="1" s="1"/>
  <c r="AS225" i="1" s="1"/>
  <c r="AT225" i="1" s="1"/>
  <c r="AC167" i="1"/>
  <c r="AL167" i="1" s="1"/>
  <c r="AB548" i="1"/>
  <c r="AK548" i="1" s="1"/>
  <c r="AC438" i="1"/>
  <c r="AL438" i="1" s="1"/>
  <c r="AB171" i="1"/>
  <c r="AK171" i="1" s="1"/>
  <c r="AC290" i="1"/>
  <c r="AL290" i="1" s="1"/>
  <c r="AD394" i="1"/>
  <c r="AM394" i="1" s="1"/>
  <c r="AI582" i="1"/>
  <c r="AC259" i="1"/>
  <c r="AL259" i="1" s="1"/>
  <c r="AP283" i="1"/>
  <c r="AE120" i="1"/>
  <c r="AN120" i="1" s="1"/>
  <c r="AP297" i="1"/>
  <c r="AU297" i="1" s="1"/>
  <c r="AC564" i="1"/>
  <c r="AL564" i="1" s="1"/>
  <c r="AB369" i="1"/>
  <c r="AK369" i="1" s="1"/>
  <c r="AC434" i="1"/>
  <c r="AL434" i="1" s="1"/>
  <c r="AB413" i="1"/>
  <c r="AK413" i="1" s="1"/>
  <c r="AC202" i="1"/>
  <c r="AL202" i="1" s="1"/>
  <c r="AD361" i="1"/>
  <c r="AM361" i="1" s="1"/>
  <c r="AE74" i="1"/>
  <c r="AN74" i="1" s="1"/>
  <c r="AE369" i="1"/>
  <c r="AN369" i="1" s="1"/>
  <c r="AB394" i="1"/>
  <c r="AK394" i="1" s="1"/>
  <c r="Z117" i="1"/>
  <c r="AI117" i="1" s="1"/>
  <c r="AD83" i="1"/>
  <c r="AM83" i="1" s="1"/>
  <c r="AD636" i="1"/>
  <c r="AM636" i="1" s="1"/>
  <c r="AB316" i="1"/>
  <c r="AK316" i="1" s="1"/>
  <c r="AA427" i="1"/>
  <c r="AJ427" i="1" s="1"/>
  <c r="AB624" i="1"/>
  <c r="AK624" i="1" s="1"/>
  <c r="AA329" i="1"/>
  <c r="AJ329" i="1" s="1"/>
  <c r="AE379" i="1"/>
  <c r="AN379" i="1" s="1"/>
  <c r="Z581" i="1"/>
  <c r="AI581" i="1" s="1"/>
  <c r="AE382" i="1"/>
  <c r="AN382" i="1" s="1"/>
  <c r="AP495" i="1"/>
  <c r="AQ495" i="1" s="1"/>
  <c r="AR495" i="1" s="1"/>
  <c r="AS495" i="1" s="1"/>
  <c r="AT495" i="1" s="1"/>
  <c r="AA449" i="1"/>
  <c r="AJ449" i="1" s="1"/>
  <c r="AP325" i="1"/>
  <c r="AQ325" i="1" s="1"/>
  <c r="AR325" i="1" s="1"/>
  <c r="AS325" i="1" s="1"/>
  <c r="AT325" i="1" s="1"/>
  <c r="AD272" i="1"/>
  <c r="AM272" i="1" s="1"/>
  <c r="Z284" i="1"/>
  <c r="AI284" i="1" s="1"/>
  <c r="AD106" i="1"/>
  <c r="AM106" i="1" s="1"/>
  <c r="AA118" i="1"/>
  <c r="AJ118" i="1" s="1"/>
  <c r="AA434" i="1"/>
  <c r="AJ434" i="1" s="1"/>
  <c r="AE637" i="1"/>
  <c r="AN637" i="1" s="1"/>
  <c r="AA624" i="1"/>
  <c r="AJ624" i="1" s="1"/>
  <c r="AB120" i="1"/>
  <c r="AK120" i="1" s="1"/>
  <c r="AE581" i="1"/>
  <c r="AN581" i="1" s="1"/>
  <c r="Z449" i="1"/>
  <c r="AI449" i="1" s="1"/>
  <c r="AD420" i="1"/>
  <c r="AM420" i="1" s="1"/>
  <c r="AP563" i="1"/>
  <c r="AQ563" i="1" s="1"/>
  <c r="AR563" i="1" s="1"/>
  <c r="AS563" i="1" s="1"/>
  <c r="AT563" i="1" s="1"/>
  <c r="AI390" i="1"/>
  <c r="AD330" i="1"/>
  <c r="AM330" i="1" s="1"/>
  <c r="Z361" i="1"/>
  <c r="AI361" i="1" s="1"/>
  <c r="AB382" i="1"/>
  <c r="AK382" i="1" s="1"/>
  <c r="AD417" i="1"/>
  <c r="AM417" i="1" s="1"/>
  <c r="AD327" i="1"/>
  <c r="AM327" i="1" s="1"/>
  <c r="AP598" i="1"/>
  <c r="AQ598" i="1" s="1"/>
  <c r="AR598" i="1" s="1"/>
  <c r="AS598" i="1" s="1"/>
  <c r="AT598" i="1" s="1"/>
  <c r="AP406" i="1"/>
  <c r="AQ406" i="1" s="1"/>
  <c r="AR406" i="1" s="1"/>
  <c r="AS406" i="1" s="1"/>
  <c r="AT406" i="1" s="1"/>
  <c r="AB82" i="1"/>
  <c r="AK82" i="1" s="1"/>
  <c r="Z165" i="1"/>
  <c r="AI165" i="1" s="1"/>
  <c r="AE241" i="1"/>
  <c r="AN241" i="1" s="1"/>
  <c r="AA201" i="1"/>
  <c r="AJ201" i="1" s="1"/>
  <c r="AD416" i="1"/>
  <c r="AM416" i="1" s="1"/>
  <c r="AP299" i="1"/>
  <c r="AQ299" i="1" s="1"/>
  <c r="AR299" i="1" s="1"/>
  <c r="AS299" i="1" s="1"/>
  <c r="AT299" i="1" s="1"/>
  <c r="AP547" i="1"/>
  <c r="AQ547" i="1" s="1"/>
  <c r="AR547" i="1" s="1"/>
  <c r="AS547" i="1" s="1"/>
  <c r="AT547" i="1" s="1"/>
  <c r="AA636" i="1"/>
  <c r="AJ636" i="1" s="1"/>
  <c r="AB308" i="1"/>
  <c r="AK308" i="1" s="1"/>
  <c r="AA581" i="1"/>
  <c r="AJ581" i="1" s="1"/>
  <c r="AA470" i="1"/>
  <c r="AJ470" i="1" s="1"/>
  <c r="AE361" i="1"/>
  <c r="AN361" i="1" s="1"/>
  <c r="AI576" i="1"/>
  <c r="AD500" i="1"/>
  <c r="AM500" i="1" s="1"/>
  <c r="AA438" i="1"/>
  <c r="AJ438" i="1" s="1"/>
  <c r="AB376" i="1"/>
  <c r="AK376" i="1" s="1"/>
  <c r="AA582" i="1"/>
  <c r="AJ582" i="1" s="1"/>
  <c r="AE295" i="1"/>
  <c r="AN295" i="1" s="1"/>
  <c r="AY295" i="1" s="1"/>
  <c r="AZ295" i="1" s="1"/>
  <c r="AD432" i="1"/>
  <c r="AM432" i="1" s="1"/>
  <c r="Z559" i="1"/>
  <c r="AI559" i="1" s="1"/>
  <c r="AP593" i="1"/>
  <c r="AA535" i="1"/>
  <c r="AJ535" i="1" s="1"/>
  <c r="AE422" i="1"/>
  <c r="AN422" i="1" s="1"/>
  <c r="AD421" i="1"/>
  <c r="AM421" i="1" s="1"/>
  <c r="AD331" i="1"/>
  <c r="AM331" i="1" s="1"/>
  <c r="AE471" i="1"/>
  <c r="AN471" i="1" s="1"/>
  <c r="AA358" i="1"/>
  <c r="AJ358" i="1" s="1"/>
  <c r="AJ294" i="1"/>
  <c r="AB193" i="1"/>
  <c r="AK193" i="1" s="1"/>
  <c r="AP199" i="1"/>
  <c r="AQ199" i="1" s="1"/>
  <c r="AR199" i="1" s="1"/>
  <c r="AS199" i="1" s="1"/>
  <c r="AT199" i="1" s="1"/>
  <c r="AE89" i="1"/>
  <c r="AN89" i="1" s="1"/>
  <c r="AA80" i="1"/>
  <c r="AJ80" i="1" s="1"/>
  <c r="AA152" i="1"/>
  <c r="AJ152" i="1" s="1"/>
  <c r="AD142" i="1"/>
  <c r="AM142" i="1" s="1"/>
  <c r="AD242" i="1"/>
  <c r="AM242" i="1" s="1"/>
  <c r="Z246" i="1"/>
  <c r="AI246" i="1" s="1"/>
  <c r="AA202" i="1"/>
  <c r="AJ202" i="1" s="1"/>
  <c r="AA193" i="1"/>
  <c r="AJ193" i="1" s="1"/>
  <c r="AA126" i="1"/>
  <c r="AJ126" i="1" s="1"/>
  <c r="AD210" i="1"/>
  <c r="AM210" i="1" s="1"/>
  <c r="AE110" i="1"/>
  <c r="AN110" i="1" s="1"/>
  <c r="AA241" i="1"/>
  <c r="AJ241" i="1" s="1"/>
  <c r="AI288" i="1"/>
  <c r="AA278" i="1"/>
  <c r="AJ278" i="1" s="1"/>
  <c r="AA175" i="1"/>
  <c r="AJ175" i="1" s="1"/>
  <c r="Z210" i="1"/>
  <c r="AI210" i="1" s="1"/>
  <c r="AA145" i="1"/>
  <c r="AJ145" i="1" s="1"/>
  <c r="AB225" i="1"/>
  <c r="AK225" i="1" s="1"/>
  <c r="AE333" i="1"/>
  <c r="AN333" i="1" s="1"/>
  <c r="AP177" i="1"/>
  <c r="AB113" i="1"/>
  <c r="AK113" i="1" s="1"/>
  <c r="AD548" i="1"/>
  <c r="AM548" i="1" s="1"/>
  <c r="AP95" i="1"/>
  <c r="AQ95" i="1" s="1"/>
  <c r="AR95" i="1" s="1"/>
  <c r="AS95" i="1" s="1"/>
  <c r="AT95" i="1" s="1"/>
  <c r="Z458" i="1"/>
  <c r="AI458" i="1" s="1"/>
  <c r="AR605" i="1"/>
  <c r="AS605" i="1" s="1"/>
  <c r="AT605" i="1" s="1"/>
  <c r="AP187" i="1"/>
  <c r="AQ187" i="1" s="1"/>
  <c r="AR187" i="1" s="1"/>
  <c r="AS187" i="1" s="1"/>
  <c r="AT187" i="1" s="1"/>
  <c r="AP123" i="1"/>
  <c r="AQ123" i="1" s="1"/>
  <c r="AR123" i="1" s="1"/>
  <c r="AS123" i="1" s="1"/>
  <c r="AT123" i="1" s="1"/>
  <c r="AB511" i="1"/>
  <c r="AK511" i="1" s="1"/>
  <c r="AD660" i="1"/>
  <c r="AM660" i="1" s="1"/>
  <c r="AD556" i="1"/>
  <c r="AM556" i="1" s="1"/>
  <c r="AP310" i="1"/>
  <c r="AE481" i="1"/>
  <c r="AN481" i="1" s="1"/>
  <c r="AY481" i="1" s="1"/>
  <c r="AD618" i="1"/>
  <c r="AM618" i="1" s="1"/>
  <c r="AA310" i="1"/>
  <c r="AJ310" i="1" s="1"/>
  <c r="Z618" i="1"/>
  <c r="AI618" i="1" s="1"/>
  <c r="AA369" i="1"/>
  <c r="AJ369" i="1" s="1"/>
  <c r="AE407" i="1"/>
  <c r="AN407" i="1" s="1"/>
  <c r="AB660" i="1"/>
  <c r="AK660" i="1" s="1"/>
  <c r="AD553" i="1"/>
  <c r="AM553" i="1" s="1"/>
  <c r="AP230" i="1"/>
  <c r="AQ230" i="1" s="1"/>
  <c r="AR230" i="1" s="1"/>
  <c r="AS230" i="1" s="1"/>
  <c r="AT230" i="1" s="1"/>
  <c r="AP246" i="1"/>
  <c r="AQ246" i="1" s="1"/>
  <c r="AR246" i="1" s="1"/>
  <c r="AS246" i="1" s="1"/>
  <c r="AT246" i="1" s="1"/>
  <c r="Z84" i="1"/>
  <c r="AI84" i="1" s="1"/>
  <c r="Z442" i="1"/>
  <c r="AI442" i="1" s="1"/>
  <c r="AD447" i="1"/>
  <c r="AM447" i="1" s="1"/>
  <c r="AD507" i="1"/>
  <c r="AM507" i="1" s="1"/>
  <c r="AP573" i="1"/>
  <c r="Z394" i="1"/>
  <c r="AI394" i="1" s="1"/>
  <c r="AP441" i="1"/>
  <c r="AQ441" i="1" s="1"/>
  <c r="AR441" i="1" s="1"/>
  <c r="AS441" i="1" s="1"/>
  <c r="AT441" i="1" s="1"/>
  <c r="AE541" i="1"/>
  <c r="AN541" i="1" s="1"/>
  <c r="AD486" i="1"/>
  <c r="AM486" i="1" s="1"/>
  <c r="AA511" i="1"/>
  <c r="AJ511" i="1" s="1"/>
  <c r="AB432" i="1"/>
  <c r="AK432" i="1" s="1"/>
  <c r="AE636" i="1"/>
  <c r="AN636" i="1" s="1"/>
  <c r="AB607" i="1"/>
  <c r="AK607" i="1" s="1"/>
  <c r="AY607" i="1" s="1"/>
  <c r="AZ607" i="1" s="1"/>
  <c r="Z366" i="1"/>
  <c r="AI366" i="1" s="1"/>
  <c r="AP473" i="1"/>
  <c r="AQ473" i="1" s="1"/>
  <c r="AR473" i="1" s="1"/>
  <c r="AS473" i="1" s="1"/>
  <c r="AT473" i="1" s="1"/>
  <c r="Z624" i="1"/>
  <c r="AI624" i="1" s="1"/>
  <c r="AA432" i="1"/>
  <c r="AJ432" i="1" s="1"/>
  <c r="AE370" i="1"/>
  <c r="AN370" i="1" s="1"/>
  <c r="AD257" i="1"/>
  <c r="AM257" i="1" s="1"/>
  <c r="AU175" i="1"/>
  <c r="AQ175" i="1"/>
  <c r="AR175" i="1" s="1"/>
  <c r="AS175" i="1" s="1"/>
  <c r="AT175" i="1" s="1"/>
  <c r="AQ179" i="1"/>
  <c r="AR179" i="1" s="1"/>
  <c r="AS179" i="1" s="1"/>
  <c r="AT179" i="1" s="1"/>
  <c r="AU179" i="1"/>
  <c r="AB401" i="1"/>
  <c r="AK401" i="1" s="1"/>
  <c r="AD401" i="1"/>
  <c r="AM401" i="1" s="1"/>
  <c r="AE401" i="1"/>
  <c r="AN401" i="1" s="1"/>
  <c r="AA418" i="1"/>
  <c r="AJ418" i="1" s="1"/>
  <c r="AB418" i="1"/>
  <c r="AK418" i="1" s="1"/>
  <c r="AE418" i="1"/>
  <c r="AN418" i="1" s="1"/>
  <c r="AB378" i="1"/>
  <c r="AK378" i="1" s="1"/>
  <c r="AE378" i="1"/>
  <c r="AN378" i="1" s="1"/>
  <c r="AE296" i="1"/>
  <c r="AN296" i="1" s="1"/>
  <c r="AA296" i="1"/>
  <c r="AJ296" i="1" s="1"/>
  <c r="Z296" i="1"/>
  <c r="AI296" i="1" s="1"/>
  <c r="AP335" i="1"/>
  <c r="AE335" i="1"/>
  <c r="AN335" i="1" s="1"/>
  <c r="AC244" i="1"/>
  <c r="AL244" i="1" s="1"/>
  <c r="AA244" i="1"/>
  <c r="AJ244" i="1" s="1"/>
  <c r="AA443" i="1"/>
  <c r="AJ443" i="1" s="1"/>
  <c r="AC443" i="1"/>
  <c r="AL443" i="1" s="1"/>
  <c r="AD443" i="1"/>
  <c r="AM443" i="1" s="1"/>
  <c r="AB443" i="1"/>
  <c r="AK443" i="1" s="1"/>
  <c r="AE456" i="1"/>
  <c r="AN456" i="1" s="1"/>
  <c r="AP456" i="1"/>
  <c r="AQ456" i="1" s="1"/>
  <c r="AR456" i="1" s="1"/>
  <c r="AS456" i="1" s="1"/>
  <c r="AT456" i="1" s="1"/>
  <c r="Z450" i="1"/>
  <c r="AI450" i="1" s="1"/>
  <c r="AD450" i="1"/>
  <c r="AM450" i="1" s="1"/>
  <c r="AB450" i="1"/>
  <c r="AK450" i="1" s="1"/>
  <c r="AC498" i="1"/>
  <c r="AL498" i="1" s="1"/>
  <c r="AE498" i="1"/>
  <c r="AN498" i="1" s="1"/>
  <c r="AB498" i="1"/>
  <c r="AK498" i="1" s="1"/>
  <c r="AC615" i="1"/>
  <c r="AL615" i="1" s="1"/>
  <c r="AD615" i="1"/>
  <c r="AM615" i="1" s="1"/>
  <c r="Z615" i="1"/>
  <c r="AI615" i="1" s="1"/>
  <c r="AE565" i="1"/>
  <c r="AN565" i="1" s="1"/>
  <c r="Z565" i="1"/>
  <c r="AI565" i="1" s="1"/>
  <c r="AA565" i="1"/>
  <c r="AJ565" i="1" s="1"/>
  <c r="AB565" i="1"/>
  <c r="AK565" i="1" s="1"/>
  <c r="Z312" i="1"/>
  <c r="AI312" i="1" s="1"/>
  <c r="AA312" i="1"/>
  <c r="AJ312" i="1" s="1"/>
  <c r="AC312" i="1"/>
  <c r="AL312" i="1" s="1"/>
  <c r="AB312" i="1"/>
  <c r="AK312" i="1" s="1"/>
  <c r="AA269" i="1"/>
  <c r="AJ269" i="1" s="1"/>
  <c r="Z269" i="1"/>
  <c r="AI269" i="1" s="1"/>
  <c r="AE230" i="1"/>
  <c r="AN230" i="1" s="1"/>
  <c r="AC230" i="1"/>
  <c r="AL230" i="1" s="1"/>
  <c r="AD230" i="1"/>
  <c r="AM230" i="1" s="1"/>
  <c r="AB423" i="1"/>
  <c r="AK423" i="1" s="1"/>
  <c r="AC423" i="1"/>
  <c r="AL423" i="1" s="1"/>
  <c r="AD423" i="1"/>
  <c r="AM423" i="1" s="1"/>
  <c r="AA558" i="1"/>
  <c r="AJ558" i="1" s="1"/>
  <c r="AD558" i="1"/>
  <c r="AM558" i="1" s="1"/>
  <c r="AH457" i="1"/>
  <c r="Z561" i="1"/>
  <c r="AI561" i="1" s="1"/>
  <c r="AA561" i="1"/>
  <c r="AJ561" i="1" s="1"/>
  <c r="AE561" i="1"/>
  <c r="AN561" i="1" s="1"/>
  <c r="AB561" i="1"/>
  <c r="AK561" i="1" s="1"/>
  <c r="AC561" i="1"/>
  <c r="AL561" i="1" s="1"/>
  <c r="AD491" i="1"/>
  <c r="AM491" i="1" s="1"/>
  <c r="AB491" i="1"/>
  <c r="AK491" i="1" s="1"/>
  <c r="AE491" i="1"/>
  <c r="AN491" i="1" s="1"/>
  <c r="AC491" i="1"/>
  <c r="AL491" i="1" s="1"/>
  <c r="AP404" i="1"/>
  <c r="AQ404" i="1" s="1"/>
  <c r="AR404" i="1" s="1"/>
  <c r="AS404" i="1" s="1"/>
  <c r="AT404" i="1" s="1"/>
  <c r="AB404" i="1"/>
  <c r="AK404" i="1" s="1"/>
  <c r="AC516" i="1"/>
  <c r="AL516" i="1" s="1"/>
  <c r="AB516" i="1"/>
  <c r="AK516" i="1" s="1"/>
  <c r="AD612" i="1"/>
  <c r="AM612" i="1" s="1"/>
  <c r="AB612" i="1"/>
  <c r="AK612" i="1" s="1"/>
  <c r="AE629" i="1"/>
  <c r="AN629" i="1" s="1"/>
  <c r="AC629" i="1"/>
  <c r="AL629" i="1" s="1"/>
  <c r="AC569" i="1"/>
  <c r="AL569" i="1" s="1"/>
  <c r="AB569" i="1"/>
  <c r="AK569" i="1" s="1"/>
  <c r="AA569" i="1"/>
  <c r="AJ569" i="1" s="1"/>
  <c r="AB441" i="1"/>
  <c r="AK441" i="1" s="1"/>
  <c r="AE441" i="1"/>
  <c r="AN441" i="1" s="1"/>
  <c r="AA441" i="1"/>
  <c r="AJ441" i="1" s="1"/>
  <c r="AB650" i="1"/>
  <c r="AK650" i="1" s="1"/>
  <c r="AE650" i="1"/>
  <c r="AN650" i="1" s="1"/>
  <c r="AH486" i="1"/>
  <c r="AP394" i="1"/>
  <c r="AQ394" i="1" s="1"/>
  <c r="AR394" i="1" s="1"/>
  <c r="AS394" i="1" s="1"/>
  <c r="AT394" i="1" s="1"/>
  <c r="AE394" i="1"/>
  <c r="AN394" i="1" s="1"/>
  <c r="AC648" i="1"/>
  <c r="AL648" i="1" s="1"/>
  <c r="AE648" i="1"/>
  <c r="AN648" i="1" s="1"/>
  <c r="AP259" i="1"/>
  <c r="AQ259" i="1" s="1"/>
  <c r="AR259" i="1" s="1"/>
  <c r="AS259" i="1" s="1"/>
  <c r="AT259" i="1" s="1"/>
  <c r="AC180" i="1"/>
  <c r="AL180" i="1" s="1"/>
  <c r="AB180" i="1"/>
  <c r="AK180" i="1" s="1"/>
  <c r="Z180" i="1"/>
  <c r="AI180" i="1" s="1"/>
  <c r="AD180" i="1"/>
  <c r="AM180" i="1" s="1"/>
  <c r="AE180" i="1"/>
  <c r="AN180" i="1" s="1"/>
  <c r="AA480" i="1"/>
  <c r="AJ480" i="1" s="1"/>
  <c r="AB480" i="1"/>
  <c r="AK480" i="1" s="1"/>
  <c r="Z480" i="1"/>
  <c r="AI480" i="1" s="1"/>
  <c r="Z177" i="1"/>
  <c r="AI177" i="1" s="1"/>
  <c r="AC177" i="1"/>
  <c r="AL177" i="1" s="1"/>
  <c r="Z173" i="1"/>
  <c r="AI173" i="1" s="1"/>
  <c r="AB173" i="1"/>
  <c r="AK173" i="1" s="1"/>
  <c r="AC90" i="1"/>
  <c r="AL90" i="1" s="1"/>
  <c r="AE90" i="1"/>
  <c r="AN90" i="1" s="1"/>
  <c r="AB239" i="1"/>
  <c r="AK239" i="1" s="1"/>
  <c r="AD239" i="1"/>
  <c r="AM239" i="1" s="1"/>
  <c r="AB179" i="1"/>
  <c r="AK179" i="1" s="1"/>
  <c r="AA179" i="1"/>
  <c r="AJ179" i="1" s="1"/>
  <c r="AA94" i="1"/>
  <c r="AJ94" i="1" s="1"/>
  <c r="AB94" i="1"/>
  <c r="AK94" i="1" s="1"/>
  <c r="AC94" i="1"/>
  <c r="AL94" i="1" s="1"/>
  <c r="AA156" i="1"/>
  <c r="AJ156" i="1" s="1"/>
  <c r="AB156" i="1"/>
  <c r="AK156" i="1" s="1"/>
  <c r="AC156" i="1"/>
  <c r="AL156" i="1" s="1"/>
  <c r="AC114" i="1"/>
  <c r="AL114" i="1" s="1"/>
  <c r="AA114" i="1"/>
  <c r="AJ114" i="1" s="1"/>
  <c r="AC236" i="1"/>
  <c r="AL236" i="1" s="1"/>
  <c r="Z236" i="1"/>
  <c r="AI236" i="1" s="1"/>
  <c r="AH103" i="1"/>
  <c r="Z103" i="1"/>
  <c r="AI103" i="1" s="1"/>
  <c r="AA103" i="1"/>
  <c r="AJ103" i="1" s="1"/>
  <c r="AA178" i="1"/>
  <c r="AJ178" i="1" s="1"/>
  <c r="AB178" i="1"/>
  <c r="AK178" i="1" s="1"/>
  <c r="AC178" i="1"/>
  <c r="AL178" i="1" s="1"/>
  <c r="AD178" i="1"/>
  <c r="AM178" i="1" s="1"/>
  <c r="AA123" i="1"/>
  <c r="AJ123" i="1" s="1"/>
  <c r="AC123" i="1"/>
  <c r="AL123" i="1" s="1"/>
  <c r="AP196" i="1"/>
  <c r="AQ196" i="1" s="1"/>
  <c r="AR196" i="1" s="1"/>
  <c r="AS196" i="1" s="1"/>
  <c r="AT196" i="1" s="1"/>
  <c r="AB196" i="1"/>
  <c r="AK196" i="1" s="1"/>
  <c r="AP311" i="1"/>
  <c r="AB311" i="1"/>
  <c r="AK311" i="1" s="1"/>
  <c r="AE263" i="1"/>
  <c r="AN263" i="1" s="1"/>
  <c r="AP263" i="1"/>
  <c r="AB317" i="1"/>
  <c r="AK317" i="1" s="1"/>
  <c r="AD317" i="1"/>
  <c r="AM317" i="1" s="1"/>
  <c r="AC317" i="1"/>
  <c r="AL317" i="1" s="1"/>
  <c r="AA317" i="1"/>
  <c r="AJ317" i="1" s="1"/>
  <c r="AE317" i="1"/>
  <c r="AN317" i="1" s="1"/>
  <c r="AA525" i="1"/>
  <c r="AJ525" i="1" s="1"/>
  <c r="AC525" i="1"/>
  <c r="AL525" i="1" s="1"/>
  <c r="AC367" i="1"/>
  <c r="AL367" i="1" s="1"/>
  <c r="AD367" i="1"/>
  <c r="AM367" i="1" s="1"/>
  <c r="AE367" i="1"/>
  <c r="AN367" i="1" s="1"/>
  <c r="AY367" i="1" s="1"/>
  <c r="AZ367" i="1" s="1"/>
  <c r="AD475" i="1"/>
  <c r="AM475" i="1" s="1"/>
  <c r="AB475" i="1"/>
  <c r="AK475" i="1" s="1"/>
  <c r="AD499" i="1"/>
  <c r="AM499" i="1" s="1"/>
  <c r="AC499" i="1"/>
  <c r="AL499" i="1" s="1"/>
  <c r="AB153" i="1"/>
  <c r="AK153" i="1" s="1"/>
  <c r="AP153" i="1"/>
  <c r="AQ153" i="1" s="1"/>
  <c r="AR153" i="1" s="1"/>
  <c r="AS153" i="1" s="1"/>
  <c r="AT153" i="1" s="1"/>
  <c r="AP137" i="1"/>
  <c r="AQ137" i="1" s="1"/>
  <c r="AR137" i="1" s="1"/>
  <c r="AS137" i="1" s="1"/>
  <c r="AT137" i="1" s="1"/>
  <c r="AB137" i="1"/>
  <c r="AK137" i="1" s="1"/>
  <c r="AB105" i="1"/>
  <c r="AK105" i="1" s="1"/>
  <c r="AP105" i="1"/>
  <c r="Z326" i="1"/>
  <c r="AI326" i="1" s="1"/>
  <c r="AD326" i="1"/>
  <c r="AM326" i="1" s="1"/>
  <c r="AC326" i="1"/>
  <c r="AL326" i="1" s="1"/>
  <c r="AB326" i="1"/>
  <c r="AK326" i="1" s="1"/>
  <c r="AP168" i="1"/>
  <c r="AQ168" i="1" s="1"/>
  <c r="AR168" i="1" s="1"/>
  <c r="AS168" i="1" s="1"/>
  <c r="AT168" i="1" s="1"/>
  <c r="AB152" i="1"/>
  <c r="AK152" i="1" s="1"/>
  <c r="AP136" i="1"/>
  <c r="AQ136" i="1" s="1"/>
  <c r="AR136" i="1" s="1"/>
  <c r="AS136" i="1" s="1"/>
  <c r="AT136" i="1" s="1"/>
  <c r="AP143" i="1"/>
  <c r="AU143" i="1" s="1"/>
  <c r="AB143" i="1"/>
  <c r="AK143" i="1" s="1"/>
  <c r="AP662" i="1"/>
  <c r="AQ662" i="1" s="1"/>
  <c r="AR662" i="1" s="1"/>
  <c r="AS662" i="1" s="1"/>
  <c r="AT662" i="1" s="1"/>
  <c r="AP391" i="1"/>
  <c r="AB615" i="1"/>
  <c r="AK615" i="1" s="1"/>
  <c r="Z244" i="1"/>
  <c r="AI244" i="1" s="1"/>
  <c r="AE173" i="1"/>
  <c r="AN173" i="1" s="1"/>
  <c r="AU541" i="1"/>
  <c r="AC575" i="1"/>
  <c r="AL575" i="1" s="1"/>
  <c r="AA491" i="1"/>
  <c r="AJ491" i="1" s="1"/>
  <c r="AD244" i="1"/>
  <c r="AM244" i="1" s="1"/>
  <c r="Z614" i="1"/>
  <c r="AI614" i="1" s="1"/>
  <c r="AB662" i="1"/>
  <c r="AK662" i="1" s="1"/>
  <c r="AE508" i="1"/>
  <c r="AN508" i="1" s="1"/>
  <c r="AP507" i="1"/>
  <c r="Z418" i="1"/>
  <c r="AI418" i="1" s="1"/>
  <c r="AC173" i="1"/>
  <c r="AL173" i="1" s="1"/>
  <c r="Z433" i="1"/>
  <c r="AI433" i="1" s="1"/>
  <c r="AB230" i="1"/>
  <c r="AK230" i="1" s="1"/>
  <c r="AD296" i="1"/>
  <c r="AM296" i="1" s="1"/>
  <c r="AP640" i="1"/>
  <c r="AQ640" i="1" s="1"/>
  <c r="AR640" i="1" s="1"/>
  <c r="AS640" i="1" s="1"/>
  <c r="AT640" i="1" s="1"/>
  <c r="AB269" i="1"/>
  <c r="AK269" i="1" s="1"/>
  <c r="AA401" i="1"/>
  <c r="AJ401" i="1" s="1"/>
  <c r="AE324" i="1"/>
  <c r="AN324" i="1" s="1"/>
  <c r="AC269" i="1"/>
  <c r="AL269" i="1" s="1"/>
  <c r="Z441" i="1"/>
  <c r="AI441" i="1" s="1"/>
  <c r="AD629" i="1"/>
  <c r="AM629" i="1" s="1"/>
  <c r="AC565" i="1"/>
  <c r="AL565" i="1" s="1"/>
  <c r="AD561" i="1"/>
  <c r="AM561" i="1" s="1"/>
  <c r="AA151" i="1"/>
  <c r="AJ151" i="1" s="1"/>
  <c r="AB69" i="1"/>
  <c r="AK69" i="1" s="1"/>
  <c r="AP359" i="1"/>
  <c r="AU359" i="1" s="1"/>
  <c r="Z90" i="1"/>
  <c r="AI90" i="1" s="1"/>
  <c r="AD269" i="1"/>
  <c r="AM269" i="1" s="1"/>
  <c r="AP110" i="1"/>
  <c r="AQ110" i="1" s="1"/>
  <c r="AR110" i="1" s="1"/>
  <c r="AS110" i="1" s="1"/>
  <c r="AT110" i="1" s="1"/>
  <c r="AP111" i="1"/>
  <c r="AU111" i="1" s="1"/>
  <c r="AD205" i="1"/>
  <c r="AM205" i="1" s="1"/>
  <c r="Z205" i="1"/>
  <c r="AI205" i="1" s="1"/>
  <c r="AB205" i="1"/>
  <c r="AK205" i="1" s="1"/>
  <c r="AD81" i="1"/>
  <c r="AM81" i="1" s="1"/>
  <c r="Z81" i="1"/>
  <c r="AI81" i="1" s="1"/>
  <c r="AB268" i="1"/>
  <c r="AK268" i="1" s="1"/>
  <c r="AP268" i="1"/>
  <c r="AQ268" i="1" s="1"/>
  <c r="AR268" i="1" s="1"/>
  <c r="AS268" i="1" s="1"/>
  <c r="AT268" i="1" s="1"/>
  <c r="AD258" i="1"/>
  <c r="AM258" i="1" s="1"/>
  <c r="AB258" i="1"/>
  <c r="AK258" i="1" s="1"/>
  <c r="Z522" i="1"/>
  <c r="AI522" i="1" s="1"/>
  <c r="AE522" i="1"/>
  <c r="AN522" i="1" s="1"/>
  <c r="AC522" i="1"/>
  <c r="AL522" i="1" s="1"/>
  <c r="AA522" i="1"/>
  <c r="AJ522" i="1" s="1"/>
  <c r="AH499" i="1"/>
  <c r="AB479" i="1"/>
  <c r="AK479" i="1" s="1"/>
  <c r="AA653" i="1"/>
  <c r="AJ653" i="1" s="1"/>
  <c r="AE653" i="1"/>
  <c r="AN653" i="1" s="1"/>
  <c r="Z653" i="1"/>
  <c r="AI653" i="1" s="1"/>
  <c r="AB653" i="1"/>
  <c r="AK653" i="1" s="1"/>
  <c r="AA642" i="1"/>
  <c r="AJ642" i="1" s="1"/>
  <c r="AC642" i="1"/>
  <c r="AL642" i="1" s="1"/>
  <c r="AB642" i="1"/>
  <c r="AK642" i="1" s="1"/>
  <c r="Z485" i="1"/>
  <c r="AI485" i="1" s="1"/>
  <c r="AH490" i="1"/>
  <c r="AB313" i="1"/>
  <c r="AK313" i="1" s="1"/>
  <c r="AD565" i="1"/>
  <c r="AM565" i="1" s="1"/>
  <c r="AA604" i="1"/>
  <c r="AJ604" i="1" s="1"/>
  <c r="AP430" i="1"/>
  <c r="AA539" i="1"/>
  <c r="AJ539" i="1" s="1"/>
  <c r="Z569" i="1"/>
  <c r="AI569" i="1" s="1"/>
  <c r="AP447" i="1"/>
  <c r="AQ447" i="1" s="1"/>
  <c r="AR447" i="1" s="1"/>
  <c r="AS447" i="1" s="1"/>
  <c r="AT447" i="1" s="1"/>
  <c r="AC418" i="1"/>
  <c r="AL418" i="1" s="1"/>
  <c r="AE177" i="1"/>
  <c r="AN177" i="1" s="1"/>
  <c r="AE480" i="1"/>
  <c r="AN480" i="1" s="1"/>
  <c r="AE69" i="1"/>
  <c r="AN69" i="1" s="1"/>
  <c r="AA230" i="1"/>
  <c r="AJ230" i="1" s="1"/>
  <c r="AE423" i="1"/>
  <c r="AN423" i="1" s="1"/>
  <c r="Z491" i="1"/>
  <c r="AI491" i="1" s="1"/>
  <c r="AE558" i="1"/>
  <c r="AN558" i="1" s="1"/>
  <c r="AE569" i="1"/>
  <c r="AN569" i="1" s="1"/>
  <c r="AB233" i="1"/>
  <c r="AK233" i="1" s="1"/>
  <c r="AE652" i="1"/>
  <c r="AN652" i="1" s="1"/>
  <c r="AY652" i="1" s="1"/>
  <c r="AA629" i="1"/>
  <c r="AJ629" i="1" s="1"/>
  <c r="AP571" i="1"/>
  <c r="AU571" i="1" s="1"/>
  <c r="AE568" i="1"/>
  <c r="AN568" i="1" s="1"/>
  <c r="AE182" i="1"/>
  <c r="AN182" i="1" s="1"/>
  <c r="AC219" i="1"/>
  <c r="AL219" i="1" s="1"/>
  <c r="AD219" i="1"/>
  <c r="AM219" i="1" s="1"/>
  <c r="AB219" i="1"/>
  <c r="AK219" i="1" s="1"/>
  <c r="AA219" i="1"/>
  <c r="AJ219" i="1" s="1"/>
  <c r="AD169" i="1"/>
  <c r="AM169" i="1" s="1"/>
  <c r="AB169" i="1"/>
  <c r="AK169" i="1" s="1"/>
  <c r="Z169" i="1"/>
  <c r="AI169" i="1" s="1"/>
  <c r="AB277" i="1"/>
  <c r="AK277" i="1" s="1"/>
  <c r="AP277" i="1"/>
  <c r="AQ277" i="1" s="1"/>
  <c r="AR277" i="1" s="1"/>
  <c r="AS277" i="1" s="1"/>
  <c r="AT277" i="1" s="1"/>
  <c r="AP78" i="1"/>
  <c r="AQ78" i="1" s="1"/>
  <c r="AR78" i="1" s="1"/>
  <c r="AS78" i="1" s="1"/>
  <c r="AT78" i="1" s="1"/>
  <c r="AE78" i="1"/>
  <c r="AN78" i="1" s="1"/>
  <c r="AE195" i="1"/>
  <c r="AN195" i="1" s="1"/>
  <c r="Z195" i="1"/>
  <c r="AI195" i="1" s="1"/>
  <c r="Z130" i="1"/>
  <c r="AI130" i="1" s="1"/>
  <c r="AC130" i="1"/>
  <c r="AL130" i="1" s="1"/>
  <c r="AE272" i="1"/>
  <c r="AN272" i="1" s="1"/>
  <c r="AP272" i="1"/>
  <c r="AQ272" i="1" s="1"/>
  <c r="AR272" i="1" s="1"/>
  <c r="AS272" i="1" s="1"/>
  <c r="AT272" i="1" s="1"/>
  <c r="AA79" i="1"/>
  <c r="AJ79" i="1" s="1"/>
  <c r="AC79" i="1"/>
  <c r="AL79" i="1" s="1"/>
  <c r="AB174" i="1"/>
  <c r="AK174" i="1" s="1"/>
  <c r="Z174" i="1"/>
  <c r="AI174" i="1" s="1"/>
  <c r="AP158" i="1"/>
  <c r="AQ158" i="1" s="1"/>
  <c r="AR158" i="1" s="1"/>
  <c r="AS158" i="1" s="1"/>
  <c r="AT158" i="1" s="1"/>
  <c r="AP621" i="1"/>
  <c r="AQ621" i="1" s="1"/>
  <c r="AR621" i="1" s="1"/>
  <c r="AS621" i="1" s="1"/>
  <c r="AT621" i="1" s="1"/>
  <c r="AE621" i="1"/>
  <c r="AN621" i="1" s="1"/>
  <c r="AP293" i="1"/>
  <c r="AQ293" i="1" s="1"/>
  <c r="AR293" i="1" s="1"/>
  <c r="AS293" i="1" s="1"/>
  <c r="AT293" i="1" s="1"/>
  <c r="AA463" i="1"/>
  <c r="AJ463" i="1" s="1"/>
  <c r="Z463" i="1"/>
  <c r="AI463" i="1" s="1"/>
  <c r="AE497" i="1"/>
  <c r="AN497" i="1" s="1"/>
  <c r="AD497" i="1"/>
  <c r="AM497" i="1" s="1"/>
  <c r="AD570" i="1"/>
  <c r="AM570" i="1" s="1"/>
  <c r="AC570" i="1"/>
  <c r="AL570" i="1" s="1"/>
  <c r="Z570" i="1"/>
  <c r="AI570" i="1" s="1"/>
  <c r="AD378" i="1"/>
  <c r="AM378" i="1" s="1"/>
  <c r="AB482" i="1"/>
  <c r="AK482" i="1" s="1"/>
  <c r="AY328" i="1"/>
  <c r="AD575" i="1"/>
  <c r="AM575" i="1" s="1"/>
  <c r="AB617" i="1"/>
  <c r="AK617" i="1" s="1"/>
  <c r="AP519" i="1"/>
  <c r="AU519" i="1" s="1"/>
  <c r="AD650" i="1"/>
  <c r="AM650" i="1" s="1"/>
  <c r="AC433" i="1"/>
  <c r="AL433" i="1" s="1"/>
  <c r="AB558" i="1"/>
  <c r="AK558" i="1" s="1"/>
  <c r="AC482" i="1"/>
  <c r="AL482" i="1" s="1"/>
  <c r="AC401" i="1"/>
  <c r="AL401" i="1" s="1"/>
  <c r="AA177" i="1"/>
  <c r="AJ177" i="1" s="1"/>
  <c r="AB296" i="1"/>
  <c r="AK296" i="1" s="1"/>
  <c r="AD177" i="1"/>
  <c r="AM177" i="1" s="1"/>
  <c r="AA217" i="1"/>
  <c r="AJ217" i="1" s="1"/>
  <c r="AC558" i="1"/>
  <c r="AL558" i="1" s="1"/>
  <c r="AB177" i="1"/>
  <c r="AK177" i="1" s="1"/>
  <c r="Z68" i="1"/>
  <c r="AI68" i="1" s="1"/>
  <c r="AB247" i="1"/>
  <c r="AK247" i="1" s="1"/>
  <c r="AC256" i="1"/>
  <c r="AL256" i="1" s="1"/>
  <c r="AC450" i="1"/>
  <c r="AL450" i="1" s="1"/>
  <c r="Z629" i="1"/>
  <c r="AI629" i="1" s="1"/>
  <c r="Z217" i="1"/>
  <c r="AI217" i="1" s="1"/>
  <c r="AC441" i="1"/>
  <c r="AL441" i="1" s="1"/>
  <c r="AA173" i="1"/>
  <c r="AJ173" i="1" s="1"/>
  <c r="AA180" i="1"/>
  <c r="AJ180" i="1" s="1"/>
  <c r="AP112" i="1"/>
  <c r="AQ112" i="1" s="1"/>
  <c r="AR112" i="1" s="1"/>
  <c r="AS112" i="1" s="1"/>
  <c r="AT112" i="1" s="1"/>
  <c r="AB235" i="1"/>
  <c r="AK235" i="1" s="1"/>
  <c r="AC235" i="1"/>
  <c r="AL235" i="1" s="1"/>
  <c r="AE129" i="1"/>
  <c r="AN129" i="1" s="1"/>
  <c r="AA129" i="1"/>
  <c r="AJ129" i="1" s="1"/>
  <c r="AC589" i="1"/>
  <c r="AL589" i="1" s="1"/>
  <c r="AA589" i="1"/>
  <c r="AJ589" i="1" s="1"/>
  <c r="Z341" i="1"/>
  <c r="AI341" i="1" s="1"/>
  <c r="AA341" i="1"/>
  <c r="AJ341" i="1" s="1"/>
  <c r="Z225" i="1"/>
  <c r="AI225" i="1" s="1"/>
  <c r="AA225" i="1"/>
  <c r="AJ225" i="1" s="1"/>
  <c r="AC325" i="1"/>
  <c r="AL325" i="1" s="1"/>
  <c r="AB325" i="1"/>
  <c r="AK325" i="1" s="1"/>
  <c r="AC283" i="1"/>
  <c r="AL283" i="1" s="1"/>
  <c r="AE283" i="1"/>
  <c r="AN283" i="1" s="1"/>
  <c r="AA283" i="1"/>
  <c r="AJ283" i="1" s="1"/>
  <c r="AU424" i="1"/>
  <c r="AI320" i="1"/>
  <c r="AE356" i="1"/>
  <c r="AN356" i="1" s="1"/>
  <c r="AD398" i="1"/>
  <c r="AM398" i="1" s="1"/>
  <c r="AP96" i="1"/>
  <c r="AQ96" i="1" s="1"/>
  <c r="AR96" i="1" s="1"/>
  <c r="AS96" i="1" s="1"/>
  <c r="AT96" i="1" s="1"/>
  <c r="AD114" i="1"/>
  <c r="AM114" i="1" s="1"/>
  <c r="AP113" i="1"/>
  <c r="AQ113" i="1" s="1"/>
  <c r="AR113" i="1" s="1"/>
  <c r="AS113" i="1" s="1"/>
  <c r="AT113" i="1" s="1"/>
  <c r="AP97" i="1"/>
  <c r="AU97" i="1" s="1"/>
  <c r="Z223" i="1"/>
  <c r="AI223" i="1" s="1"/>
  <c r="AD192" i="1"/>
  <c r="AM192" i="1" s="1"/>
  <c r="AU117" i="1"/>
  <c r="AE242" i="1"/>
  <c r="AN242" i="1" s="1"/>
  <c r="AE264" i="1"/>
  <c r="AN264" i="1" s="1"/>
  <c r="AE216" i="1"/>
  <c r="AN216" i="1" s="1"/>
  <c r="AE91" i="1"/>
  <c r="AN91" i="1" s="1"/>
  <c r="AD88" i="1"/>
  <c r="AM88" i="1" s="1"/>
  <c r="AB96" i="1"/>
  <c r="AK96" i="1" s="1"/>
  <c r="AD363" i="1"/>
  <c r="AM363" i="1" s="1"/>
  <c r="AE605" i="1"/>
  <c r="AN605" i="1" s="1"/>
  <c r="AP221" i="1"/>
  <c r="AQ221" i="1" s="1"/>
  <c r="AR221" i="1" s="1"/>
  <c r="AS221" i="1" s="1"/>
  <c r="AT221" i="1" s="1"/>
  <c r="AJ339" i="1"/>
  <c r="AY576" i="1"/>
  <c r="AZ576" i="1" s="1"/>
  <c r="Z294" i="1"/>
  <c r="AI294" i="1" s="1"/>
  <c r="AH297" i="1"/>
  <c r="AD284" i="1"/>
  <c r="AM284" i="1" s="1"/>
  <c r="AA284" i="1"/>
  <c r="AJ284" i="1" s="1"/>
  <c r="AA333" i="1"/>
  <c r="AJ333" i="1" s="1"/>
  <c r="AB333" i="1"/>
  <c r="AK333" i="1" s="1"/>
  <c r="AE256" i="1"/>
  <c r="AN256" i="1" s="1"/>
  <c r="Z367" i="1"/>
  <c r="AI367" i="1" s="1"/>
  <c r="AB623" i="1"/>
  <c r="AK623" i="1" s="1"/>
  <c r="AP494" i="1"/>
  <c r="AA423" i="1"/>
  <c r="AJ423" i="1" s="1"/>
  <c r="Z571" i="1"/>
  <c r="AI571" i="1" s="1"/>
  <c r="AU599" i="1"/>
  <c r="AQ599" i="1"/>
  <c r="AR599" i="1" s="1"/>
  <c r="AS599" i="1" s="1"/>
  <c r="AT599" i="1" s="1"/>
  <c r="AD127" i="1"/>
  <c r="AM127" i="1" s="1"/>
  <c r="AB127" i="1"/>
  <c r="AK127" i="1" s="1"/>
  <c r="Z282" i="1"/>
  <c r="AI282" i="1" s="1"/>
  <c r="AE282" i="1"/>
  <c r="AN282" i="1" s="1"/>
  <c r="AP124" i="1"/>
  <c r="AQ124" i="1" s="1"/>
  <c r="AR124" i="1" s="1"/>
  <c r="AS124" i="1" s="1"/>
  <c r="AT124" i="1" s="1"/>
  <c r="Z593" i="1"/>
  <c r="AI593" i="1" s="1"/>
  <c r="AC593" i="1"/>
  <c r="AL593" i="1" s="1"/>
  <c r="AA267" i="1"/>
  <c r="AJ267" i="1" s="1"/>
  <c r="AD267" i="1"/>
  <c r="AM267" i="1" s="1"/>
  <c r="AE267" i="1"/>
  <c r="AN267" i="1" s="1"/>
  <c r="AC478" i="1"/>
  <c r="AL478" i="1" s="1"/>
  <c r="AE478" i="1"/>
  <c r="AN478" i="1" s="1"/>
  <c r="AI437" i="1"/>
  <c r="AR218" i="1"/>
  <c r="AS218" i="1" s="1"/>
  <c r="AT218" i="1" s="1"/>
  <c r="AP142" i="1"/>
  <c r="AQ142" i="1" s="1"/>
  <c r="AR142" i="1" s="1"/>
  <c r="AS142" i="1" s="1"/>
  <c r="AT142" i="1" s="1"/>
  <c r="AP93" i="1"/>
  <c r="AQ93" i="1" s="1"/>
  <c r="AR93" i="1" s="1"/>
  <c r="AS93" i="1" s="1"/>
  <c r="AT93" i="1" s="1"/>
  <c r="AP554" i="1"/>
  <c r="AQ554" i="1" s="1"/>
  <c r="AR554" i="1" s="1"/>
  <c r="AS554" i="1" s="1"/>
  <c r="AT554" i="1" s="1"/>
  <c r="AD645" i="1"/>
  <c r="AM645" i="1" s="1"/>
  <c r="AP653" i="1"/>
  <c r="AQ653" i="1" s="1"/>
  <c r="AR653" i="1" s="1"/>
  <c r="AS653" i="1" s="1"/>
  <c r="AT653" i="1" s="1"/>
  <c r="AP628" i="1"/>
  <c r="AP637" i="1"/>
  <c r="AU637" i="1" s="1"/>
  <c r="Z423" i="1"/>
  <c r="AI423" i="1" s="1"/>
  <c r="AD200" i="1"/>
  <c r="AM200" i="1" s="1"/>
  <c r="Z268" i="1"/>
  <c r="AI268" i="1" s="1"/>
  <c r="AP323" i="1"/>
  <c r="AQ323" i="1" s="1"/>
  <c r="AR323" i="1" s="1"/>
  <c r="AS323" i="1" s="1"/>
  <c r="AT323" i="1" s="1"/>
  <c r="AA266" i="1"/>
  <c r="AJ266" i="1" s="1"/>
  <c r="AD569" i="1"/>
  <c r="AM569" i="1" s="1"/>
  <c r="AD274" i="1"/>
  <c r="AM274" i="1" s="1"/>
  <c r="AP269" i="1"/>
  <c r="AQ269" i="1" s="1"/>
  <c r="AR269" i="1" s="1"/>
  <c r="AS269" i="1" s="1"/>
  <c r="AT269" i="1" s="1"/>
  <c r="AD123" i="1"/>
  <c r="AM123" i="1" s="1"/>
  <c r="AD217" i="1"/>
  <c r="AM217" i="1" s="1"/>
  <c r="AE145" i="1"/>
  <c r="AN145" i="1" s="1"/>
  <c r="AA215" i="1"/>
  <c r="AJ215" i="1" s="1"/>
  <c r="AA183" i="1"/>
  <c r="AJ183" i="1" s="1"/>
  <c r="AP144" i="1"/>
  <c r="AQ144" i="1" s="1"/>
  <c r="AR144" i="1" s="1"/>
  <c r="AS144" i="1" s="1"/>
  <c r="AT144" i="1" s="1"/>
  <c r="AE271" i="1"/>
  <c r="AN271" i="1" s="1"/>
  <c r="AB217" i="1"/>
  <c r="AK217" i="1" s="1"/>
  <c r="AB187" i="1"/>
  <c r="AK187" i="1" s="1"/>
  <c r="AA121" i="1"/>
  <c r="AJ121" i="1" s="1"/>
  <c r="AJ250" i="1"/>
  <c r="Z256" i="1"/>
  <c r="AI256" i="1" s="1"/>
  <c r="AP300" i="1"/>
  <c r="AE130" i="1"/>
  <c r="AN130" i="1" s="1"/>
  <c r="AD161" i="1"/>
  <c r="AM161" i="1" s="1"/>
  <c r="AP109" i="1"/>
  <c r="AA87" i="1"/>
  <c r="AJ87" i="1" s="1"/>
  <c r="AE200" i="1"/>
  <c r="AN200" i="1" s="1"/>
  <c r="AE160" i="1"/>
  <c r="AN160" i="1" s="1"/>
  <c r="AE122" i="1"/>
  <c r="AN122" i="1" s="1"/>
  <c r="AA106" i="1"/>
  <c r="AJ106" i="1" s="1"/>
  <c r="AA76" i="1"/>
  <c r="AJ76" i="1" s="1"/>
  <c r="AE244" i="1"/>
  <c r="AN244" i="1" s="1"/>
  <c r="AD206" i="1"/>
  <c r="AM206" i="1" s="1"/>
  <c r="AP251" i="1"/>
  <c r="AD87" i="1"/>
  <c r="AM87" i="1" s="1"/>
  <c r="AP68" i="1"/>
  <c r="AQ68" i="1" s="1"/>
  <c r="AR68" i="1" s="1"/>
  <c r="AS68" i="1" s="1"/>
  <c r="AT68" i="1" s="1"/>
  <c r="AA68" i="1"/>
  <c r="AJ68" i="1" s="1"/>
  <c r="AP274" i="1"/>
  <c r="AU274" i="1" s="1"/>
  <c r="AB337" i="1"/>
  <c r="AK337" i="1" s="1"/>
  <c r="AP620" i="1"/>
  <c r="AQ620" i="1" s="1"/>
  <c r="AR620" i="1" s="1"/>
  <c r="AS620" i="1" s="1"/>
  <c r="AT620" i="1" s="1"/>
  <c r="AP181" i="1"/>
  <c r="AP149" i="1"/>
  <c r="AU149" i="1" s="1"/>
  <c r="AB133" i="1"/>
  <c r="AK133" i="1" s="1"/>
  <c r="AB85" i="1"/>
  <c r="AK85" i="1" s="1"/>
  <c r="AD595" i="1"/>
  <c r="AM595" i="1" s="1"/>
  <c r="AP319" i="1"/>
  <c r="AP91" i="1"/>
  <c r="AQ91" i="1" s="1"/>
  <c r="AR91" i="1" s="1"/>
  <c r="AS91" i="1" s="1"/>
  <c r="AT91" i="1" s="1"/>
  <c r="AP99" i="1"/>
  <c r="AQ99" i="1" s="1"/>
  <c r="AR99" i="1" s="1"/>
  <c r="AS99" i="1" s="1"/>
  <c r="AT99" i="1" s="1"/>
  <c r="Z530" i="1"/>
  <c r="AI530" i="1" s="1"/>
  <c r="AJ276" i="1"/>
  <c r="AD324" i="1"/>
  <c r="AM324" i="1" s="1"/>
  <c r="Z241" i="1"/>
  <c r="AI241" i="1" s="1"/>
  <c r="AD225" i="1"/>
  <c r="AM225" i="1" s="1"/>
  <c r="Z260" i="1"/>
  <c r="AI260" i="1" s="1"/>
  <c r="AD306" i="1"/>
  <c r="AM306" i="1" s="1"/>
  <c r="AE312" i="1"/>
  <c r="AN312" i="1" s="1"/>
  <c r="AR496" i="1"/>
  <c r="AS496" i="1" s="1"/>
  <c r="AT496" i="1" s="1"/>
  <c r="AP388" i="1"/>
  <c r="AU388" i="1" s="1"/>
  <c r="AA338" i="1"/>
  <c r="AJ338" i="1" s="1"/>
  <c r="AD338" i="1"/>
  <c r="AM338" i="1" s="1"/>
  <c r="AR343" i="1"/>
  <c r="AS343" i="1" s="1"/>
  <c r="AT343" i="1" s="1"/>
  <c r="AJ659" i="1"/>
  <c r="AE392" i="1"/>
  <c r="AN392" i="1" s="1"/>
  <c r="AA471" i="1"/>
  <c r="AJ471" i="1" s="1"/>
  <c r="AP625" i="1"/>
  <c r="AP645" i="1"/>
  <c r="AU645" i="1" s="1"/>
  <c r="AP572" i="1"/>
  <c r="AQ572" i="1" s="1"/>
  <c r="AR572" i="1" s="1"/>
  <c r="AS572" i="1" s="1"/>
  <c r="AT572" i="1" s="1"/>
  <c r="AA651" i="1"/>
  <c r="AJ651" i="1" s="1"/>
  <c r="AP644" i="1"/>
  <c r="AU644" i="1" s="1"/>
  <c r="AP665" i="1"/>
  <c r="AQ665" i="1" s="1"/>
  <c r="AR665" i="1" s="1"/>
  <c r="AS665" i="1" s="1"/>
  <c r="AT665" i="1" s="1"/>
  <c r="AP648" i="1"/>
  <c r="AU648" i="1" s="1"/>
  <c r="AU664" i="1"/>
  <c r="AE551" i="1"/>
  <c r="AN551" i="1" s="1"/>
  <c r="AD418" i="1"/>
  <c r="AM418" i="1" s="1"/>
  <c r="AP442" i="1"/>
  <c r="AU442" i="1" s="1"/>
  <c r="AB542" i="1"/>
  <c r="AK542" i="1" s="1"/>
  <c r="Z619" i="1"/>
  <c r="AI619" i="1" s="1"/>
  <c r="AP520" i="1"/>
  <c r="AI303" i="1"/>
  <c r="Z300" i="1"/>
  <c r="AI300" i="1" s="1"/>
  <c r="AA316" i="1"/>
  <c r="AJ316" i="1" s="1"/>
  <c r="AD256" i="1"/>
  <c r="AM256" i="1" s="1"/>
  <c r="AI234" i="1"/>
  <c r="Z86" i="1"/>
  <c r="AI86" i="1" s="1"/>
  <c r="AP211" i="1"/>
  <c r="AU211" i="1" s="1"/>
  <c r="AA182" i="1"/>
  <c r="AJ182" i="1" s="1"/>
  <c r="AE266" i="1"/>
  <c r="AN266" i="1" s="1"/>
  <c r="Z407" i="1"/>
  <c r="AI407" i="1" s="1"/>
  <c r="AD480" i="1"/>
  <c r="AM480" i="1" s="1"/>
  <c r="Z498" i="1"/>
  <c r="AI498" i="1" s="1"/>
  <c r="Z535" i="1"/>
  <c r="AI535" i="1" s="1"/>
  <c r="AD658" i="1"/>
  <c r="AM658" i="1" s="1"/>
  <c r="AA553" i="1"/>
  <c r="AJ553" i="1" s="1"/>
  <c r="Z626" i="1"/>
  <c r="AI626" i="1" s="1"/>
  <c r="AE632" i="1"/>
  <c r="AN632" i="1" s="1"/>
  <c r="AB497" i="1"/>
  <c r="AK497" i="1" s="1"/>
  <c r="AA476" i="1"/>
  <c r="AJ476" i="1" s="1"/>
  <c r="AP501" i="1"/>
  <c r="AU501" i="1" s="1"/>
  <c r="AP659" i="1"/>
  <c r="AB546" i="1"/>
  <c r="AK546" i="1" s="1"/>
  <c r="AA543" i="1"/>
  <c r="AJ543" i="1" s="1"/>
  <c r="AA444" i="1"/>
  <c r="AJ444" i="1" s="1"/>
  <c r="AP292" i="1"/>
  <c r="AB567" i="1"/>
  <c r="AK567" i="1" s="1"/>
  <c r="AP432" i="1"/>
  <c r="AA498" i="1"/>
  <c r="AJ498" i="1" s="1"/>
  <c r="AP604" i="1"/>
  <c r="AQ604" i="1" s="1"/>
  <c r="AR604" i="1" s="1"/>
  <c r="AS604" i="1" s="1"/>
  <c r="AT604" i="1" s="1"/>
  <c r="AE460" i="1"/>
  <c r="AN460" i="1" s="1"/>
  <c r="AY460" i="1" s="1"/>
  <c r="AZ460" i="1" s="1"/>
  <c r="AB254" i="1"/>
  <c r="AK254" i="1" s="1"/>
  <c r="AD357" i="1"/>
  <c r="AM357" i="1" s="1"/>
  <c r="AD431" i="1"/>
  <c r="AM431" i="1" s="1"/>
  <c r="AD509" i="1"/>
  <c r="AM509" i="1" s="1"/>
  <c r="AA428" i="1"/>
  <c r="AJ428" i="1" s="1"/>
  <c r="AD446" i="1"/>
  <c r="AM446" i="1" s="1"/>
  <c r="AP397" i="1"/>
  <c r="AE609" i="1"/>
  <c r="AN609" i="1" s="1"/>
  <c r="AE310" i="1"/>
  <c r="AN310" i="1" s="1"/>
  <c r="AP234" i="1"/>
  <c r="AQ234" i="1" s="1"/>
  <c r="AR234" i="1" s="1"/>
  <c r="AS234" i="1" s="1"/>
  <c r="AT234" i="1" s="1"/>
  <c r="Z431" i="1"/>
  <c r="AI431" i="1" s="1"/>
  <c r="AP202" i="1"/>
  <c r="AQ202" i="1" s="1"/>
  <c r="AR202" i="1" s="1"/>
  <c r="AS202" i="1" s="1"/>
  <c r="AT202" i="1" s="1"/>
  <c r="AA311" i="1"/>
  <c r="AJ311" i="1" s="1"/>
  <c r="AB314" i="1"/>
  <c r="AK314" i="1" s="1"/>
  <c r="AE595" i="1"/>
  <c r="AN595" i="1" s="1"/>
  <c r="AE431" i="1"/>
  <c r="AN431" i="1" s="1"/>
  <c r="AP420" i="1"/>
  <c r="AQ420" i="1" s="1"/>
  <c r="AR420" i="1" s="1"/>
  <c r="AS420" i="1" s="1"/>
  <c r="AT420" i="1" s="1"/>
  <c r="AB499" i="1"/>
  <c r="AK499" i="1" s="1"/>
  <c r="AP611" i="1"/>
  <c r="AP275" i="1"/>
  <c r="AB318" i="1"/>
  <c r="AK318" i="1" s="1"/>
  <c r="AD340" i="1"/>
  <c r="AM340" i="1" s="1"/>
  <c r="AB106" i="1"/>
  <c r="AK106" i="1" s="1"/>
  <c r="AE217" i="1"/>
  <c r="AN217" i="1" s="1"/>
  <c r="AA464" i="1"/>
  <c r="AJ464" i="1" s="1"/>
  <c r="AP591" i="1"/>
  <c r="AQ591" i="1" s="1"/>
  <c r="AR591" i="1" s="1"/>
  <c r="AS591" i="1" s="1"/>
  <c r="AT591" i="1" s="1"/>
  <c r="AD468" i="1"/>
  <c r="AM468" i="1" s="1"/>
  <c r="AP347" i="1"/>
  <c r="AQ347" i="1" s="1"/>
  <c r="AR347" i="1" s="1"/>
  <c r="AS347" i="1" s="1"/>
  <c r="AT347" i="1" s="1"/>
  <c r="AE284" i="1"/>
  <c r="AN284" i="1" s="1"/>
  <c r="Z519" i="1"/>
  <c r="AI519" i="1" s="1"/>
  <c r="AE443" i="1"/>
  <c r="AN443" i="1" s="1"/>
  <c r="AA431" i="1"/>
  <c r="AJ431" i="1" s="1"/>
  <c r="Z595" i="1"/>
  <c r="AI595" i="1" s="1"/>
  <c r="AA412" i="1"/>
  <c r="AJ412" i="1" s="1"/>
  <c r="AE358" i="1"/>
  <c r="AN358" i="1" s="1"/>
  <c r="Z378" i="1"/>
  <c r="AI378" i="1" s="1"/>
  <c r="Z348" i="1"/>
  <c r="AI348" i="1" s="1"/>
  <c r="AD534" i="1"/>
  <c r="AM534" i="1" s="1"/>
  <c r="AE517" i="1"/>
  <c r="AN517" i="1" s="1"/>
  <c r="AD511" i="1"/>
  <c r="AM511" i="1" s="1"/>
  <c r="AP329" i="1"/>
  <c r="Z233" i="1"/>
  <c r="AI233" i="1" s="1"/>
  <c r="AA131" i="1"/>
  <c r="AJ131" i="1" s="1"/>
  <c r="AU174" i="1"/>
  <c r="AQ174" i="1"/>
  <c r="AR174" i="1" s="1"/>
  <c r="AS174" i="1" s="1"/>
  <c r="AT174" i="1" s="1"/>
  <c r="AU402" i="1"/>
  <c r="AQ402" i="1"/>
  <c r="AR402" i="1" s="1"/>
  <c r="AS402" i="1" s="1"/>
  <c r="AT402" i="1" s="1"/>
  <c r="AH334" i="1"/>
  <c r="AE100" i="1"/>
  <c r="AN100" i="1" s="1"/>
  <c r="AD100" i="1"/>
  <c r="AM100" i="1" s="1"/>
  <c r="Z168" i="1"/>
  <c r="AI168" i="1" s="1"/>
  <c r="AC168" i="1"/>
  <c r="AL168" i="1" s="1"/>
  <c r="AB168" i="1"/>
  <c r="AK168" i="1" s="1"/>
  <c r="AC280" i="1"/>
  <c r="AL280" i="1" s="1"/>
  <c r="Z280" i="1"/>
  <c r="AI280" i="1" s="1"/>
  <c r="Z368" i="1"/>
  <c r="AI368" i="1" s="1"/>
  <c r="AC368" i="1"/>
  <c r="AL368" i="1" s="1"/>
  <c r="AP559" i="1"/>
  <c r="AE559" i="1"/>
  <c r="AN559" i="1" s="1"/>
  <c r="AD265" i="1"/>
  <c r="AM265" i="1" s="1"/>
  <c r="AA265" i="1"/>
  <c r="AJ265" i="1" s="1"/>
  <c r="AB88" i="1"/>
  <c r="AK88" i="1" s="1"/>
  <c r="AE88" i="1"/>
  <c r="AN88" i="1" s="1"/>
  <c r="AC513" i="1"/>
  <c r="AL513" i="1" s="1"/>
  <c r="AD513" i="1"/>
  <c r="AM513" i="1" s="1"/>
  <c r="AH401" i="1"/>
  <c r="AC496" i="1"/>
  <c r="AL496" i="1" s="1"/>
  <c r="AB496" i="1"/>
  <c r="AK496" i="1" s="1"/>
  <c r="AE496" i="1"/>
  <c r="AN496" i="1" s="1"/>
  <c r="AA496" i="1"/>
  <c r="AJ496" i="1" s="1"/>
  <c r="AC157" i="1"/>
  <c r="AL157" i="1" s="1"/>
  <c r="AA157" i="1"/>
  <c r="AJ157" i="1" s="1"/>
  <c r="AU609" i="1"/>
  <c r="AQ609" i="1"/>
  <c r="AR609" i="1" s="1"/>
  <c r="AS609" i="1" s="1"/>
  <c r="AT609" i="1" s="1"/>
  <c r="AE119" i="1"/>
  <c r="AN119" i="1" s="1"/>
  <c r="AA119" i="1"/>
  <c r="AJ119" i="1" s="1"/>
  <c r="AE105" i="1"/>
  <c r="AN105" i="1" s="1"/>
  <c r="AC105" i="1"/>
  <c r="AL105" i="1" s="1"/>
  <c r="Z105" i="1"/>
  <c r="AI105" i="1" s="1"/>
  <c r="AA211" i="1"/>
  <c r="AJ211" i="1" s="1"/>
  <c r="Z211" i="1"/>
  <c r="AI211" i="1" s="1"/>
  <c r="AA251" i="1"/>
  <c r="AJ251" i="1" s="1"/>
  <c r="AE251" i="1"/>
  <c r="AN251" i="1" s="1"/>
  <c r="AC165" i="1"/>
  <c r="AL165" i="1" s="1"/>
  <c r="AD165" i="1"/>
  <c r="AM165" i="1" s="1"/>
  <c r="AC664" i="1"/>
  <c r="AL664" i="1" s="1"/>
  <c r="AB664" i="1"/>
  <c r="AK664" i="1" s="1"/>
  <c r="AD664" i="1"/>
  <c r="AM664" i="1" s="1"/>
  <c r="AB132" i="1"/>
  <c r="AK132" i="1" s="1"/>
  <c r="AP132" i="1"/>
  <c r="AQ132" i="1" s="1"/>
  <c r="AR132" i="1" s="1"/>
  <c r="AS132" i="1" s="1"/>
  <c r="AT132" i="1" s="1"/>
  <c r="AE400" i="1"/>
  <c r="AN400" i="1" s="1"/>
  <c r="AC400" i="1"/>
  <c r="AL400" i="1" s="1"/>
  <c r="AB400" i="1"/>
  <c r="AK400" i="1" s="1"/>
  <c r="AD400" i="1"/>
  <c r="AM400" i="1" s="1"/>
  <c r="AB329" i="1"/>
  <c r="AK329" i="1" s="1"/>
  <c r="AC329" i="1"/>
  <c r="AL329" i="1" s="1"/>
  <c r="AA396" i="1"/>
  <c r="AJ396" i="1" s="1"/>
  <c r="AB396" i="1"/>
  <c r="AK396" i="1" s="1"/>
  <c r="AB610" i="1"/>
  <c r="AK610" i="1" s="1"/>
  <c r="AA610" i="1"/>
  <c r="AJ610" i="1" s="1"/>
  <c r="Z453" i="1"/>
  <c r="AI453" i="1" s="1"/>
  <c r="AD453" i="1"/>
  <c r="AM453" i="1" s="1"/>
  <c r="Z611" i="1"/>
  <c r="AI611" i="1" s="1"/>
  <c r="AE611" i="1"/>
  <c r="AN611" i="1" s="1"/>
  <c r="Z355" i="1"/>
  <c r="AI355" i="1" s="1"/>
  <c r="AC355" i="1"/>
  <c r="AL355" i="1" s="1"/>
  <c r="AD355" i="1"/>
  <c r="AM355" i="1" s="1"/>
  <c r="Z336" i="1"/>
  <c r="AI336" i="1" s="1"/>
  <c r="AD336" i="1"/>
  <c r="AM336" i="1" s="1"/>
  <c r="AD597" i="1"/>
  <c r="AM597" i="1" s="1"/>
  <c r="AA597" i="1"/>
  <c r="AJ597" i="1" s="1"/>
  <c r="AB237" i="1"/>
  <c r="AK237" i="1" s="1"/>
  <c r="Z237" i="1"/>
  <c r="AI237" i="1" s="1"/>
  <c r="AC299" i="1"/>
  <c r="AL299" i="1" s="1"/>
  <c r="AB299" i="1"/>
  <c r="AK299" i="1" s="1"/>
  <c r="AA232" i="1"/>
  <c r="AJ232" i="1" s="1"/>
  <c r="AC232" i="1"/>
  <c r="AL232" i="1" s="1"/>
  <c r="AH252" i="1"/>
  <c r="AC70" i="1"/>
  <c r="AL70" i="1" s="1"/>
  <c r="AD70" i="1"/>
  <c r="AM70" i="1" s="1"/>
  <c r="AD466" i="1"/>
  <c r="AM466" i="1" s="1"/>
  <c r="AB466" i="1"/>
  <c r="AK466" i="1" s="1"/>
  <c r="AE644" i="1"/>
  <c r="AN644" i="1" s="1"/>
  <c r="Z644" i="1"/>
  <c r="AI644" i="1" s="1"/>
  <c r="AB439" i="1"/>
  <c r="AK439" i="1" s="1"/>
  <c r="Z439" i="1"/>
  <c r="AI439" i="1" s="1"/>
  <c r="Z503" i="1"/>
  <c r="AI503" i="1" s="1"/>
  <c r="AA503" i="1"/>
  <c r="AJ503" i="1" s="1"/>
  <c r="AD549" i="1"/>
  <c r="AM549" i="1" s="1"/>
  <c r="AE549" i="1"/>
  <c r="AN549" i="1" s="1"/>
  <c r="AH619" i="1"/>
  <c r="AP543" i="1"/>
  <c r="AE543" i="1"/>
  <c r="AN543" i="1" s="1"/>
  <c r="AE473" i="1"/>
  <c r="AN473" i="1" s="1"/>
  <c r="AB473" i="1"/>
  <c r="AK473" i="1" s="1"/>
  <c r="AB526" i="1"/>
  <c r="AK526" i="1" s="1"/>
  <c r="Z526" i="1"/>
  <c r="AI526" i="1" s="1"/>
  <c r="AE526" i="1"/>
  <c r="AN526" i="1" s="1"/>
  <c r="AA83" i="1"/>
  <c r="AJ83" i="1" s="1"/>
  <c r="AA168" i="1"/>
  <c r="AJ168" i="1" s="1"/>
  <c r="AD151" i="1"/>
  <c r="AM151" i="1" s="1"/>
  <c r="AD164" i="1"/>
  <c r="AM164" i="1" s="1"/>
  <c r="AE172" i="1"/>
  <c r="AN172" i="1" s="1"/>
  <c r="AD168" i="1"/>
  <c r="AM168" i="1" s="1"/>
  <c r="Z83" i="1"/>
  <c r="AI83" i="1" s="1"/>
  <c r="AP458" i="1"/>
  <c r="AA650" i="1"/>
  <c r="AJ650" i="1" s="1"/>
  <c r="AA236" i="1"/>
  <c r="AJ236" i="1" s="1"/>
  <c r="AP477" i="1"/>
  <c r="AQ477" i="1" s="1"/>
  <c r="AR477" i="1" s="1"/>
  <c r="AS477" i="1" s="1"/>
  <c r="AT477" i="1" s="1"/>
  <c r="AE402" i="1"/>
  <c r="AN402" i="1" s="1"/>
  <c r="AC650" i="1"/>
  <c r="AL650" i="1" s="1"/>
  <c r="AB556" i="1"/>
  <c r="AK556" i="1" s="1"/>
  <c r="Z339" i="1"/>
  <c r="AI339" i="1" s="1"/>
  <c r="AC500" i="1"/>
  <c r="AL500" i="1" s="1"/>
  <c r="Z605" i="1"/>
  <c r="AI605" i="1" s="1"/>
  <c r="AB638" i="1"/>
  <c r="AK638" i="1" s="1"/>
  <c r="AD172" i="1"/>
  <c r="AM172" i="1" s="1"/>
  <c r="AA172" i="1"/>
  <c r="AJ172" i="1" s="1"/>
  <c r="Z638" i="1"/>
  <c r="AI638" i="1" s="1"/>
  <c r="AC117" i="1"/>
  <c r="AL117" i="1" s="1"/>
  <c r="AB207" i="1"/>
  <c r="AK207" i="1" s="1"/>
  <c r="AE125" i="1"/>
  <c r="AN125" i="1" s="1"/>
  <c r="AD231" i="1"/>
  <c r="AM231" i="1" s="1"/>
  <c r="Z474" i="1"/>
  <c r="AI474" i="1" s="1"/>
  <c r="AB409" i="1"/>
  <c r="AK409" i="1" s="1"/>
  <c r="AY409" i="1" s="1"/>
  <c r="AZ409" i="1" s="1"/>
  <c r="AP595" i="1"/>
  <c r="AQ595" i="1" s="1"/>
  <c r="AR595" i="1" s="1"/>
  <c r="AS595" i="1" s="1"/>
  <c r="AT595" i="1" s="1"/>
  <c r="AA638" i="1"/>
  <c r="AJ638" i="1" s="1"/>
  <c r="Z164" i="1"/>
  <c r="AI164" i="1" s="1"/>
  <c r="AB203" i="1"/>
  <c r="AK203" i="1" s="1"/>
  <c r="AE239" i="1"/>
  <c r="AN239" i="1" s="1"/>
  <c r="AE506" i="1"/>
  <c r="AN506" i="1" s="1"/>
  <c r="AD539" i="1"/>
  <c r="AM539" i="1" s="1"/>
  <c r="AB513" i="1"/>
  <c r="AK513" i="1" s="1"/>
  <c r="AP69" i="1"/>
  <c r="AQ69" i="1" s="1"/>
  <c r="AR69" i="1" s="1"/>
  <c r="AS69" i="1" s="1"/>
  <c r="AT69" i="1" s="1"/>
  <c r="AE308" i="1"/>
  <c r="AN308" i="1" s="1"/>
  <c r="AC100" i="1"/>
  <c r="AL100" i="1" s="1"/>
  <c r="AC264" i="1"/>
  <c r="AL264" i="1" s="1"/>
  <c r="AP527" i="1"/>
  <c r="AQ527" i="1" s="1"/>
  <c r="AR527" i="1" s="1"/>
  <c r="AS527" i="1" s="1"/>
  <c r="AT527" i="1" s="1"/>
  <c r="AC91" i="1"/>
  <c r="AL91" i="1" s="1"/>
  <c r="Z265" i="1"/>
  <c r="AI265" i="1" s="1"/>
  <c r="AQ117" i="1"/>
  <c r="AR117" i="1" s="1"/>
  <c r="AS117" i="1" s="1"/>
  <c r="AT117" i="1" s="1"/>
  <c r="Z524" i="1"/>
  <c r="AI524" i="1" s="1"/>
  <c r="AP82" i="1"/>
  <c r="AQ82" i="1" s="1"/>
  <c r="AR82" i="1" s="1"/>
  <c r="AS82" i="1" s="1"/>
  <c r="AT82" i="1" s="1"/>
  <c r="AD255" i="1"/>
  <c r="AM255" i="1" s="1"/>
  <c r="AE516" i="1"/>
  <c r="AN516" i="1" s="1"/>
  <c r="AA255" i="1"/>
  <c r="AJ255" i="1" s="1"/>
  <c r="AA516" i="1"/>
  <c r="AJ516" i="1" s="1"/>
  <c r="Z112" i="1"/>
  <c r="AI112" i="1" s="1"/>
  <c r="AA90" i="1"/>
  <c r="AJ90" i="1" s="1"/>
  <c r="AD115" i="1"/>
  <c r="AM115" i="1" s="1"/>
  <c r="AJ575" i="1"/>
  <c r="Z513" i="1"/>
  <c r="AI513" i="1" s="1"/>
  <c r="AD577" i="1"/>
  <c r="AM577" i="1" s="1"/>
  <c r="AE265" i="1"/>
  <c r="AN265" i="1" s="1"/>
  <c r="AP265" i="1"/>
  <c r="AE259" i="1"/>
  <c r="AN259" i="1" s="1"/>
  <c r="AB259" i="1"/>
  <c r="AK259" i="1" s="1"/>
  <c r="AB253" i="1"/>
  <c r="AK253" i="1" s="1"/>
  <c r="AP253" i="1"/>
  <c r="AQ253" i="1" s="1"/>
  <c r="AR253" i="1" s="1"/>
  <c r="AS253" i="1" s="1"/>
  <c r="AT253" i="1" s="1"/>
  <c r="AB474" i="1"/>
  <c r="AK474" i="1" s="1"/>
  <c r="AC474" i="1"/>
  <c r="AL474" i="1" s="1"/>
  <c r="AD474" i="1"/>
  <c r="AM474" i="1" s="1"/>
  <c r="AD96" i="1"/>
  <c r="AM96" i="1" s="1"/>
  <c r="Z96" i="1"/>
  <c r="AI96" i="1" s="1"/>
  <c r="AA96" i="1"/>
  <c r="AJ96" i="1" s="1"/>
  <c r="AB605" i="1"/>
  <c r="AK605" i="1" s="1"/>
  <c r="AC605" i="1"/>
  <c r="AL605" i="1" s="1"/>
  <c r="AC612" i="1"/>
  <c r="AL612" i="1" s="1"/>
  <c r="Z612" i="1"/>
  <c r="AI612" i="1" s="1"/>
  <c r="AC572" i="1"/>
  <c r="AL572" i="1" s="1"/>
  <c r="Z572" i="1"/>
  <c r="AI572" i="1" s="1"/>
  <c r="AA508" i="1"/>
  <c r="AJ508" i="1" s="1"/>
  <c r="AB508" i="1"/>
  <c r="AK508" i="1" s="1"/>
  <c r="AP429" i="1"/>
  <c r="AE429" i="1"/>
  <c r="AN429" i="1" s="1"/>
  <c r="AE135" i="1"/>
  <c r="AN135" i="1" s="1"/>
  <c r="AC135" i="1"/>
  <c r="AL135" i="1" s="1"/>
  <c r="Z135" i="1"/>
  <c r="AI135" i="1" s="1"/>
  <c r="AB128" i="1"/>
  <c r="AK128" i="1" s="1"/>
  <c r="Z128" i="1"/>
  <c r="AI128" i="1" s="1"/>
  <c r="AE661" i="1"/>
  <c r="AN661" i="1" s="1"/>
  <c r="AE540" i="1"/>
  <c r="AN540" i="1" s="1"/>
  <c r="AD104" i="1"/>
  <c r="AM104" i="1" s="1"/>
  <c r="AA194" i="1"/>
  <c r="AJ194" i="1" s="1"/>
  <c r="Z310" i="1"/>
  <c r="AI310" i="1" s="1"/>
  <c r="AC151" i="1"/>
  <c r="AL151" i="1" s="1"/>
  <c r="AD280" i="1"/>
  <c r="AM280" i="1" s="1"/>
  <c r="AC103" i="1"/>
  <c r="AL103" i="1" s="1"/>
  <c r="AQ647" i="1"/>
  <c r="AR647" i="1" s="1"/>
  <c r="AS647" i="1" s="1"/>
  <c r="AT647" i="1" s="1"/>
  <c r="AB500" i="1"/>
  <c r="AK500" i="1" s="1"/>
  <c r="AB361" i="1"/>
  <c r="AK361" i="1" s="1"/>
  <c r="AC608" i="1"/>
  <c r="AL608" i="1" s="1"/>
  <c r="AH86" i="1"/>
  <c r="AC119" i="1"/>
  <c r="AL119" i="1" s="1"/>
  <c r="AD248" i="1"/>
  <c r="AM248" i="1" s="1"/>
  <c r="AA500" i="1"/>
  <c r="AJ500" i="1" s="1"/>
  <c r="AD334" i="1"/>
  <c r="AM334" i="1" s="1"/>
  <c r="AB201" i="1"/>
  <c r="AK201" i="1" s="1"/>
  <c r="Z235" i="1"/>
  <c r="AI235" i="1" s="1"/>
  <c r="Z125" i="1"/>
  <c r="AI125" i="1" s="1"/>
  <c r="AD166" i="1"/>
  <c r="AM166" i="1" s="1"/>
  <c r="AD94" i="1"/>
  <c r="AM94" i="1" s="1"/>
  <c r="AD236" i="1"/>
  <c r="AM236" i="1" s="1"/>
  <c r="AE236" i="1"/>
  <c r="AN236" i="1" s="1"/>
  <c r="AB435" i="1"/>
  <c r="AK435" i="1" s="1"/>
  <c r="AH373" i="1"/>
  <c r="Z650" i="1"/>
  <c r="AI650" i="1" s="1"/>
  <c r="AA556" i="1"/>
  <c r="AJ556" i="1" s="1"/>
  <c r="AE220" i="1"/>
  <c r="AN220" i="1" s="1"/>
  <c r="AC78" i="1"/>
  <c r="AL78" i="1" s="1"/>
  <c r="AR541" i="1"/>
  <c r="AS541" i="1" s="1"/>
  <c r="AT541" i="1" s="1"/>
  <c r="Z271" i="1"/>
  <c r="AI271" i="1" s="1"/>
  <c r="AD264" i="1"/>
  <c r="AM264" i="1" s="1"/>
  <c r="AC339" i="1"/>
  <c r="AL339" i="1" s="1"/>
  <c r="Z500" i="1"/>
  <c r="AI500" i="1" s="1"/>
  <c r="AU605" i="1"/>
  <c r="AE293" i="1"/>
  <c r="AN293" i="1" s="1"/>
  <c r="Z230" i="1"/>
  <c r="AI230" i="1" s="1"/>
  <c r="AE113" i="1"/>
  <c r="AN113" i="1" s="1"/>
  <c r="AB145" i="1"/>
  <c r="AK145" i="1" s="1"/>
  <c r="AC145" i="1"/>
  <c r="AL145" i="1" s="1"/>
  <c r="Z172" i="1"/>
  <c r="AI172" i="1" s="1"/>
  <c r="AB172" i="1"/>
  <c r="AK172" i="1" s="1"/>
  <c r="AU343" i="1"/>
  <c r="AA626" i="1"/>
  <c r="AJ626" i="1" s="1"/>
  <c r="AP94" i="1"/>
  <c r="AQ94" i="1" s="1"/>
  <c r="AR94" i="1" s="1"/>
  <c r="AS94" i="1" s="1"/>
  <c r="AT94" i="1" s="1"/>
  <c r="AC181" i="1"/>
  <c r="AL181" i="1" s="1"/>
  <c r="AU522" i="1"/>
  <c r="AB208" i="1"/>
  <c r="AK208" i="1" s="1"/>
  <c r="AP250" i="1"/>
  <c r="AC514" i="1"/>
  <c r="AL514" i="1" s="1"/>
  <c r="AE68" i="1"/>
  <c r="AN68" i="1" s="1"/>
  <c r="AP139" i="1"/>
  <c r="AE474" i="1"/>
  <c r="AN474" i="1" s="1"/>
  <c r="AC387" i="1"/>
  <c r="AL387" i="1" s="1"/>
  <c r="AE174" i="1"/>
  <c r="AN174" i="1" s="1"/>
  <c r="AP286" i="1"/>
  <c r="AA115" i="1"/>
  <c r="AJ115" i="1" s="1"/>
  <c r="AB336" i="1"/>
  <c r="AK336" i="1" s="1"/>
  <c r="AY336" i="1" s="1"/>
  <c r="AB368" i="1"/>
  <c r="AK368" i="1" s="1"/>
  <c r="AD275" i="1"/>
  <c r="AM275" i="1" s="1"/>
  <c r="Z334" i="1"/>
  <c r="AI334" i="1" s="1"/>
  <c r="AA135" i="1"/>
  <c r="AJ135" i="1" s="1"/>
  <c r="AC71" i="1"/>
  <c r="AL71" i="1" s="1"/>
  <c r="AA105" i="1"/>
  <c r="AJ105" i="1" s="1"/>
  <c r="AE235" i="1"/>
  <c r="AN235" i="1" s="1"/>
  <c r="Z610" i="1"/>
  <c r="AI610" i="1" s="1"/>
  <c r="AE261" i="1"/>
  <c r="AN261" i="1" s="1"/>
  <c r="AE572" i="1"/>
  <c r="AN572" i="1" s="1"/>
  <c r="AE300" i="1"/>
  <c r="AN300" i="1" s="1"/>
  <c r="Z454" i="1"/>
  <c r="AI454" i="1" s="1"/>
  <c r="AB644" i="1"/>
  <c r="AK644" i="1" s="1"/>
  <c r="AB637" i="1"/>
  <c r="AK637" i="1" s="1"/>
  <c r="AE232" i="1"/>
  <c r="AN232" i="1" s="1"/>
  <c r="AH652" i="1"/>
  <c r="AE302" i="1"/>
  <c r="AN302" i="1" s="1"/>
  <c r="Z311" i="1"/>
  <c r="AI311" i="1" s="1"/>
  <c r="AH575" i="1"/>
  <c r="AD329" i="1"/>
  <c r="AM329" i="1" s="1"/>
  <c r="AD422" i="1"/>
  <c r="AM422" i="1" s="1"/>
  <c r="AB417" i="1"/>
  <c r="AK417" i="1" s="1"/>
  <c r="AD135" i="1"/>
  <c r="AM135" i="1" s="1"/>
  <c r="AD309" i="1"/>
  <c r="AM309" i="1" s="1"/>
  <c r="Z539" i="1"/>
  <c r="AI539" i="1" s="1"/>
  <c r="AB470" i="1"/>
  <c r="AK470" i="1" s="1"/>
  <c r="AP497" i="1"/>
  <c r="AU497" i="1" s="1"/>
  <c r="AC549" i="1"/>
  <c r="AL549" i="1" s="1"/>
  <c r="AD86" i="1"/>
  <c r="AM86" i="1" s="1"/>
  <c r="AC237" i="1"/>
  <c r="AL237" i="1" s="1"/>
  <c r="AC619" i="1"/>
  <c r="AL619" i="1" s="1"/>
  <c r="AC597" i="1"/>
  <c r="AL597" i="1" s="1"/>
  <c r="AC336" i="1"/>
  <c r="AL336" i="1" s="1"/>
  <c r="AB141" i="1"/>
  <c r="AK141" i="1" s="1"/>
  <c r="Z654" i="1"/>
  <c r="AI654" i="1" s="1"/>
  <c r="Z330" i="1"/>
  <c r="AI330" i="1" s="1"/>
  <c r="AE330" i="1"/>
  <c r="AN330" i="1" s="1"/>
  <c r="AA141" i="1"/>
  <c r="AJ141" i="1" s="1"/>
  <c r="AC206" i="1"/>
  <c r="AL206" i="1" s="1"/>
  <c r="AH367" i="1"/>
  <c r="AP193" i="1"/>
  <c r="AQ193" i="1" s="1"/>
  <c r="AR193" i="1" s="1"/>
  <c r="AS193" i="1" s="1"/>
  <c r="AT193" i="1" s="1"/>
  <c r="AE243" i="1"/>
  <c r="AN243" i="1" s="1"/>
  <c r="AP133" i="1"/>
  <c r="AQ133" i="1" s="1"/>
  <c r="AR133" i="1" s="1"/>
  <c r="AS133" i="1" s="1"/>
  <c r="AT133" i="1" s="1"/>
  <c r="AC208" i="1"/>
  <c r="AL208" i="1" s="1"/>
  <c r="AE71" i="1"/>
  <c r="AN71" i="1" s="1"/>
  <c r="AE424" i="1"/>
  <c r="AN424" i="1" s="1"/>
  <c r="AD516" i="1"/>
  <c r="AM516" i="1" s="1"/>
  <c r="AA208" i="1"/>
  <c r="AJ208" i="1" s="1"/>
  <c r="AB211" i="1"/>
  <c r="AK211" i="1" s="1"/>
  <c r="Z70" i="1"/>
  <c r="AI70" i="1" s="1"/>
  <c r="AA400" i="1"/>
  <c r="AJ400" i="1" s="1"/>
  <c r="AB522" i="1"/>
  <c r="AK522" i="1" s="1"/>
  <c r="AQ585" i="1"/>
  <c r="AR585" i="1" s="1"/>
  <c r="AS585" i="1" s="1"/>
  <c r="AT585" i="1" s="1"/>
  <c r="AD69" i="1"/>
  <c r="AM69" i="1" s="1"/>
  <c r="AP615" i="1"/>
  <c r="AQ615" i="1" s="1"/>
  <c r="AR615" i="1" s="1"/>
  <c r="AS615" i="1" s="1"/>
  <c r="AT615" i="1" s="1"/>
  <c r="AE269" i="1"/>
  <c r="AN269" i="1" s="1"/>
  <c r="AA88" i="1"/>
  <c r="AJ88" i="1" s="1"/>
  <c r="AE368" i="1"/>
  <c r="AN368" i="1" s="1"/>
  <c r="Z415" i="1"/>
  <c r="AI415" i="1" s="1"/>
  <c r="AE610" i="1"/>
  <c r="AN610" i="1" s="1"/>
  <c r="AB92" i="1"/>
  <c r="AK92" i="1" s="1"/>
  <c r="AE664" i="1"/>
  <c r="AN664" i="1" s="1"/>
  <c r="AB165" i="1"/>
  <c r="AK165" i="1" s="1"/>
  <c r="AD174" i="1"/>
  <c r="AM174" i="1" s="1"/>
  <c r="AE359" i="1"/>
  <c r="AN359" i="1" s="1"/>
  <c r="AB117" i="1"/>
  <c r="AK117" i="1" s="1"/>
  <c r="AE503" i="1"/>
  <c r="AN503" i="1" s="1"/>
  <c r="AB164" i="1"/>
  <c r="AK164" i="1" s="1"/>
  <c r="AE612" i="1"/>
  <c r="AN612" i="1" s="1"/>
  <c r="AC96" i="1"/>
  <c r="AL96" i="1" s="1"/>
  <c r="Z643" i="1"/>
  <c r="AI643" i="1" s="1"/>
  <c r="AE556" i="1"/>
  <c r="AN556" i="1" s="1"/>
  <c r="AP546" i="1"/>
  <c r="Z166" i="1"/>
  <c r="AI166" i="1" s="1"/>
  <c r="AE334" i="1"/>
  <c r="AN334" i="1" s="1"/>
  <c r="AB76" i="1"/>
  <c r="AK76" i="1" s="1"/>
  <c r="AC293" i="1"/>
  <c r="AL293" i="1" s="1"/>
  <c r="AE427" i="1"/>
  <c r="AN427" i="1" s="1"/>
  <c r="AC255" i="1"/>
  <c r="AL255" i="1" s="1"/>
  <c r="AB265" i="1"/>
  <c r="AK265" i="1" s="1"/>
  <c r="AU118" i="1"/>
  <c r="AQ118" i="1"/>
  <c r="AR118" i="1" s="1"/>
  <c r="AS118" i="1" s="1"/>
  <c r="AT118" i="1" s="1"/>
  <c r="AB144" i="1"/>
  <c r="AK144" i="1" s="1"/>
  <c r="AC144" i="1"/>
  <c r="AL144" i="1" s="1"/>
  <c r="Z194" i="1"/>
  <c r="AI194" i="1" s="1"/>
  <c r="AB194" i="1"/>
  <c r="AK194" i="1" s="1"/>
  <c r="AE223" i="1"/>
  <c r="AN223" i="1" s="1"/>
  <c r="AC223" i="1"/>
  <c r="AL223" i="1" s="1"/>
  <c r="AE192" i="1"/>
  <c r="AN192" i="1" s="1"/>
  <c r="AB192" i="1"/>
  <c r="AK192" i="1" s="1"/>
  <c r="AC129" i="1"/>
  <c r="AL129" i="1" s="1"/>
  <c r="Z129" i="1"/>
  <c r="AI129" i="1" s="1"/>
  <c r="AB129" i="1"/>
  <c r="AK129" i="1" s="1"/>
  <c r="AD129" i="1"/>
  <c r="AM129" i="1" s="1"/>
  <c r="AC175" i="1"/>
  <c r="AL175" i="1" s="1"/>
  <c r="AD175" i="1"/>
  <c r="AM175" i="1" s="1"/>
  <c r="AE285" i="1"/>
  <c r="AN285" i="1" s="1"/>
  <c r="AP285" i="1"/>
  <c r="AQ285" i="1" s="1"/>
  <c r="AR285" i="1" s="1"/>
  <c r="AS285" i="1" s="1"/>
  <c r="AT285" i="1" s="1"/>
  <c r="AC98" i="1"/>
  <c r="AL98" i="1" s="1"/>
  <c r="AD98" i="1"/>
  <c r="AM98" i="1" s="1"/>
  <c r="AA98" i="1"/>
  <c r="AJ98" i="1" s="1"/>
  <c r="AE98" i="1"/>
  <c r="AN98" i="1" s="1"/>
  <c r="AY98" i="1" s="1"/>
  <c r="AP189" i="1"/>
  <c r="AQ189" i="1" s="1"/>
  <c r="AR189" i="1" s="1"/>
  <c r="AS189" i="1" s="1"/>
  <c r="AT189" i="1" s="1"/>
  <c r="Z387" i="1"/>
  <c r="AI387" i="1" s="1"/>
  <c r="AB387" i="1"/>
  <c r="AK387" i="1" s="1"/>
  <c r="AB310" i="1"/>
  <c r="AK310" i="1" s="1"/>
  <c r="AC310" i="1"/>
  <c r="AL310" i="1" s="1"/>
  <c r="AH177" i="1"/>
  <c r="AC409" i="1"/>
  <c r="AL409" i="1" s="1"/>
  <c r="Z409" i="1"/>
  <c r="AI409" i="1" s="1"/>
  <c r="AE373" i="1"/>
  <c r="AN373" i="1" s="1"/>
  <c r="AB373" i="1"/>
  <c r="AK373" i="1" s="1"/>
  <c r="Z373" i="1"/>
  <c r="AI373" i="1" s="1"/>
  <c r="AE405" i="1"/>
  <c r="AN405" i="1" s="1"/>
  <c r="AD405" i="1"/>
  <c r="AM405" i="1" s="1"/>
  <c r="AC377" i="1"/>
  <c r="AL377" i="1" s="1"/>
  <c r="AE377" i="1"/>
  <c r="AN377" i="1" s="1"/>
  <c r="AD377" i="1"/>
  <c r="AM377" i="1" s="1"/>
  <c r="AA365" i="1"/>
  <c r="AJ365" i="1" s="1"/>
  <c r="Z365" i="1"/>
  <c r="AI365" i="1" s="1"/>
  <c r="AE419" i="1"/>
  <c r="AN419" i="1" s="1"/>
  <c r="Z419" i="1"/>
  <c r="AI419" i="1" s="1"/>
  <c r="AC419" i="1"/>
  <c r="AL419" i="1" s="1"/>
  <c r="AA419" i="1"/>
  <c r="AJ419" i="1" s="1"/>
  <c r="AB419" i="1"/>
  <c r="AK419" i="1" s="1"/>
  <c r="Z67" i="1"/>
  <c r="AI67" i="1" s="1"/>
  <c r="AD67" i="1"/>
  <c r="AM67" i="1" s="1"/>
  <c r="AA67" i="1"/>
  <c r="AJ67" i="1" s="1"/>
  <c r="AE327" i="1"/>
  <c r="AN327" i="1" s="1"/>
  <c r="AC327" i="1"/>
  <c r="AL327" i="1" s="1"/>
  <c r="Z562" i="1"/>
  <c r="AI562" i="1" s="1"/>
  <c r="AD562" i="1"/>
  <c r="AM562" i="1" s="1"/>
  <c r="Z657" i="1"/>
  <c r="AI657" i="1" s="1"/>
  <c r="AC657" i="1"/>
  <c r="AL657" i="1" s="1"/>
  <c r="AB657" i="1"/>
  <c r="AK657" i="1" s="1"/>
  <c r="AA656" i="1"/>
  <c r="AJ656" i="1" s="1"/>
  <c r="AB656" i="1"/>
  <c r="AK656" i="1" s="1"/>
  <c r="Z656" i="1"/>
  <c r="AI656" i="1" s="1"/>
  <c r="AD203" i="1"/>
  <c r="AM203" i="1" s="1"/>
  <c r="Z203" i="1"/>
  <c r="AI203" i="1" s="1"/>
  <c r="AD247" i="1"/>
  <c r="AM247" i="1" s="1"/>
  <c r="AC247" i="1"/>
  <c r="AL247" i="1" s="1"/>
  <c r="AH69" i="1"/>
  <c r="AA163" i="1"/>
  <c r="AJ163" i="1" s="1"/>
  <c r="AC163" i="1"/>
  <c r="AL163" i="1" s="1"/>
  <c r="AD128" i="1"/>
  <c r="AM128" i="1" s="1"/>
  <c r="AE396" i="1"/>
  <c r="AN396" i="1" s="1"/>
  <c r="AA280" i="1"/>
  <c r="AJ280" i="1" s="1"/>
  <c r="AD259" i="1"/>
  <c r="AM259" i="1" s="1"/>
  <c r="Z119" i="1"/>
  <c r="AI119" i="1" s="1"/>
  <c r="AE179" i="1"/>
  <c r="AN179" i="1" s="1"/>
  <c r="AA128" i="1"/>
  <c r="AJ128" i="1" s="1"/>
  <c r="AA100" i="1"/>
  <c r="AJ100" i="1" s="1"/>
  <c r="AP185" i="1"/>
  <c r="AQ185" i="1" s="1"/>
  <c r="AR185" i="1" s="1"/>
  <c r="AS185" i="1" s="1"/>
  <c r="AT185" i="1" s="1"/>
  <c r="AD339" i="1"/>
  <c r="AM339" i="1" s="1"/>
  <c r="AE94" i="1"/>
  <c r="AN94" i="1" s="1"/>
  <c r="Z604" i="1"/>
  <c r="AI604" i="1" s="1"/>
  <c r="Z94" i="1"/>
  <c r="AI94" i="1" s="1"/>
  <c r="AB343" i="1"/>
  <c r="AK343" i="1" s="1"/>
  <c r="AA661" i="1"/>
  <c r="AJ661" i="1" s="1"/>
  <c r="AE281" i="1"/>
  <c r="AN281" i="1" s="1"/>
  <c r="AQ533" i="1"/>
  <c r="AR533" i="1" s="1"/>
  <c r="AS533" i="1" s="1"/>
  <c r="AT533" i="1" s="1"/>
  <c r="AU114" i="1"/>
  <c r="AB181" i="1"/>
  <c r="AK181" i="1" s="1"/>
  <c r="Z115" i="1"/>
  <c r="AI115" i="1" s="1"/>
  <c r="Z514" i="1"/>
  <c r="AI514" i="1" s="1"/>
  <c r="AB68" i="1"/>
  <c r="AK68" i="1" s="1"/>
  <c r="AD119" i="1"/>
  <c r="AM119" i="1" s="1"/>
  <c r="AC174" i="1"/>
  <c r="AL174" i="1" s="1"/>
  <c r="AE309" i="1"/>
  <c r="AN309" i="1" s="1"/>
  <c r="AA271" i="1"/>
  <c r="AJ271" i="1" s="1"/>
  <c r="AD105" i="1"/>
  <c r="AM105" i="1" s="1"/>
  <c r="AA239" i="1"/>
  <c r="AJ239" i="1" s="1"/>
  <c r="AC508" i="1"/>
  <c r="AL508" i="1" s="1"/>
  <c r="AA572" i="1"/>
  <c r="AJ572" i="1" s="1"/>
  <c r="AD232" i="1"/>
  <c r="AM232" i="1" s="1"/>
  <c r="AB514" i="1"/>
  <c r="AK514" i="1" s="1"/>
  <c r="Z329" i="1"/>
  <c r="AI329" i="1" s="1"/>
  <c r="AA422" i="1"/>
  <c r="AJ422" i="1" s="1"/>
  <c r="AB251" i="1"/>
  <c r="AK251" i="1" s="1"/>
  <c r="AC539" i="1"/>
  <c r="AL539" i="1" s="1"/>
  <c r="AE625" i="1"/>
  <c r="AN625" i="1" s="1"/>
  <c r="AD191" i="1"/>
  <c r="AM191" i="1" s="1"/>
  <c r="AA237" i="1"/>
  <c r="AJ237" i="1" s="1"/>
  <c r="AB619" i="1"/>
  <c r="AK619" i="1" s="1"/>
  <c r="AB597" i="1"/>
  <c r="AK597" i="1" s="1"/>
  <c r="AP542" i="1"/>
  <c r="AQ542" i="1" s="1"/>
  <c r="AR542" i="1" s="1"/>
  <c r="AS542" i="1" s="1"/>
  <c r="AT542" i="1" s="1"/>
  <c r="Z392" i="1"/>
  <c r="AI392" i="1" s="1"/>
  <c r="AC239" i="1"/>
  <c r="AL239" i="1" s="1"/>
  <c r="AE206" i="1"/>
  <c r="AN206" i="1" s="1"/>
  <c r="AP312" i="1"/>
  <c r="AD308" i="1"/>
  <c r="AM308" i="1" s="1"/>
  <c r="AE276" i="1"/>
  <c r="AN276" i="1" s="1"/>
  <c r="AY276" i="1" s="1"/>
  <c r="AC396" i="1"/>
  <c r="AL396" i="1" s="1"/>
  <c r="AB453" i="1"/>
  <c r="AK453" i="1" s="1"/>
  <c r="AE76" i="1"/>
  <c r="AN76" i="1" s="1"/>
  <c r="AD508" i="1"/>
  <c r="AM508" i="1" s="1"/>
  <c r="Z251" i="1"/>
  <c r="AI251" i="1" s="1"/>
  <c r="AE211" i="1"/>
  <c r="AN211" i="1" s="1"/>
  <c r="AE381" i="1"/>
  <c r="AN381" i="1" s="1"/>
  <c r="AC309" i="1"/>
  <c r="AL309" i="1" s="1"/>
  <c r="AD496" i="1"/>
  <c r="AM496" i="1" s="1"/>
  <c r="AC88" i="1"/>
  <c r="AL88" i="1" s="1"/>
  <c r="AD611" i="1"/>
  <c r="AM611" i="1" s="1"/>
  <c r="AA368" i="1"/>
  <c r="AJ368" i="1" s="1"/>
  <c r="Z516" i="1"/>
  <c r="AI516" i="1" s="1"/>
  <c r="AC610" i="1"/>
  <c r="AL610" i="1" s="1"/>
  <c r="AA165" i="1"/>
  <c r="AJ165" i="1" s="1"/>
  <c r="Z299" i="1"/>
  <c r="AI299" i="1" s="1"/>
  <c r="AC93" i="1"/>
  <c r="AL93" i="1" s="1"/>
  <c r="AC76" i="1"/>
  <c r="AL76" i="1" s="1"/>
  <c r="AC231" i="1"/>
  <c r="AL231" i="1" s="1"/>
  <c r="Z661" i="1"/>
  <c r="AI661" i="1" s="1"/>
  <c r="AA210" i="1"/>
  <c r="AJ210" i="1" s="1"/>
  <c r="AC661" i="1"/>
  <c r="AL661" i="1" s="1"/>
  <c r="AP155" i="1"/>
  <c r="AE128" i="1"/>
  <c r="AN128" i="1" s="1"/>
  <c r="AB126" i="1"/>
  <c r="AK126" i="1" s="1"/>
  <c r="AP173" i="1"/>
  <c r="AQ173" i="1" s="1"/>
  <c r="AR173" i="1" s="1"/>
  <c r="AS173" i="1" s="1"/>
  <c r="AT173" i="1" s="1"/>
  <c r="AB157" i="1"/>
  <c r="AK157" i="1" s="1"/>
  <c r="AP551" i="1"/>
  <c r="AP140" i="1"/>
  <c r="AQ140" i="1" s="1"/>
  <c r="AR140" i="1" s="1"/>
  <c r="AS140" i="1" s="1"/>
  <c r="AT140" i="1" s="1"/>
  <c r="AE645" i="1"/>
  <c r="AN645" i="1" s="1"/>
  <c r="AB90" i="1"/>
  <c r="AK90" i="1" s="1"/>
  <c r="AP266" i="1"/>
  <c r="AQ266" i="1" s="1"/>
  <c r="AR266" i="1" s="1"/>
  <c r="AS266" i="1" s="1"/>
  <c r="AT266" i="1" s="1"/>
  <c r="AP371" i="1"/>
  <c r="AQ371" i="1" s="1"/>
  <c r="AR371" i="1" s="1"/>
  <c r="AS371" i="1" s="1"/>
  <c r="AT371" i="1" s="1"/>
  <c r="AE417" i="1"/>
  <c r="AN417" i="1" s="1"/>
  <c r="Z318" i="1"/>
  <c r="AI318" i="1" s="1"/>
  <c r="AD385" i="1"/>
  <c r="AM385" i="1" s="1"/>
  <c r="AC459" i="1"/>
  <c r="AL459" i="1" s="1"/>
  <c r="AA459" i="1"/>
  <c r="AJ459" i="1" s="1"/>
  <c r="AE442" i="1"/>
  <c r="AN442" i="1" s="1"/>
  <c r="AP357" i="1"/>
  <c r="AP493" i="1"/>
  <c r="Z632" i="1"/>
  <c r="AI632" i="1" s="1"/>
  <c r="AA632" i="1"/>
  <c r="AJ632" i="1" s="1"/>
  <c r="AE518" i="1"/>
  <c r="AN518" i="1" s="1"/>
  <c r="AD380" i="1"/>
  <c r="AM380" i="1" s="1"/>
  <c r="AE385" i="1"/>
  <c r="AN385" i="1" s="1"/>
  <c r="AB553" i="1"/>
  <c r="AK553" i="1" s="1"/>
  <c r="AB586" i="1"/>
  <c r="AK586" i="1" s="1"/>
  <c r="AC553" i="1"/>
  <c r="AL553" i="1" s="1"/>
  <c r="AE103" i="1"/>
  <c r="AN103" i="1" s="1"/>
  <c r="AP216" i="1"/>
  <c r="AU216" i="1" s="1"/>
  <c r="AD112" i="1"/>
  <c r="AM112" i="1" s="1"/>
  <c r="AA108" i="1"/>
  <c r="AJ108" i="1" s="1"/>
  <c r="AP222" i="1"/>
  <c r="AP587" i="1"/>
  <c r="AA137" i="1"/>
  <c r="AJ137" i="1" s="1"/>
  <c r="AP619" i="1"/>
  <c r="AQ619" i="1" s="1"/>
  <c r="AR619" i="1" s="1"/>
  <c r="AS619" i="1" s="1"/>
  <c r="AT619" i="1" s="1"/>
  <c r="AC385" i="1"/>
  <c r="AL385" i="1" s="1"/>
  <c r="AB385" i="1"/>
  <c r="AK385" i="1" s="1"/>
  <c r="AA545" i="1"/>
  <c r="AJ545" i="1" s="1"/>
  <c r="AD545" i="1"/>
  <c r="AM545" i="1" s="1"/>
  <c r="AP352" i="1"/>
  <c r="AE352" i="1"/>
  <c r="AN352" i="1" s="1"/>
  <c r="AA542" i="1"/>
  <c r="AJ542" i="1" s="1"/>
  <c r="AE542" i="1"/>
  <c r="AN542" i="1" s="1"/>
  <c r="AD445" i="1"/>
  <c r="AM445" i="1" s="1"/>
  <c r="AE445" i="1"/>
  <c r="AN445" i="1" s="1"/>
  <c r="AP363" i="1"/>
  <c r="AB363" i="1"/>
  <c r="AK363" i="1" s="1"/>
  <c r="Z411" i="1"/>
  <c r="AI411" i="1" s="1"/>
  <c r="AD411" i="1"/>
  <c r="AM411" i="1" s="1"/>
  <c r="AC313" i="1"/>
  <c r="AL313" i="1" s="1"/>
  <c r="Z313" i="1"/>
  <c r="AI313" i="1" s="1"/>
  <c r="AB648" i="1"/>
  <c r="AK648" i="1" s="1"/>
  <c r="AB319" i="1"/>
  <c r="AK319" i="1" s="1"/>
  <c r="AP243" i="1"/>
  <c r="AQ243" i="1" s="1"/>
  <c r="AR243" i="1" s="1"/>
  <c r="AS243" i="1" s="1"/>
  <c r="AT243" i="1" s="1"/>
  <c r="AD157" i="1"/>
  <c r="AM157" i="1" s="1"/>
  <c r="AD131" i="1"/>
  <c r="AM131" i="1" s="1"/>
  <c r="AP226" i="1"/>
  <c r="AB232" i="1"/>
  <c r="AK232" i="1" s="1"/>
  <c r="AP215" i="1"/>
  <c r="AQ215" i="1" s="1"/>
  <c r="AR215" i="1" s="1"/>
  <c r="AS215" i="1" s="1"/>
  <c r="AT215" i="1" s="1"/>
  <c r="AE226" i="1"/>
  <c r="AN226" i="1" s="1"/>
  <c r="AA216" i="1"/>
  <c r="AJ216" i="1" s="1"/>
  <c r="AD463" i="1"/>
  <c r="AM463" i="1" s="1"/>
  <c r="AD351" i="1"/>
  <c r="AM351" i="1" s="1"/>
  <c r="AA411" i="1"/>
  <c r="AJ411" i="1" s="1"/>
  <c r="AA477" i="1"/>
  <c r="AJ477" i="1" s="1"/>
  <c r="AD609" i="1"/>
  <c r="AM609" i="1" s="1"/>
  <c r="AP594" i="1"/>
  <c r="AA615" i="1"/>
  <c r="AJ615" i="1" s="1"/>
  <c r="AD84" i="1"/>
  <c r="AM84" i="1" s="1"/>
  <c r="AD586" i="1"/>
  <c r="AM586" i="1" s="1"/>
  <c r="Z592" i="1"/>
  <c r="AI592" i="1" s="1"/>
  <c r="AD441" i="1"/>
  <c r="AM441" i="1" s="1"/>
  <c r="AE500" i="1"/>
  <c r="AN500" i="1" s="1"/>
  <c r="AE538" i="1"/>
  <c r="AN538" i="1" s="1"/>
  <c r="AY538" i="1" s="1"/>
  <c r="AE483" i="1"/>
  <c r="AN483" i="1" s="1"/>
  <c r="AA233" i="1"/>
  <c r="AJ233" i="1" s="1"/>
  <c r="AD90" i="1"/>
  <c r="AM90" i="1" s="1"/>
  <c r="AB477" i="1"/>
  <c r="AK477" i="1" s="1"/>
  <c r="AD457" i="1"/>
  <c r="AM457" i="1" s="1"/>
  <c r="AE72" i="1"/>
  <c r="AN72" i="1" s="1"/>
  <c r="AE115" i="1"/>
  <c r="AN115" i="1" s="1"/>
  <c r="Z543" i="1"/>
  <c r="AI543" i="1" s="1"/>
  <c r="AC442" i="1"/>
  <c r="AL442" i="1" s="1"/>
  <c r="AD68" i="1"/>
  <c r="AM68" i="1" s="1"/>
  <c r="AA69" i="1"/>
  <c r="AJ69" i="1" s="1"/>
  <c r="Z157" i="1"/>
  <c r="AI157" i="1" s="1"/>
  <c r="AE83" i="1"/>
  <c r="AN83" i="1" s="1"/>
  <c r="AD79" i="1"/>
  <c r="AM79" i="1" s="1"/>
  <c r="AE92" i="1"/>
  <c r="AN92" i="1" s="1"/>
  <c r="AE168" i="1"/>
  <c r="AN168" i="1" s="1"/>
  <c r="AB274" i="1"/>
  <c r="AK274" i="1" s="1"/>
  <c r="AP302" i="1"/>
  <c r="AQ302" i="1" s="1"/>
  <c r="AR302" i="1" s="1"/>
  <c r="AS302" i="1" s="1"/>
  <c r="AT302" i="1" s="1"/>
  <c r="AE319" i="1"/>
  <c r="AN319" i="1" s="1"/>
  <c r="AB457" i="1"/>
  <c r="AK457" i="1" s="1"/>
  <c r="AY457" i="1" s="1"/>
  <c r="AB112" i="1"/>
  <c r="AK112" i="1" s="1"/>
  <c r="AP569" i="1"/>
  <c r="AB163" i="1"/>
  <c r="AK163" i="1" s="1"/>
  <c r="AA308" i="1"/>
  <c r="AJ308" i="1" s="1"/>
  <c r="AA481" i="1"/>
  <c r="AJ481" i="1" s="1"/>
  <c r="Z377" i="1"/>
  <c r="AI377" i="1" s="1"/>
  <c r="Z389" i="1"/>
  <c r="AI389" i="1" s="1"/>
  <c r="AP446" i="1"/>
  <c r="AD637" i="1"/>
  <c r="AM637" i="1" s="1"/>
  <c r="AP318" i="1"/>
  <c r="Z69" i="1"/>
  <c r="AI69" i="1" s="1"/>
  <c r="Z110" i="1"/>
  <c r="AI110" i="1" s="1"/>
  <c r="AA612" i="1"/>
  <c r="AJ612" i="1" s="1"/>
  <c r="Z308" i="1"/>
  <c r="AI308" i="1" s="1"/>
  <c r="AI547" i="1"/>
  <c r="AJ568" i="1"/>
  <c r="AD502" i="1"/>
  <c r="AM502" i="1" s="1"/>
  <c r="AA509" i="1"/>
  <c r="AJ509" i="1" s="1"/>
  <c r="AB384" i="1"/>
  <c r="AK384" i="1" s="1"/>
  <c r="AP508" i="1"/>
  <c r="AQ508" i="1" s="1"/>
  <c r="AR508" i="1" s="1"/>
  <c r="AS508" i="1" s="1"/>
  <c r="AT508" i="1" s="1"/>
  <c r="AA633" i="1"/>
  <c r="AJ633" i="1" s="1"/>
  <c r="AB592" i="1"/>
  <c r="AK592" i="1" s="1"/>
  <c r="AA390" i="1"/>
  <c r="AJ390" i="1" s="1"/>
  <c r="Z633" i="1"/>
  <c r="AI633" i="1" s="1"/>
  <c r="AD613" i="1"/>
  <c r="AM613" i="1" s="1"/>
  <c r="AD390" i="1"/>
  <c r="AM390" i="1" s="1"/>
  <c r="AD462" i="1"/>
  <c r="AM462" i="1" s="1"/>
  <c r="Z446" i="1"/>
  <c r="AI446" i="1" s="1"/>
  <c r="AJ607" i="1"/>
  <c r="AP307" i="1"/>
  <c r="AQ307" i="1" s="1"/>
  <c r="AR307" i="1" s="1"/>
  <c r="AS307" i="1" s="1"/>
  <c r="AT307" i="1" s="1"/>
  <c r="AH139" i="1"/>
  <c r="AH500" i="1"/>
  <c r="AH274" i="1"/>
  <c r="AH601" i="1"/>
  <c r="AH256" i="1"/>
  <c r="AH542" i="1"/>
  <c r="AH649" i="1"/>
  <c r="AH465" i="1"/>
  <c r="AH286" i="1"/>
  <c r="AH611" i="1"/>
  <c r="AH255" i="1"/>
  <c r="AJ609" i="1"/>
  <c r="AH609" i="1"/>
  <c r="AH626" i="1"/>
  <c r="AH388" i="1"/>
  <c r="AA205" i="1"/>
  <c r="AJ205" i="1" s="1"/>
  <c r="AA144" i="1"/>
  <c r="AJ144" i="1" s="1"/>
  <c r="AD222" i="1"/>
  <c r="AM222" i="1" s="1"/>
  <c r="Z186" i="1"/>
  <c r="AI186" i="1" s="1"/>
  <c r="AP79" i="1"/>
  <c r="AU79" i="1" s="1"/>
  <c r="AA74" i="1"/>
  <c r="AJ74" i="1" s="1"/>
  <c r="AP116" i="1"/>
  <c r="AQ116" i="1" s="1"/>
  <c r="AR116" i="1" s="1"/>
  <c r="AS116" i="1" s="1"/>
  <c r="AT116" i="1" s="1"/>
  <c r="AA195" i="1"/>
  <c r="AJ195" i="1" s="1"/>
  <c r="Z349" i="1"/>
  <c r="AI349" i="1" s="1"/>
  <c r="AP380" i="1"/>
  <c r="AQ380" i="1" s="1"/>
  <c r="AR380" i="1" s="1"/>
  <c r="AS380" i="1" s="1"/>
  <c r="AT380" i="1" s="1"/>
  <c r="Z405" i="1"/>
  <c r="AI405" i="1" s="1"/>
  <c r="AD638" i="1"/>
  <c r="AM638" i="1" s="1"/>
  <c r="AD266" i="1"/>
  <c r="AM266" i="1" s="1"/>
  <c r="AP164" i="1"/>
  <c r="AQ164" i="1" s="1"/>
  <c r="AR164" i="1" s="1"/>
  <c r="AS164" i="1" s="1"/>
  <c r="AT164" i="1" s="1"/>
  <c r="AE475" i="1"/>
  <c r="AN475" i="1" s="1"/>
  <c r="AD593" i="1"/>
  <c r="AM593" i="1" s="1"/>
  <c r="AE280" i="1"/>
  <c r="AN280" i="1" s="1"/>
  <c r="AD389" i="1"/>
  <c r="AM389" i="1" s="1"/>
  <c r="AD551" i="1"/>
  <c r="AM551" i="1" s="1"/>
  <c r="AA367" i="1"/>
  <c r="AJ367" i="1" s="1"/>
  <c r="AD492" i="1"/>
  <c r="AM492" i="1" s="1"/>
  <c r="AD506" i="1"/>
  <c r="AM506" i="1" s="1"/>
  <c r="AP451" i="1"/>
  <c r="AQ451" i="1" s="1"/>
  <c r="AR451" i="1" s="1"/>
  <c r="AS451" i="1" s="1"/>
  <c r="AT451" i="1" s="1"/>
  <c r="AA468" i="1"/>
  <c r="AJ468" i="1" s="1"/>
  <c r="AP484" i="1"/>
  <c r="AQ484" i="1" s="1"/>
  <c r="AR484" i="1" s="1"/>
  <c r="AS484" i="1" s="1"/>
  <c r="AT484" i="1" s="1"/>
  <c r="AA387" i="1"/>
  <c r="AJ387" i="1" s="1"/>
  <c r="AA621" i="1"/>
  <c r="AJ621" i="1" s="1"/>
  <c r="AA264" i="1"/>
  <c r="AJ264" i="1" s="1"/>
  <c r="AB629" i="1"/>
  <c r="AK629" i="1" s="1"/>
  <c r="AP622" i="1"/>
  <c r="Z452" i="1"/>
  <c r="AI452" i="1" s="1"/>
  <c r="AP444" i="1"/>
  <c r="AQ444" i="1" s="1"/>
  <c r="AR444" i="1" s="1"/>
  <c r="AS444" i="1" s="1"/>
  <c r="AT444" i="1" s="1"/>
  <c r="AP399" i="1"/>
  <c r="AU399" i="1" s="1"/>
  <c r="AD260" i="1"/>
  <c r="AM260" i="1" s="1"/>
  <c r="AA590" i="1"/>
  <c r="AJ590" i="1" s="1"/>
  <c r="AA433" i="1"/>
  <c r="AJ433" i="1" s="1"/>
  <c r="AA506" i="1"/>
  <c r="AJ506" i="1" s="1"/>
  <c r="AP503" i="1"/>
  <c r="AU503" i="1" s="1"/>
  <c r="AD392" i="1"/>
  <c r="AM392" i="1" s="1"/>
  <c r="AA405" i="1"/>
  <c r="AJ405" i="1" s="1"/>
  <c r="AA309" i="1"/>
  <c r="AJ309" i="1" s="1"/>
  <c r="AD404" i="1"/>
  <c r="AM404" i="1" s="1"/>
  <c r="AA385" i="1"/>
  <c r="AJ385" i="1" s="1"/>
  <c r="AA490" i="1"/>
  <c r="AJ490" i="1" s="1"/>
  <c r="AA314" i="1"/>
  <c r="AJ314" i="1" s="1"/>
  <c r="Z278" i="1"/>
  <c r="AI278" i="1" s="1"/>
  <c r="AP147" i="1"/>
  <c r="AU147" i="1" s="1"/>
  <c r="Z279" i="1"/>
  <c r="AI279" i="1" s="1"/>
  <c r="AD122" i="1"/>
  <c r="AM122" i="1" s="1"/>
  <c r="AA84" i="1"/>
  <c r="AJ84" i="1" s="1"/>
  <c r="AD193" i="1"/>
  <c r="AM193" i="1" s="1"/>
  <c r="AA206" i="1"/>
  <c r="AJ206" i="1" s="1"/>
  <c r="AD282" i="1"/>
  <c r="AM282" i="1" s="1"/>
  <c r="Z123" i="1"/>
  <c r="AI123" i="1" s="1"/>
  <c r="AD141" i="1"/>
  <c r="AM141" i="1" s="1"/>
  <c r="AB223" i="1"/>
  <c r="AK223" i="1" s="1"/>
  <c r="AP214" i="1"/>
  <c r="AA273" i="1"/>
  <c r="AJ273" i="1" s="1"/>
  <c r="AD137" i="1"/>
  <c r="AM137" i="1" s="1"/>
  <c r="AI398" i="1"/>
  <c r="AD525" i="1"/>
  <c r="AM525" i="1" s="1"/>
  <c r="Z182" i="1"/>
  <c r="AI182" i="1" s="1"/>
  <c r="AB95" i="1"/>
  <c r="AK95" i="1" s="1"/>
  <c r="AB91" i="1"/>
  <c r="AK91" i="1" s="1"/>
  <c r="AD568" i="1"/>
  <c r="AM568" i="1" s="1"/>
  <c r="Z478" i="1"/>
  <c r="AI478" i="1" s="1"/>
  <c r="AA355" i="1"/>
  <c r="AJ355" i="1" s="1"/>
  <c r="AE372" i="1"/>
  <c r="AN372" i="1" s="1"/>
  <c r="AE416" i="1"/>
  <c r="AN416" i="1" s="1"/>
  <c r="AP212" i="1"/>
  <c r="AQ212" i="1" s="1"/>
  <c r="AR212" i="1" s="1"/>
  <c r="AS212" i="1" s="1"/>
  <c r="AT212" i="1" s="1"/>
  <c r="AD623" i="1"/>
  <c r="AM623" i="1" s="1"/>
  <c r="AA258" i="1"/>
  <c r="AJ258" i="1" s="1"/>
  <c r="AB593" i="1"/>
  <c r="AK593" i="1" s="1"/>
  <c r="AE393" i="1"/>
  <c r="AN393" i="1" s="1"/>
  <c r="AA648" i="1"/>
  <c r="AJ648" i="1" s="1"/>
  <c r="AD348" i="1"/>
  <c r="AM348" i="1" s="1"/>
  <c r="AE643" i="1"/>
  <c r="AN643" i="1" s="1"/>
  <c r="Z114" i="1"/>
  <c r="AI114" i="1" s="1"/>
  <c r="AB202" i="1"/>
  <c r="AK202" i="1" s="1"/>
  <c r="AE247" i="1"/>
  <c r="AN247" i="1" s="1"/>
  <c r="AP612" i="1"/>
  <c r="AD621" i="1"/>
  <c r="AM621" i="1" s="1"/>
  <c r="AP580" i="1"/>
  <c r="AD452" i="1"/>
  <c r="AM452" i="1" s="1"/>
  <c r="AE666" i="1"/>
  <c r="AN666" i="1" s="1"/>
  <c r="AA408" i="1"/>
  <c r="AJ408" i="1" s="1"/>
  <c r="AB600" i="1"/>
  <c r="AK600" i="1" s="1"/>
  <c r="AE630" i="1"/>
  <c r="AN630" i="1" s="1"/>
  <c r="AA635" i="1"/>
  <c r="AJ635" i="1" s="1"/>
  <c r="AD579" i="1"/>
  <c r="AM579" i="1" s="1"/>
  <c r="AH203" i="1"/>
  <c r="Z120" i="1"/>
  <c r="AI120" i="1" s="1"/>
  <c r="AP71" i="1"/>
  <c r="AQ71" i="1" s="1"/>
  <c r="AR71" i="1" s="1"/>
  <c r="AS71" i="1" s="1"/>
  <c r="AT71" i="1" s="1"/>
  <c r="AP264" i="1"/>
  <c r="AQ264" i="1" s="1"/>
  <c r="AR264" i="1" s="1"/>
  <c r="AS264" i="1" s="1"/>
  <c r="AT264" i="1" s="1"/>
  <c r="AB264" i="1"/>
  <c r="AK264" i="1" s="1"/>
  <c r="AC170" i="1"/>
  <c r="AL170" i="1" s="1"/>
  <c r="AB170" i="1"/>
  <c r="AK170" i="1" s="1"/>
  <c r="Z170" i="1"/>
  <c r="AI170" i="1" s="1"/>
  <c r="AE170" i="1"/>
  <c r="AN170" i="1" s="1"/>
  <c r="AD170" i="1"/>
  <c r="AM170" i="1" s="1"/>
  <c r="AP237" i="1"/>
  <c r="AE237" i="1"/>
  <c r="AN237" i="1" s="1"/>
  <c r="AH210" i="1"/>
  <c r="AH175" i="1"/>
  <c r="Z287" i="1"/>
  <c r="AI287" i="1" s="1"/>
  <c r="AU287" i="1"/>
  <c r="Z116" i="1"/>
  <c r="AI116" i="1" s="1"/>
  <c r="AB116" i="1"/>
  <c r="AK116" i="1" s="1"/>
  <c r="AH121" i="1"/>
  <c r="AP238" i="1"/>
  <c r="AQ238" i="1" s="1"/>
  <c r="AR238" i="1" s="1"/>
  <c r="AS238" i="1" s="1"/>
  <c r="AT238" i="1" s="1"/>
  <c r="AB238" i="1"/>
  <c r="AK238" i="1" s="1"/>
  <c r="AP240" i="1"/>
  <c r="AQ240" i="1" s="1"/>
  <c r="AR240" i="1" s="1"/>
  <c r="AS240" i="1" s="1"/>
  <c r="AT240" i="1" s="1"/>
  <c r="AB240" i="1"/>
  <c r="AK240" i="1" s="1"/>
  <c r="AH159" i="1"/>
  <c r="AE99" i="1"/>
  <c r="AN99" i="1" s="1"/>
  <c r="Z99" i="1"/>
  <c r="AI99" i="1" s="1"/>
  <c r="AD99" i="1"/>
  <c r="AM99" i="1" s="1"/>
  <c r="Z75" i="1"/>
  <c r="AI75" i="1" s="1"/>
  <c r="AA75" i="1"/>
  <c r="AJ75" i="1" s="1"/>
  <c r="AB75" i="1"/>
  <c r="AK75" i="1" s="1"/>
  <c r="AE75" i="1"/>
  <c r="AN75" i="1" s="1"/>
  <c r="AD75" i="1"/>
  <c r="AM75" i="1" s="1"/>
  <c r="AC75" i="1"/>
  <c r="AL75" i="1" s="1"/>
  <c r="AH84" i="1"/>
  <c r="AH179" i="1"/>
  <c r="AH75" i="1"/>
  <c r="Z212" i="1"/>
  <c r="AI212" i="1" s="1"/>
  <c r="AH185" i="1"/>
  <c r="Z185" i="1"/>
  <c r="AI185" i="1" s="1"/>
  <c r="AC101" i="1"/>
  <c r="AL101" i="1" s="1"/>
  <c r="Z101" i="1"/>
  <c r="AI101" i="1" s="1"/>
  <c r="AD101" i="1"/>
  <c r="AM101" i="1" s="1"/>
  <c r="AB101" i="1"/>
  <c r="AK101" i="1" s="1"/>
  <c r="AE101" i="1"/>
  <c r="AN101" i="1" s="1"/>
  <c r="AA101" i="1"/>
  <c r="AJ101" i="1" s="1"/>
  <c r="AE201" i="1"/>
  <c r="AN201" i="1" s="1"/>
  <c r="AP201" i="1"/>
  <c r="AB209" i="1"/>
  <c r="AK209" i="1" s="1"/>
  <c r="AY209" i="1" s="1"/>
  <c r="AP209" i="1"/>
  <c r="AP224" i="1"/>
  <c r="AQ224" i="1" s="1"/>
  <c r="AR224" i="1" s="1"/>
  <c r="AS224" i="1" s="1"/>
  <c r="AT224" i="1" s="1"/>
  <c r="Z262" i="1"/>
  <c r="AI262" i="1" s="1"/>
  <c r="AE219" i="1"/>
  <c r="AN219" i="1" s="1"/>
  <c r="AP219" i="1"/>
  <c r="AD353" i="1"/>
  <c r="AM353" i="1" s="1"/>
  <c r="Z353" i="1"/>
  <c r="AI353" i="1" s="1"/>
  <c r="AC353" i="1"/>
  <c r="AL353" i="1" s="1"/>
  <c r="AE353" i="1"/>
  <c r="AN353" i="1" s="1"/>
  <c r="AB353" i="1"/>
  <c r="AK353" i="1" s="1"/>
  <c r="AA353" i="1"/>
  <c r="AJ353" i="1" s="1"/>
  <c r="AB289" i="1"/>
  <c r="AK289" i="1" s="1"/>
  <c r="AC289" i="1"/>
  <c r="AL289" i="1" s="1"/>
  <c r="Z289" i="1"/>
  <c r="AI289" i="1" s="1"/>
  <c r="AD289" i="1"/>
  <c r="AM289" i="1" s="1"/>
  <c r="AE289" i="1"/>
  <c r="AN289" i="1" s="1"/>
  <c r="AY289" i="1" s="1"/>
  <c r="AA289" i="1"/>
  <c r="AJ289" i="1" s="1"/>
  <c r="AP102" i="1"/>
  <c r="AQ102" i="1" s="1"/>
  <c r="AR102" i="1" s="1"/>
  <c r="AS102" i="1" s="1"/>
  <c r="AT102" i="1" s="1"/>
  <c r="AB102" i="1"/>
  <c r="AK102" i="1" s="1"/>
  <c r="AP166" i="1"/>
  <c r="AQ166" i="1" s="1"/>
  <c r="AR166" i="1" s="1"/>
  <c r="AS166" i="1" s="1"/>
  <c r="AT166" i="1" s="1"/>
  <c r="AB166" i="1"/>
  <c r="AK166" i="1" s="1"/>
  <c r="AB188" i="1"/>
  <c r="AK188" i="1" s="1"/>
  <c r="AP188" i="1"/>
  <c r="AQ188" i="1" s="1"/>
  <c r="AR188" i="1" s="1"/>
  <c r="AS188" i="1" s="1"/>
  <c r="AT188" i="1" s="1"/>
  <c r="AB176" i="1"/>
  <c r="AK176" i="1" s="1"/>
  <c r="AP176" i="1"/>
  <c r="AQ176" i="1" s="1"/>
  <c r="AR176" i="1" s="1"/>
  <c r="AS176" i="1" s="1"/>
  <c r="AT176" i="1" s="1"/>
  <c r="AB160" i="1"/>
  <c r="AK160" i="1" s="1"/>
  <c r="AP160" i="1"/>
  <c r="AQ160" i="1" s="1"/>
  <c r="AR160" i="1" s="1"/>
  <c r="AS160" i="1" s="1"/>
  <c r="AT160" i="1" s="1"/>
  <c r="AP148" i="1"/>
  <c r="AQ148" i="1" s="1"/>
  <c r="AR148" i="1" s="1"/>
  <c r="AS148" i="1" s="1"/>
  <c r="AT148" i="1" s="1"/>
  <c r="AB148" i="1"/>
  <c r="AK148" i="1" s="1"/>
  <c r="AP100" i="1"/>
  <c r="AB100" i="1"/>
  <c r="AK100" i="1" s="1"/>
  <c r="AP84" i="1"/>
  <c r="AQ84" i="1" s="1"/>
  <c r="AR84" i="1" s="1"/>
  <c r="AS84" i="1" s="1"/>
  <c r="AT84" i="1" s="1"/>
  <c r="AB84" i="1"/>
  <c r="AK84" i="1" s="1"/>
  <c r="AB119" i="1"/>
  <c r="AK119" i="1" s="1"/>
  <c r="AP119" i="1"/>
  <c r="AQ119" i="1" s="1"/>
  <c r="AR119" i="1" s="1"/>
  <c r="AS119" i="1" s="1"/>
  <c r="AT119" i="1" s="1"/>
  <c r="AB151" i="1"/>
  <c r="AK151" i="1" s="1"/>
  <c r="AP151" i="1"/>
  <c r="AQ151" i="1" s="1"/>
  <c r="AR151" i="1" s="1"/>
  <c r="AS151" i="1" s="1"/>
  <c r="AT151" i="1" s="1"/>
  <c r="AB183" i="1"/>
  <c r="AK183" i="1" s="1"/>
  <c r="AP183" i="1"/>
  <c r="AQ183" i="1" s="1"/>
  <c r="AR183" i="1" s="1"/>
  <c r="AS183" i="1" s="1"/>
  <c r="AT183" i="1" s="1"/>
  <c r="E13" i="1"/>
  <c r="AU496" i="1"/>
  <c r="Z496" i="1"/>
  <c r="AI496" i="1" s="1"/>
  <c r="AB575" i="1"/>
  <c r="AK575" i="1" s="1"/>
  <c r="AP575" i="1"/>
  <c r="AQ575" i="1" s="1"/>
  <c r="AR575" i="1" s="1"/>
  <c r="AS575" i="1" s="1"/>
  <c r="AT575" i="1" s="1"/>
  <c r="Z647" i="1"/>
  <c r="AI647" i="1" s="1"/>
  <c r="AD647" i="1"/>
  <c r="AM647" i="1" s="1"/>
  <c r="AC647" i="1"/>
  <c r="AL647" i="1" s="1"/>
  <c r="AA647" i="1"/>
  <c r="AJ647" i="1" s="1"/>
  <c r="AD627" i="1"/>
  <c r="AM627" i="1" s="1"/>
  <c r="AC627" i="1"/>
  <c r="AL627" i="1" s="1"/>
  <c r="AB627" i="1"/>
  <c r="AK627" i="1" s="1"/>
  <c r="AE627" i="1"/>
  <c r="AN627" i="1" s="1"/>
  <c r="Z627" i="1"/>
  <c r="AI627" i="1" s="1"/>
  <c r="AP122" i="1"/>
  <c r="AQ122" i="1" s="1"/>
  <c r="AR122" i="1" s="1"/>
  <c r="AS122" i="1" s="1"/>
  <c r="AT122" i="1" s="1"/>
  <c r="AB122" i="1"/>
  <c r="AK122" i="1" s="1"/>
  <c r="AB131" i="1"/>
  <c r="AK131" i="1" s="1"/>
  <c r="AP131" i="1"/>
  <c r="AU131" i="1" s="1"/>
  <c r="AP115" i="1"/>
  <c r="AQ115" i="1" s="1"/>
  <c r="AR115" i="1" s="1"/>
  <c r="AS115" i="1" s="1"/>
  <c r="AT115" i="1" s="1"/>
  <c r="Z285" i="1"/>
  <c r="AI285" i="1" s="1"/>
  <c r="AD554" i="1"/>
  <c r="AM554" i="1" s="1"/>
  <c r="AB554" i="1"/>
  <c r="AK554" i="1" s="1"/>
  <c r="AE554" i="1"/>
  <c r="AN554" i="1" s="1"/>
  <c r="AE433" i="1"/>
  <c r="AN433" i="1" s="1"/>
  <c r="AP433" i="1"/>
  <c r="AB242" i="1"/>
  <c r="AK242" i="1" s="1"/>
  <c r="AP242" i="1"/>
  <c r="AQ242" i="1" s="1"/>
  <c r="AR242" i="1" s="1"/>
  <c r="AS242" i="1" s="1"/>
  <c r="AT242" i="1" s="1"/>
  <c r="AH262" i="1"/>
  <c r="AH278" i="1"/>
  <c r="AH338" i="1"/>
  <c r="AB370" i="1"/>
  <c r="AK370" i="1" s="1"/>
  <c r="AP370" i="1"/>
  <c r="AQ370" i="1" s="1"/>
  <c r="AR370" i="1" s="1"/>
  <c r="AS370" i="1" s="1"/>
  <c r="AT370" i="1" s="1"/>
  <c r="AP338" i="1"/>
  <c r="AQ338" i="1" s="1"/>
  <c r="AR338" i="1" s="1"/>
  <c r="AS338" i="1" s="1"/>
  <c r="AT338" i="1" s="1"/>
  <c r="AB487" i="1"/>
  <c r="AK487" i="1" s="1"/>
  <c r="AA487" i="1"/>
  <c r="AJ487" i="1" s="1"/>
  <c r="AD487" i="1"/>
  <c r="AM487" i="1" s="1"/>
  <c r="AC487" i="1"/>
  <c r="AL487" i="1" s="1"/>
  <c r="AE487" i="1"/>
  <c r="AN487" i="1" s="1"/>
  <c r="AA391" i="1"/>
  <c r="AJ391" i="1" s="1"/>
  <c r="AD391" i="1"/>
  <c r="AM391" i="1" s="1"/>
  <c r="AE391" i="1"/>
  <c r="AN391" i="1" s="1"/>
  <c r="Z391" i="1"/>
  <c r="AI391" i="1" s="1"/>
  <c r="AC391" i="1"/>
  <c r="AL391" i="1" s="1"/>
  <c r="AB391" i="1"/>
  <c r="AK391" i="1" s="1"/>
  <c r="AA136" i="1"/>
  <c r="AJ136" i="1" s="1"/>
  <c r="AD136" i="1"/>
  <c r="AM136" i="1" s="1"/>
  <c r="AB136" i="1"/>
  <c r="AK136" i="1" s="1"/>
  <c r="Z136" i="1"/>
  <c r="AI136" i="1" s="1"/>
  <c r="AC136" i="1"/>
  <c r="AL136" i="1" s="1"/>
  <c r="AC146" i="1"/>
  <c r="AL146" i="1" s="1"/>
  <c r="AB146" i="1"/>
  <c r="AK146" i="1" s="1"/>
  <c r="Z146" i="1"/>
  <c r="AI146" i="1" s="1"/>
  <c r="Z590" i="1"/>
  <c r="AI590" i="1" s="1"/>
  <c r="Z552" i="1"/>
  <c r="AI552" i="1" s="1"/>
  <c r="AC620" i="1"/>
  <c r="AL620" i="1" s="1"/>
  <c r="AE620" i="1"/>
  <c r="AN620" i="1" s="1"/>
  <c r="AB620" i="1"/>
  <c r="AK620" i="1" s="1"/>
  <c r="Z620" i="1"/>
  <c r="AI620" i="1" s="1"/>
  <c r="AE511" i="1"/>
  <c r="AN511" i="1" s="1"/>
  <c r="AP511" i="1"/>
  <c r="AD546" i="1"/>
  <c r="AM546" i="1" s="1"/>
  <c r="Z546" i="1"/>
  <c r="AI546" i="1" s="1"/>
  <c r="AE546" i="1"/>
  <c r="AN546" i="1" s="1"/>
  <c r="Z663" i="1"/>
  <c r="AI663" i="1" s="1"/>
  <c r="AB663" i="1"/>
  <c r="AK663" i="1" s="1"/>
  <c r="AD663" i="1"/>
  <c r="AM663" i="1" s="1"/>
  <c r="AC663" i="1"/>
  <c r="AL663" i="1" s="1"/>
  <c r="Z630" i="1"/>
  <c r="AI630" i="1" s="1"/>
  <c r="AB459" i="1"/>
  <c r="AK459" i="1" s="1"/>
  <c r="AP459" i="1"/>
  <c r="AQ459" i="1" s="1"/>
  <c r="AR459" i="1" s="1"/>
  <c r="AS459" i="1" s="1"/>
  <c r="AT459" i="1" s="1"/>
  <c r="AB661" i="1"/>
  <c r="AK661" i="1" s="1"/>
  <c r="AP661" i="1"/>
  <c r="AQ661" i="1" s="1"/>
  <c r="AR661" i="1" s="1"/>
  <c r="AS661" i="1" s="1"/>
  <c r="AT661" i="1" s="1"/>
  <c r="AP550" i="1"/>
  <c r="AQ550" i="1" s="1"/>
  <c r="AR550" i="1" s="1"/>
  <c r="AS550" i="1" s="1"/>
  <c r="AT550" i="1" s="1"/>
  <c r="Z639" i="1"/>
  <c r="AI639" i="1" s="1"/>
  <c r="AA639" i="1"/>
  <c r="AJ639" i="1" s="1"/>
  <c r="AB639" i="1"/>
  <c r="AK639" i="1" s="1"/>
  <c r="AD639" i="1"/>
  <c r="AM639" i="1" s="1"/>
  <c r="AE639" i="1"/>
  <c r="AN639" i="1" s="1"/>
  <c r="AD661" i="1"/>
  <c r="AM661" i="1" s="1"/>
  <c r="AB278" i="1"/>
  <c r="AK278" i="1" s="1"/>
  <c r="AP278" i="1"/>
  <c r="AP454" i="1"/>
  <c r="AQ454" i="1" s="1"/>
  <c r="AR454" i="1" s="1"/>
  <c r="AS454" i="1" s="1"/>
  <c r="AT454" i="1" s="1"/>
  <c r="AB454" i="1"/>
  <c r="AK454" i="1" s="1"/>
  <c r="AP437" i="1"/>
  <c r="AE437" i="1"/>
  <c r="AN437" i="1" s="1"/>
  <c r="AH565" i="1"/>
  <c r="AH663" i="1"/>
  <c r="AP372" i="1"/>
  <c r="AQ372" i="1" s="1"/>
  <c r="AR372" i="1" s="1"/>
  <c r="AS372" i="1" s="1"/>
  <c r="AT372" i="1" s="1"/>
  <c r="AB372" i="1"/>
  <c r="AK372" i="1" s="1"/>
  <c r="AD332" i="1"/>
  <c r="AM332" i="1" s="1"/>
  <c r="AB332" i="1"/>
  <c r="AK332" i="1" s="1"/>
  <c r="AA332" i="1"/>
  <c r="AJ332" i="1" s="1"/>
  <c r="AC332" i="1"/>
  <c r="AL332" i="1" s="1"/>
  <c r="AH549" i="1"/>
  <c r="AB449" i="1"/>
  <c r="AK449" i="1" s="1"/>
  <c r="AB581" i="1"/>
  <c r="AK581" i="1" s="1"/>
  <c r="AP581" i="1"/>
  <c r="AQ581" i="1" s="1"/>
  <c r="AR581" i="1" s="1"/>
  <c r="AS581" i="1" s="1"/>
  <c r="AT581" i="1" s="1"/>
  <c r="Z531" i="1"/>
  <c r="AI531" i="1" s="1"/>
  <c r="AC531" i="1"/>
  <c r="AL531" i="1" s="1"/>
  <c r="AA531" i="1"/>
  <c r="AJ531" i="1" s="1"/>
  <c r="AB531" i="1"/>
  <c r="AK531" i="1" s="1"/>
  <c r="AE531" i="1"/>
  <c r="AN531" i="1" s="1"/>
  <c r="AD531" i="1"/>
  <c r="AM531" i="1" s="1"/>
  <c r="AA560" i="1"/>
  <c r="AJ560" i="1" s="1"/>
  <c r="AC560" i="1"/>
  <c r="AL560" i="1" s="1"/>
  <c r="AE560" i="1"/>
  <c r="AN560" i="1" s="1"/>
  <c r="AD560" i="1"/>
  <c r="AM560" i="1" s="1"/>
  <c r="Z426" i="1"/>
  <c r="AI426" i="1" s="1"/>
  <c r="AP626" i="1"/>
  <c r="AE626" i="1"/>
  <c r="AN626" i="1" s="1"/>
  <c r="AH380" i="1"/>
  <c r="Z575" i="1"/>
  <c r="AI575" i="1" s="1"/>
  <c r="AE535" i="1"/>
  <c r="AN535" i="1" s="1"/>
  <c r="AP535" i="1"/>
  <c r="AQ535" i="1" s="1"/>
  <c r="AR535" i="1" s="1"/>
  <c r="AS535" i="1" s="1"/>
  <c r="AT535" i="1" s="1"/>
  <c r="AB550" i="1"/>
  <c r="AK550" i="1" s="1"/>
  <c r="AD550" i="1"/>
  <c r="AM550" i="1" s="1"/>
  <c r="AC550" i="1"/>
  <c r="AL550" i="1" s="1"/>
  <c r="AE550" i="1"/>
  <c r="AN550" i="1" s="1"/>
  <c r="AA550" i="1"/>
  <c r="AJ550" i="1" s="1"/>
  <c r="Z550" i="1"/>
  <c r="AI550" i="1" s="1"/>
  <c r="AP455" i="1"/>
  <c r="AB455" i="1"/>
  <c r="AK455" i="1" s="1"/>
  <c r="AP438" i="1"/>
  <c r="AE438" i="1"/>
  <c r="AN438" i="1" s="1"/>
  <c r="AP489" i="1"/>
  <c r="AE489" i="1"/>
  <c r="AN489" i="1" s="1"/>
  <c r="AD606" i="1"/>
  <c r="AM606" i="1" s="1"/>
  <c r="AB606" i="1"/>
  <c r="AK606" i="1" s="1"/>
  <c r="AC606" i="1"/>
  <c r="AL606" i="1" s="1"/>
  <c r="Z606" i="1"/>
  <c r="AI606" i="1" s="1"/>
  <c r="Z510" i="1"/>
  <c r="AI510" i="1" s="1"/>
  <c r="AE510" i="1"/>
  <c r="AN510" i="1" s="1"/>
  <c r="AB577" i="1"/>
  <c r="AK577" i="1" s="1"/>
  <c r="AP577" i="1"/>
  <c r="AQ577" i="1" s="1"/>
  <c r="AR577" i="1" s="1"/>
  <c r="AS577" i="1" s="1"/>
  <c r="AT577" i="1" s="1"/>
  <c r="AB544" i="1"/>
  <c r="AK544" i="1" s="1"/>
  <c r="AE528" i="1"/>
  <c r="AN528" i="1" s="1"/>
  <c r="AC528" i="1"/>
  <c r="AL528" i="1" s="1"/>
  <c r="Z528" i="1"/>
  <c r="AI528" i="1" s="1"/>
  <c r="Z603" i="1"/>
  <c r="AI603" i="1" s="1"/>
  <c r="AD603" i="1"/>
  <c r="AM603" i="1" s="1"/>
  <c r="AH267" i="1"/>
  <c r="AD406" i="1"/>
  <c r="AM406" i="1" s="1"/>
  <c r="AE406" i="1"/>
  <c r="AN406" i="1" s="1"/>
  <c r="AB406" i="1"/>
  <c r="AK406" i="1" s="1"/>
  <c r="Z406" i="1"/>
  <c r="AI406" i="1" s="1"/>
  <c r="AH621" i="1"/>
  <c r="AD535" i="1"/>
  <c r="AM535" i="1" s="1"/>
  <c r="AD307" i="1"/>
  <c r="AM307" i="1" s="1"/>
  <c r="Z307" i="1"/>
  <c r="AI307" i="1" s="1"/>
  <c r="AC307" i="1"/>
  <c r="AL307" i="1" s="1"/>
  <c r="AA307" i="1"/>
  <c r="AJ307" i="1" s="1"/>
  <c r="AE307" i="1"/>
  <c r="AN307" i="1" s="1"/>
  <c r="Z591" i="1"/>
  <c r="AI591" i="1" s="1"/>
  <c r="AB407" i="1"/>
  <c r="AK407" i="1" s="1"/>
  <c r="AP552" i="1"/>
  <c r="AQ552" i="1" s="1"/>
  <c r="AR552" i="1" s="1"/>
  <c r="AS552" i="1" s="1"/>
  <c r="AT552" i="1" s="1"/>
  <c r="AB552" i="1"/>
  <c r="AK552" i="1" s="1"/>
  <c r="AH369" i="1"/>
  <c r="AB666" i="1"/>
  <c r="AK666" i="1" s="1"/>
  <c r="AP624" i="1"/>
  <c r="AU624" i="1" s="1"/>
  <c r="AE624" i="1"/>
  <c r="AN624" i="1" s="1"/>
  <c r="AC574" i="1"/>
  <c r="AL574" i="1" s="1"/>
  <c r="AB574" i="1"/>
  <c r="AK574" i="1" s="1"/>
  <c r="AD574" i="1"/>
  <c r="AM574" i="1" s="1"/>
  <c r="AA574" i="1"/>
  <c r="AJ574" i="1" s="1"/>
  <c r="AE574" i="1"/>
  <c r="AN574" i="1" s="1"/>
  <c r="Z574" i="1"/>
  <c r="AI574" i="1" s="1"/>
  <c r="AB599" i="1"/>
  <c r="AK599" i="1" s="1"/>
  <c r="Z599" i="1"/>
  <c r="AI599" i="1" s="1"/>
  <c r="AE599" i="1"/>
  <c r="AN599" i="1" s="1"/>
  <c r="AA599" i="1"/>
  <c r="AJ599" i="1" s="1"/>
  <c r="AC599" i="1"/>
  <c r="AL599" i="1" s="1"/>
  <c r="AB616" i="1"/>
  <c r="AK616" i="1" s="1"/>
  <c r="AA616" i="1"/>
  <c r="AJ616" i="1" s="1"/>
  <c r="AE616" i="1"/>
  <c r="AN616" i="1" s="1"/>
  <c r="Z616" i="1"/>
  <c r="AI616" i="1" s="1"/>
  <c r="AC616" i="1"/>
  <c r="AL616" i="1" s="1"/>
  <c r="Z588" i="1"/>
  <c r="AI588" i="1" s="1"/>
  <c r="AH312" i="1"/>
  <c r="AB633" i="1"/>
  <c r="AK633" i="1" s="1"/>
  <c r="AY633" i="1" s="1"/>
  <c r="AZ633" i="1" s="1"/>
  <c r="AD515" i="1"/>
  <c r="AM515" i="1" s="1"/>
  <c r="AB515" i="1"/>
  <c r="AK515" i="1" s="1"/>
  <c r="AE515" i="1"/>
  <c r="AN515" i="1" s="1"/>
  <c r="AA515" i="1"/>
  <c r="AJ515" i="1" s="1"/>
  <c r="AC515" i="1"/>
  <c r="AL515" i="1" s="1"/>
  <c r="AA495" i="1"/>
  <c r="AJ495" i="1" s="1"/>
  <c r="AD495" i="1"/>
  <c r="AM495" i="1" s="1"/>
  <c r="Z495" i="1"/>
  <c r="AI495" i="1" s="1"/>
  <c r="AC495" i="1"/>
  <c r="AL495" i="1" s="1"/>
  <c r="AE495" i="1"/>
  <c r="AN495" i="1" s="1"/>
  <c r="AB495" i="1"/>
  <c r="AK495" i="1" s="1"/>
  <c r="Z315" i="1"/>
  <c r="AI315" i="1" s="1"/>
  <c r="AP393" i="1"/>
  <c r="AQ393" i="1" s="1"/>
  <c r="AR393" i="1" s="1"/>
  <c r="AS393" i="1" s="1"/>
  <c r="AT393" i="1" s="1"/>
  <c r="AB393" i="1"/>
  <c r="AK393" i="1" s="1"/>
  <c r="AB431" i="1"/>
  <c r="AK431" i="1" s="1"/>
  <c r="AP431" i="1"/>
  <c r="AQ431" i="1" s="1"/>
  <c r="AR431" i="1" s="1"/>
  <c r="AS431" i="1" s="1"/>
  <c r="AT431" i="1" s="1"/>
  <c r="AB386" i="1"/>
  <c r="AK386" i="1" s="1"/>
  <c r="AA386" i="1"/>
  <c r="AJ386" i="1" s="1"/>
  <c r="AC386" i="1"/>
  <c r="AL386" i="1" s="1"/>
  <c r="AD386" i="1"/>
  <c r="AM386" i="1" s="1"/>
  <c r="Z386" i="1"/>
  <c r="AI386" i="1" s="1"/>
  <c r="AI435" i="1"/>
  <c r="AH435" i="1"/>
  <c r="AE383" i="1"/>
  <c r="AN383" i="1" s="1"/>
  <c r="AP383" i="1"/>
  <c r="Z400" i="1"/>
  <c r="AI400" i="1" s="1"/>
  <c r="AH325" i="1"/>
  <c r="AE525" i="1"/>
  <c r="AN525" i="1" s="1"/>
  <c r="AP525" i="1"/>
  <c r="AH260" i="1"/>
  <c r="Z199" i="1"/>
  <c r="AI199" i="1" s="1"/>
  <c r="AD199" i="1"/>
  <c r="AM199" i="1" s="1"/>
  <c r="AC199" i="1"/>
  <c r="AL199" i="1" s="1"/>
  <c r="AB199" i="1"/>
  <c r="AK199" i="1" s="1"/>
  <c r="AA199" i="1"/>
  <c r="AJ199" i="1" s="1"/>
  <c r="Z183" i="1"/>
  <c r="AI183" i="1" s="1"/>
  <c r="AE229" i="1"/>
  <c r="AN229" i="1" s="1"/>
  <c r="AA229" i="1"/>
  <c r="AJ229" i="1" s="1"/>
  <c r="Z229" i="1"/>
  <c r="AI229" i="1" s="1"/>
  <c r="AC229" i="1"/>
  <c r="AL229" i="1" s="1"/>
  <c r="AB229" i="1"/>
  <c r="AK229" i="1" s="1"/>
  <c r="AY229" i="1" s="1"/>
  <c r="AZ229" i="1" s="1"/>
  <c r="AH230" i="1"/>
  <c r="AE154" i="1"/>
  <c r="AN154" i="1" s="1"/>
  <c r="AD154" i="1"/>
  <c r="AM154" i="1" s="1"/>
  <c r="Z154" i="1"/>
  <c r="AI154" i="1" s="1"/>
  <c r="AB271" i="1"/>
  <c r="AK271" i="1" s="1"/>
  <c r="AP271" i="1"/>
  <c r="AQ271" i="1" s="1"/>
  <c r="AR271" i="1" s="1"/>
  <c r="AS271" i="1" s="1"/>
  <c r="AT271" i="1" s="1"/>
  <c r="AD134" i="1"/>
  <c r="AM134" i="1" s="1"/>
  <c r="Z134" i="1"/>
  <c r="AI134" i="1" s="1"/>
  <c r="AE227" i="1"/>
  <c r="AN227" i="1" s="1"/>
  <c r="AA227" i="1"/>
  <c r="AJ227" i="1" s="1"/>
  <c r="AC227" i="1"/>
  <c r="AL227" i="1" s="1"/>
  <c r="AB227" i="1"/>
  <c r="AK227" i="1" s="1"/>
  <c r="AD249" i="1"/>
  <c r="AM249" i="1" s="1"/>
  <c r="AA249" i="1"/>
  <c r="AJ249" i="1" s="1"/>
  <c r="AE249" i="1"/>
  <c r="AN249" i="1" s="1"/>
  <c r="AB249" i="1"/>
  <c r="AK249" i="1" s="1"/>
  <c r="AE157" i="1"/>
  <c r="AN157" i="1" s="1"/>
  <c r="AP157" i="1"/>
  <c r="AQ157" i="1" s="1"/>
  <c r="AR157" i="1" s="1"/>
  <c r="AS157" i="1" s="1"/>
  <c r="AT157" i="1" s="1"/>
  <c r="AB70" i="1"/>
  <c r="AK70" i="1" s="1"/>
  <c r="AP70" i="1"/>
  <c r="AP83" i="1"/>
  <c r="AQ83" i="1" s="1"/>
  <c r="AR83" i="1" s="1"/>
  <c r="AS83" i="1" s="1"/>
  <c r="AT83" i="1" s="1"/>
  <c r="AB83" i="1"/>
  <c r="AK83" i="1" s="1"/>
  <c r="AE121" i="1"/>
  <c r="AN121" i="1" s="1"/>
  <c r="AP121" i="1"/>
  <c r="AH133" i="1"/>
  <c r="AA150" i="1"/>
  <c r="AJ150" i="1" s="1"/>
  <c r="AE150" i="1"/>
  <c r="AN150" i="1" s="1"/>
  <c r="AB150" i="1"/>
  <c r="AK150" i="1" s="1"/>
  <c r="AH207" i="1"/>
  <c r="X184" i="1"/>
  <c r="AG184" i="1" s="1"/>
  <c r="F9" i="1" s="1"/>
  <c r="DR3" i="1" s="1"/>
  <c r="E9" i="1"/>
  <c r="DR2" i="1" s="1"/>
  <c r="W26" i="1"/>
  <c r="X26" i="1"/>
  <c r="AC149" i="1"/>
  <c r="AL149" i="1" s="1"/>
  <c r="AA149" i="1"/>
  <c r="AJ149" i="1" s="1"/>
  <c r="Z149" i="1"/>
  <c r="AI149" i="1" s="1"/>
  <c r="AD149" i="1"/>
  <c r="AM149" i="1" s="1"/>
  <c r="AA221" i="1"/>
  <c r="AJ221" i="1" s="1"/>
  <c r="AC221" i="1"/>
  <c r="AL221" i="1" s="1"/>
  <c r="AB221" i="1"/>
  <c r="AK221" i="1" s="1"/>
  <c r="AE221" i="1"/>
  <c r="AN221" i="1" s="1"/>
  <c r="AP204" i="1"/>
  <c r="AQ204" i="1" s="1"/>
  <c r="AR204" i="1" s="1"/>
  <c r="AS204" i="1" s="1"/>
  <c r="AT204" i="1" s="1"/>
  <c r="AH161" i="1"/>
  <c r="AH154" i="1"/>
  <c r="Z108" i="1"/>
  <c r="AI108" i="1" s="1"/>
  <c r="AE108" i="1"/>
  <c r="AN108" i="1" s="1"/>
  <c r="AD108" i="1"/>
  <c r="AM108" i="1" s="1"/>
  <c r="Z162" i="1"/>
  <c r="AI162" i="1" s="1"/>
  <c r="AC158" i="1"/>
  <c r="AL158" i="1" s="1"/>
  <c r="AD158" i="1"/>
  <c r="AM158" i="1" s="1"/>
  <c r="AB158" i="1"/>
  <c r="AK158" i="1" s="1"/>
  <c r="AA158" i="1"/>
  <c r="AJ158" i="1" s="1"/>
  <c r="AE109" i="1"/>
  <c r="AN109" i="1" s="1"/>
  <c r="Z109" i="1"/>
  <c r="AI109" i="1" s="1"/>
  <c r="AB109" i="1"/>
  <c r="AK109" i="1" s="1"/>
  <c r="AD109" i="1"/>
  <c r="AM109" i="1" s="1"/>
  <c r="AA109" i="1"/>
  <c r="AJ109" i="1" s="1"/>
  <c r="E12" i="1"/>
  <c r="AE184" i="1"/>
  <c r="AN184" i="1" s="1"/>
  <c r="Z184" i="1"/>
  <c r="AI184" i="1" s="1"/>
  <c r="AA184" i="1"/>
  <c r="AJ184" i="1" s="1"/>
  <c r="AD184" i="1"/>
  <c r="AM184" i="1" s="1"/>
  <c r="E16" i="1"/>
  <c r="DY2" i="1" s="1"/>
  <c r="AA291" i="1"/>
  <c r="AJ291" i="1" s="1"/>
  <c r="AC291" i="1"/>
  <c r="AL291" i="1" s="1"/>
  <c r="AB291" i="1"/>
  <c r="AK291" i="1" s="1"/>
  <c r="Z291" i="1"/>
  <c r="AI291" i="1" s="1"/>
  <c r="AD291" i="1"/>
  <c r="AM291" i="1" s="1"/>
  <c r="AC245" i="1"/>
  <c r="AL245" i="1" s="1"/>
  <c r="AB245" i="1"/>
  <c r="AK245" i="1" s="1"/>
  <c r="AU597" i="1"/>
  <c r="AQ597" i="1"/>
  <c r="AR597" i="1" s="1"/>
  <c r="AS597" i="1" s="1"/>
  <c r="AT597" i="1" s="1"/>
  <c r="AD310" i="1"/>
  <c r="AM310" i="1" s="1"/>
  <c r="AP500" i="1"/>
  <c r="E10" i="1"/>
  <c r="DS2" i="1" s="1"/>
  <c r="AA554" i="1"/>
  <c r="AJ554" i="1" s="1"/>
  <c r="E15" i="1"/>
  <c r="AP592" i="1"/>
  <c r="AQ592" i="1" s="1"/>
  <c r="AR592" i="1" s="1"/>
  <c r="AS592" i="1" s="1"/>
  <c r="AT592" i="1" s="1"/>
  <c r="Z158" i="1"/>
  <c r="AI158" i="1" s="1"/>
  <c r="AE136" i="1"/>
  <c r="AN136" i="1" s="1"/>
  <c r="AB647" i="1"/>
  <c r="AK647" i="1" s="1"/>
  <c r="AA627" i="1"/>
  <c r="AJ627" i="1" s="1"/>
  <c r="AP629" i="1"/>
  <c r="AQ629" i="1" s="1"/>
  <c r="AR629" i="1" s="1"/>
  <c r="AS629" i="1" s="1"/>
  <c r="AT629" i="1" s="1"/>
  <c r="AC510" i="1"/>
  <c r="AL510" i="1" s="1"/>
  <c r="Z560" i="1"/>
  <c r="AI560" i="1" s="1"/>
  <c r="AC134" i="1"/>
  <c r="AL134" i="1" s="1"/>
  <c r="AA134" i="1"/>
  <c r="AJ134" i="1" s="1"/>
  <c r="AA154" i="1"/>
  <c r="AJ154" i="1" s="1"/>
  <c r="AA603" i="1"/>
  <c r="AJ603" i="1" s="1"/>
  <c r="AD227" i="1"/>
  <c r="AM227" i="1" s="1"/>
  <c r="AP92" i="1"/>
  <c r="AB598" i="1"/>
  <c r="AK598" i="1" s="1"/>
  <c r="AE663" i="1"/>
  <c r="AN663" i="1" s="1"/>
  <c r="AE291" i="1"/>
  <c r="AN291" i="1" s="1"/>
  <c r="AC184" i="1"/>
  <c r="AL184" i="1" s="1"/>
  <c r="AH268" i="1"/>
  <c r="AB149" i="1"/>
  <c r="AK149" i="1" s="1"/>
  <c r="AC249" i="1"/>
  <c r="AL249" i="1" s="1"/>
  <c r="Z487" i="1"/>
  <c r="AI487" i="1" s="1"/>
  <c r="AA245" i="1"/>
  <c r="AJ245" i="1" s="1"/>
  <c r="AP449" i="1"/>
  <c r="AQ449" i="1" s="1"/>
  <c r="AR449" i="1" s="1"/>
  <c r="AS449" i="1" s="1"/>
  <c r="AT449" i="1" s="1"/>
  <c r="AE288" i="1"/>
  <c r="AN288" i="1" s="1"/>
  <c r="Z509" i="1"/>
  <c r="AI509" i="1" s="1"/>
  <c r="AE194" i="1"/>
  <c r="AN194" i="1" s="1"/>
  <c r="AE557" i="1"/>
  <c r="AN557" i="1" s="1"/>
  <c r="AA169" i="1"/>
  <c r="AJ169" i="1" s="1"/>
  <c r="AE332" i="1"/>
  <c r="AN332" i="1" s="1"/>
  <c r="E11" i="1"/>
  <c r="DT2" i="1" s="1"/>
  <c r="Z515" i="1"/>
  <c r="AI515" i="1" s="1"/>
  <c r="AE603" i="1"/>
  <c r="AN603" i="1" s="1"/>
  <c r="AP538" i="1"/>
  <c r="AA116" i="1"/>
  <c r="AJ116" i="1" s="1"/>
  <c r="AA510" i="1"/>
  <c r="AJ510" i="1" s="1"/>
  <c r="AH165" i="1"/>
  <c r="AE622" i="1"/>
  <c r="AN622" i="1" s="1"/>
  <c r="AB510" i="1"/>
  <c r="AK510" i="1" s="1"/>
  <c r="AE399" i="1"/>
  <c r="AN399" i="1" s="1"/>
  <c r="AC406" i="1"/>
  <c r="AL406" i="1" s="1"/>
  <c r="AC154" i="1"/>
  <c r="AL154" i="1" s="1"/>
  <c r="AB603" i="1"/>
  <c r="AK603" i="1" s="1"/>
  <c r="Z332" i="1"/>
  <c r="AI332" i="1" s="1"/>
  <c r="AB184" i="1"/>
  <c r="AK184" i="1" s="1"/>
  <c r="AC108" i="1"/>
  <c r="AL108" i="1" s="1"/>
  <c r="AB115" i="1"/>
  <c r="AK115" i="1" s="1"/>
  <c r="Z82" i="1"/>
  <c r="AI82" i="1" s="1"/>
  <c r="Z443" i="1"/>
  <c r="AI443" i="1" s="1"/>
  <c r="AB444" i="1"/>
  <c r="AK444" i="1" s="1"/>
  <c r="AD599" i="1"/>
  <c r="AM599" i="1" s="1"/>
  <c r="AP633" i="1"/>
  <c r="AQ633" i="1" s="1"/>
  <c r="AR633" i="1" s="1"/>
  <c r="AS633" i="1" s="1"/>
  <c r="AT633" i="1" s="1"/>
  <c r="AC116" i="1"/>
  <c r="AL116" i="1" s="1"/>
  <c r="AP270" i="1"/>
  <c r="AQ270" i="1" s="1"/>
  <c r="AR270" i="1" s="1"/>
  <c r="AS270" i="1" s="1"/>
  <c r="AT270" i="1" s="1"/>
  <c r="AB79" i="1"/>
  <c r="AK79" i="1" s="1"/>
  <c r="AP333" i="1"/>
  <c r="AP426" i="1"/>
  <c r="AQ426" i="1" s="1"/>
  <c r="AR426" i="1" s="1"/>
  <c r="AS426" i="1" s="1"/>
  <c r="AT426" i="1" s="1"/>
  <c r="AB484" i="1"/>
  <c r="AK484" i="1" s="1"/>
  <c r="AC639" i="1"/>
  <c r="AL639" i="1" s="1"/>
  <c r="AH107" i="1"/>
  <c r="AC554" i="1"/>
  <c r="AL554" i="1" s="1"/>
  <c r="AA528" i="1"/>
  <c r="AJ528" i="1" s="1"/>
  <c r="AD116" i="1"/>
  <c r="AM116" i="1" s="1"/>
  <c r="AA99" i="1"/>
  <c r="AJ99" i="1" s="1"/>
  <c r="Z221" i="1"/>
  <c r="AI221" i="1" s="1"/>
  <c r="AD528" i="1"/>
  <c r="AM528" i="1" s="1"/>
  <c r="AD510" i="1"/>
  <c r="AM510" i="1" s="1"/>
  <c r="AA606" i="1"/>
  <c r="AJ606" i="1" s="1"/>
  <c r="Z78" i="1"/>
  <c r="AI78" i="1" s="1"/>
  <c r="AE134" i="1"/>
  <c r="AN134" i="1" s="1"/>
  <c r="AC603" i="1"/>
  <c r="AL603" i="1" s="1"/>
  <c r="AB99" i="1"/>
  <c r="AK99" i="1" s="1"/>
  <c r="AE149" i="1"/>
  <c r="AN149" i="1" s="1"/>
  <c r="AE158" i="1"/>
  <c r="AN158" i="1" s="1"/>
  <c r="AP223" i="1"/>
  <c r="AQ223" i="1" s="1"/>
  <c r="AR223" i="1" s="1"/>
  <c r="AS223" i="1" s="1"/>
  <c r="AT223" i="1" s="1"/>
  <c r="AE199" i="1"/>
  <c r="AN199" i="1" s="1"/>
  <c r="AE655" i="1"/>
  <c r="AN655" i="1" s="1"/>
  <c r="Z506" i="1"/>
  <c r="AI506" i="1" s="1"/>
  <c r="Z245" i="1"/>
  <c r="AI245" i="1" s="1"/>
  <c r="AI351" i="1"/>
  <c r="AE299" i="1"/>
  <c r="AN299" i="1" s="1"/>
  <c r="AP407" i="1"/>
  <c r="AQ407" i="1" s="1"/>
  <c r="AR407" i="1" s="1"/>
  <c r="AS407" i="1" s="1"/>
  <c r="AT407" i="1" s="1"/>
  <c r="AC150" i="1"/>
  <c r="AL150" i="1" s="1"/>
  <c r="AQ413" i="1"/>
  <c r="AR413" i="1" s="1"/>
  <c r="AS413" i="1" s="1"/>
  <c r="AT413" i="1" s="1"/>
  <c r="AU413" i="1"/>
  <c r="AD125" i="1"/>
  <c r="AM125" i="1" s="1"/>
  <c r="AB125" i="1"/>
  <c r="AK125" i="1" s="1"/>
  <c r="AD186" i="1"/>
  <c r="AM186" i="1" s="1"/>
  <c r="AC186" i="1"/>
  <c r="AL186" i="1" s="1"/>
  <c r="AB186" i="1"/>
  <c r="AK186" i="1" s="1"/>
  <c r="AA186" i="1"/>
  <c r="AJ186" i="1" s="1"/>
  <c r="AE215" i="1"/>
  <c r="AN215" i="1" s="1"/>
  <c r="AD215" i="1"/>
  <c r="AM215" i="1" s="1"/>
  <c r="AC215" i="1"/>
  <c r="AL215" i="1" s="1"/>
  <c r="AB215" i="1"/>
  <c r="AK215" i="1" s="1"/>
  <c r="Z215" i="1"/>
  <c r="AI215" i="1" s="1"/>
  <c r="AD235" i="1"/>
  <c r="AM235" i="1" s="1"/>
  <c r="AA235" i="1"/>
  <c r="AJ235" i="1" s="1"/>
  <c r="AU308" i="1"/>
  <c r="AQ515" i="1"/>
  <c r="AR515" i="1" s="1"/>
  <c r="AS515" i="1" s="1"/>
  <c r="AT515" i="1" s="1"/>
  <c r="AH198" i="1"/>
  <c r="AD144" i="1"/>
  <c r="AM144" i="1" s="1"/>
  <c r="AP217" i="1"/>
  <c r="AP256" i="1"/>
  <c r="AQ256" i="1" s="1"/>
  <c r="AR256" i="1" s="1"/>
  <c r="AS256" i="1" s="1"/>
  <c r="AT256" i="1" s="1"/>
  <c r="AB256" i="1"/>
  <c r="AK256" i="1" s="1"/>
  <c r="Z151" i="1"/>
  <c r="AI151" i="1" s="1"/>
  <c r="AE151" i="1"/>
  <c r="AN151" i="1" s="1"/>
  <c r="AE187" i="1"/>
  <c r="AN187" i="1" s="1"/>
  <c r="Z187" i="1"/>
  <c r="AI187" i="1" s="1"/>
  <c r="AD187" i="1"/>
  <c r="AM187" i="1" s="1"/>
  <c r="AC187" i="1"/>
  <c r="AL187" i="1" s="1"/>
  <c r="AC211" i="1"/>
  <c r="AL211" i="1" s="1"/>
  <c r="AD211" i="1"/>
  <c r="AM211" i="1" s="1"/>
  <c r="AB257" i="1"/>
  <c r="AK257" i="1" s="1"/>
  <c r="AP257" i="1"/>
  <c r="AD179" i="1"/>
  <c r="AM179" i="1" s="1"/>
  <c r="Z179" i="1"/>
  <c r="AI179" i="1" s="1"/>
  <c r="AC179" i="1"/>
  <c r="AL179" i="1" s="1"/>
  <c r="AH233" i="1"/>
  <c r="AA420" i="1"/>
  <c r="AJ420" i="1" s="1"/>
  <c r="AE420" i="1"/>
  <c r="AN420" i="1" s="1"/>
  <c r="Z420" i="1"/>
  <c r="AI420" i="1" s="1"/>
  <c r="AC420" i="1"/>
  <c r="AL420" i="1" s="1"/>
  <c r="AB420" i="1"/>
  <c r="AK420" i="1" s="1"/>
  <c r="AP342" i="1"/>
  <c r="AQ342" i="1" s="1"/>
  <c r="AR342" i="1" s="1"/>
  <c r="AS342" i="1" s="1"/>
  <c r="AT342" i="1" s="1"/>
  <c r="AA306" i="1"/>
  <c r="AJ306" i="1" s="1"/>
  <c r="Z306" i="1"/>
  <c r="AI306" i="1" s="1"/>
  <c r="AC306" i="1"/>
  <c r="AL306" i="1" s="1"/>
  <c r="AB306" i="1"/>
  <c r="AK306" i="1" s="1"/>
  <c r="AI155" i="1"/>
  <c r="AH340" i="1"/>
  <c r="Z302" i="1"/>
  <c r="AI302" i="1" s="1"/>
  <c r="Z204" i="1"/>
  <c r="AI204" i="1" s="1"/>
  <c r="AA204" i="1"/>
  <c r="AJ204" i="1" s="1"/>
  <c r="AB204" i="1"/>
  <c r="AK204" i="1" s="1"/>
  <c r="AY204" i="1" s="1"/>
  <c r="AZ204" i="1" s="1"/>
  <c r="AH562" i="1"/>
  <c r="AA381" i="1"/>
  <c r="AJ381" i="1" s="1"/>
  <c r="AA164" i="1"/>
  <c r="AJ164" i="1" s="1"/>
  <c r="AE164" i="1"/>
  <c r="AN164" i="1" s="1"/>
  <c r="AE93" i="1"/>
  <c r="AN93" i="1" s="1"/>
  <c r="AB93" i="1"/>
  <c r="AK93" i="1" s="1"/>
  <c r="AA93" i="1"/>
  <c r="AJ93" i="1" s="1"/>
  <c r="AP290" i="1"/>
  <c r="AU290" i="1" s="1"/>
  <c r="AB290" i="1"/>
  <c r="AK290" i="1" s="1"/>
  <c r="AD349" i="1"/>
  <c r="AM349" i="1" s="1"/>
  <c r="AC349" i="1"/>
  <c r="AL349" i="1" s="1"/>
  <c r="AC582" i="1"/>
  <c r="AL582" i="1" s="1"/>
  <c r="AE582" i="1"/>
  <c r="AN582" i="1" s="1"/>
  <c r="AH615" i="1"/>
  <c r="AH516" i="1"/>
  <c r="AC381" i="1"/>
  <c r="AL381" i="1" s="1"/>
  <c r="AI380" i="1"/>
  <c r="AB234" i="1"/>
  <c r="AK234" i="1" s="1"/>
  <c r="AD419" i="1"/>
  <c r="AM419" i="1" s="1"/>
  <c r="AC204" i="1"/>
  <c r="AL204" i="1" s="1"/>
  <c r="AA159" i="1"/>
  <c r="AJ159" i="1" s="1"/>
  <c r="AC140" i="1"/>
  <c r="AL140" i="1" s="1"/>
  <c r="AD140" i="1"/>
  <c r="AM140" i="1" s="1"/>
  <c r="AE140" i="1"/>
  <c r="AN140" i="1" s="1"/>
  <c r="AY140" i="1" s="1"/>
  <c r="AE499" i="1"/>
  <c r="AN499" i="1" s="1"/>
  <c r="Z499" i="1"/>
  <c r="AI499" i="1" s="1"/>
  <c r="AP315" i="1"/>
  <c r="AQ315" i="1" s="1"/>
  <c r="AR315" i="1" s="1"/>
  <c r="AS315" i="1" s="1"/>
  <c r="AT315" i="1" s="1"/>
  <c r="AE315" i="1"/>
  <c r="AN315" i="1" s="1"/>
  <c r="AH157" i="1"/>
  <c r="Z381" i="1"/>
  <c r="AI381" i="1" s="1"/>
  <c r="AB381" i="1"/>
  <c r="AK381" i="1" s="1"/>
  <c r="AR649" i="1"/>
  <c r="AS649" i="1" s="1"/>
  <c r="AT649" i="1" s="1"/>
  <c r="AA349" i="1"/>
  <c r="AJ349" i="1" s="1"/>
  <c r="AB159" i="1"/>
  <c r="AK159" i="1" s="1"/>
  <c r="Z150" i="1"/>
  <c r="AI150" i="1" s="1"/>
  <c r="Z231" i="1"/>
  <c r="AI231" i="1" s="1"/>
  <c r="AE231" i="1"/>
  <c r="AN231" i="1" s="1"/>
  <c r="AD299" i="1"/>
  <c r="AM299" i="1" s="1"/>
  <c r="AA299" i="1"/>
  <c r="AJ299" i="1" s="1"/>
  <c r="AD504" i="1"/>
  <c r="AM504" i="1" s="1"/>
  <c r="AA504" i="1"/>
  <c r="AJ504" i="1" s="1"/>
  <c r="AC319" i="1"/>
  <c r="AL319" i="1" s="1"/>
  <c r="AA319" i="1"/>
  <c r="AJ319" i="1" s="1"/>
  <c r="AA529" i="1"/>
  <c r="AJ529" i="1" s="1"/>
  <c r="AD529" i="1"/>
  <c r="AM529" i="1" s="1"/>
  <c r="Z529" i="1"/>
  <c r="AI529" i="1" s="1"/>
  <c r="AE529" i="1"/>
  <c r="AN529" i="1" s="1"/>
  <c r="AC529" i="1"/>
  <c r="AL529" i="1" s="1"/>
  <c r="AI363" i="1"/>
  <c r="AD95" i="1"/>
  <c r="AM95" i="1" s="1"/>
  <c r="AJ488" i="1"/>
  <c r="AA192" i="1"/>
  <c r="AJ192" i="1" s="1"/>
  <c r="AP134" i="1"/>
  <c r="AQ134" i="1" s="1"/>
  <c r="AR134" i="1" s="1"/>
  <c r="AS134" i="1" s="1"/>
  <c r="AT134" i="1" s="1"/>
  <c r="AD182" i="1"/>
  <c r="AM182" i="1" s="1"/>
  <c r="AD85" i="1"/>
  <c r="AM85" i="1" s="1"/>
  <c r="AP241" i="1"/>
  <c r="AA620" i="1"/>
  <c r="AJ620" i="1" s="1"/>
  <c r="AP385" i="1"/>
  <c r="AD359" i="1"/>
  <c r="AM359" i="1" s="1"/>
  <c r="AC216" i="1"/>
  <c r="AL216" i="1" s="1"/>
  <c r="AD216" i="1"/>
  <c r="AM216" i="1" s="1"/>
  <c r="AC655" i="1"/>
  <c r="AL655" i="1" s="1"/>
  <c r="AD655" i="1"/>
  <c r="AM655" i="1" s="1"/>
  <c r="AD557" i="1"/>
  <c r="AM557" i="1" s="1"/>
  <c r="Z557" i="1"/>
  <c r="AI557" i="1" s="1"/>
  <c r="AC614" i="1"/>
  <c r="AL614" i="1" s="1"/>
  <c r="AD614" i="1"/>
  <c r="AM614" i="1" s="1"/>
  <c r="AH460" i="1"/>
  <c r="AP544" i="1"/>
  <c r="AQ544" i="1" s="1"/>
  <c r="AR544" i="1" s="1"/>
  <c r="AS544" i="1" s="1"/>
  <c r="AT544" i="1" s="1"/>
  <c r="AD152" i="1"/>
  <c r="AM152" i="1" s="1"/>
  <c r="AE255" i="1"/>
  <c r="AN255" i="1" s="1"/>
  <c r="AB255" i="1"/>
  <c r="AK255" i="1" s="1"/>
  <c r="AA321" i="1"/>
  <c r="AJ321" i="1" s="1"/>
  <c r="AD321" i="1"/>
  <c r="AM321" i="1" s="1"/>
  <c r="Z161" i="1"/>
  <c r="AI161" i="1" s="1"/>
  <c r="AE161" i="1"/>
  <c r="AN161" i="1" s="1"/>
  <c r="AY161" i="1" s="1"/>
  <c r="AZ161" i="1" s="1"/>
  <c r="Z469" i="1"/>
  <c r="AI469" i="1" s="1"/>
  <c r="AB469" i="1"/>
  <c r="AK469" i="1" s="1"/>
  <c r="AE450" i="1"/>
  <c r="AN450" i="1" s="1"/>
  <c r="AA450" i="1"/>
  <c r="AJ450" i="1" s="1"/>
  <c r="AE318" i="1"/>
  <c r="AN318" i="1" s="1"/>
  <c r="AC318" i="1"/>
  <c r="AL318" i="1" s="1"/>
  <c r="AP255" i="1"/>
  <c r="AQ255" i="1" s="1"/>
  <c r="AR255" i="1" s="1"/>
  <c r="AS255" i="1" s="1"/>
  <c r="AT255" i="1" s="1"/>
  <c r="AD376" i="1"/>
  <c r="AM376" i="1" s="1"/>
  <c r="AE376" i="1"/>
  <c r="AN376" i="1" s="1"/>
  <c r="AC460" i="1"/>
  <c r="AL460" i="1" s="1"/>
  <c r="AA460" i="1"/>
  <c r="AJ460" i="1" s="1"/>
  <c r="AB584" i="1"/>
  <c r="AK584" i="1" s="1"/>
  <c r="Z584" i="1"/>
  <c r="AI584" i="1" s="1"/>
  <c r="AP72" i="1"/>
  <c r="AP382" i="1"/>
  <c r="AA147" i="1"/>
  <c r="AJ147" i="1" s="1"/>
  <c r="AA663" i="1"/>
  <c r="AJ663" i="1" s="1"/>
  <c r="Z553" i="1"/>
  <c r="AI553" i="1" s="1"/>
  <c r="AA614" i="1"/>
  <c r="AJ614" i="1" s="1"/>
  <c r="AE539" i="1"/>
  <c r="AN539" i="1" s="1"/>
  <c r="Z520" i="1"/>
  <c r="AI520" i="1" s="1"/>
  <c r="Z488" i="1"/>
  <c r="AI488" i="1" s="1"/>
  <c r="Z456" i="1"/>
  <c r="AI456" i="1" s="1"/>
  <c r="AD273" i="1"/>
  <c r="AM273" i="1" s="1"/>
  <c r="AA117" i="1"/>
  <c r="AJ117" i="1" s="1"/>
  <c r="AE95" i="1"/>
  <c r="AN95" i="1" s="1"/>
  <c r="AD150" i="1"/>
  <c r="AM150" i="1" s="1"/>
  <c r="AP280" i="1"/>
  <c r="AD246" i="1"/>
  <c r="AM246" i="1" s="1"/>
  <c r="AA174" i="1"/>
  <c r="AJ174" i="1" s="1"/>
  <c r="AA122" i="1"/>
  <c r="AJ122" i="1" s="1"/>
  <c r="Z645" i="1"/>
  <c r="AI645" i="1" s="1"/>
  <c r="AB371" i="1"/>
  <c r="AK371" i="1" s="1"/>
  <c r="AP475" i="1"/>
  <c r="AE329" i="1"/>
  <c r="AN329" i="1" s="1"/>
  <c r="Z216" i="1"/>
  <c r="AI216" i="1" s="1"/>
  <c r="AA378" i="1"/>
  <c r="AJ378" i="1" s="1"/>
  <c r="AA584" i="1"/>
  <c r="AJ584" i="1" s="1"/>
  <c r="AA666" i="1"/>
  <c r="AJ666" i="1" s="1"/>
  <c r="Z468" i="1"/>
  <c r="AI468" i="1" s="1"/>
  <c r="Z359" i="1"/>
  <c r="AI359" i="1" s="1"/>
  <c r="Z264" i="1"/>
  <c r="AI264" i="1" s="1"/>
  <c r="AD160" i="1"/>
  <c r="AM160" i="1" s="1"/>
  <c r="AE80" i="1"/>
  <c r="AN80" i="1" s="1"/>
  <c r="AP666" i="1"/>
  <c r="AQ666" i="1" s="1"/>
  <c r="AR666" i="1" s="1"/>
  <c r="AS666" i="1" s="1"/>
  <c r="AT666" i="1" s="1"/>
  <c r="AB442" i="1"/>
  <c r="AK442" i="1" s="1"/>
  <c r="AA507" i="1"/>
  <c r="AJ507" i="1" s="1"/>
  <c r="AB445" i="1"/>
  <c r="AK445" i="1" s="1"/>
  <c r="AA594" i="1"/>
  <c r="AJ594" i="1" s="1"/>
  <c r="AA360" i="1"/>
  <c r="AJ360" i="1" s="1"/>
  <c r="AD616" i="1"/>
  <c r="AM616" i="1" s="1"/>
  <c r="AD527" i="1"/>
  <c r="AM527" i="1" s="1"/>
  <c r="AP414" i="1"/>
  <c r="AQ414" i="1" s="1"/>
  <c r="AR414" i="1" s="1"/>
  <c r="AS414" i="1" s="1"/>
  <c r="AT414" i="1" s="1"/>
  <c r="AB216" i="1"/>
  <c r="AK216" i="1" s="1"/>
  <c r="AP106" i="1"/>
  <c r="AQ106" i="1" s="1"/>
  <c r="AR106" i="1" s="1"/>
  <c r="AS106" i="1" s="1"/>
  <c r="AT106" i="1" s="1"/>
  <c r="AP125" i="1"/>
  <c r="AE205" i="1"/>
  <c r="AN205" i="1" s="1"/>
  <c r="AA86" i="1"/>
  <c r="AJ86" i="1" s="1"/>
  <c r="AE258" i="1"/>
  <c r="AN258" i="1" s="1"/>
  <c r="Z321" i="1"/>
  <c r="AI321" i="1" s="1"/>
  <c r="AP162" i="1"/>
  <c r="AQ162" i="1" s="1"/>
  <c r="AR162" i="1" s="1"/>
  <c r="AS162" i="1" s="1"/>
  <c r="AT162" i="1" s="1"/>
  <c r="AA91" i="1"/>
  <c r="AJ91" i="1" s="1"/>
  <c r="Z91" i="1"/>
  <c r="AI91" i="1" s="1"/>
  <c r="AP107" i="1"/>
  <c r="Z525" i="1"/>
  <c r="AI525" i="1" s="1"/>
  <c r="AP466" i="1"/>
  <c r="AA472" i="1"/>
  <c r="AJ472" i="1" s="1"/>
  <c r="AD584" i="1"/>
  <c r="AM584" i="1" s="1"/>
  <c r="AD477" i="1"/>
  <c r="AM477" i="1" s="1"/>
  <c r="AJ209" i="1"/>
  <c r="AD630" i="1"/>
  <c r="AM630" i="1" s="1"/>
  <c r="AE575" i="1"/>
  <c r="AN575" i="1" s="1"/>
  <c r="AC111" i="1"/>
  <c r="AL111" i="1" s="1"/>
  <c r="AE152" i="1"/>
  <c r="AN152" i="1" s="1"/>
  <c r="AD631" i="1"/>
  <c r="AM631" i="1" s="1"/>
  <c r="AA494" i="1"/>
  <c r="AJ494" i="1" s="1"/>
  <c r="Z545" i="1"/>
  <c r="AI545" i="1" s="1"/>
  <c r="AP472" i="1"/>
  <c r="AC594" i="1"/>
  <c r="AL594" i="1" s="1"/>
  <c r="AP608" i="1"/>
  <c r="AA585" i="1"/>
  <c r="AJ585" i="1" s="1"/>
  <c r="AD576" i="1"/>
  <c r="AM576" i="1" s="1"/>
  <c r="AP411" i="1"/>
  <c r="AE245" i="1"/>
  <c r="AN245" i="1" s="1"/>
  <c r="AB572" i="1"/>
  <c r="AK572" i="1" s="1"/>
  <c r="Z360" i="1"/>
  <c r="AI360" i="1" s="1"/>
  <c r="AQ239" i="1"/>
  <c r="AR239" i="1" s="1"/>
  <c r="AS239" i="1" s="1"/>
  <c r="AT239" i="1" s="1"/>
  <c r="AQ80" i="1"/>
  <c r="AR80" i="1" s="1"/>
  <c r="AS80" i="1" s="1"/>
  <c r="AT80" i="1" s="1"/>
  <c r="Z104" i="1"/>
  <c r="AI104" i="1" s="1"/>
  <c r="AE104" i="1"/>
  <c r="AN104" i="1" s="1"/>
  <c r="AB104" i="1"/>
  <c r="AK104" i="1" s="1"/>
  <c r="AH483" i="1"/>
  <c r="Z197" i="1"/>
  <c r="AI197" i="1" s="1"/>
  <c r="AD197" i="1"/>
  <c r="AM197" i="1" s="1"/>
  <c r="AA197" i="1"/>
  <c r="AJ197" i="1" s="1"/>
  <c r="AH101" i="1"/>
  <c r="Z71" i="1"/>
  <c r="AI71" i="1" s="1"/>
  <c r="AD71" i="1"/>
  <c r="AM71" i="1" s="1"/>
  <c r="AD223" i="1"/>
  <c r="AM223" i="1" s="1"/>
  <c r="AA223" i="1"/>
  <c r="AJ223" i="1" s="1"/>
  <c r="AH108" i="1"/>
  <c r="AC81" i="1"/>
  <c r="AL81" i="1" s="1"/>
  <c r="AB71" i="1"/>
  <c r="AK71" i="1" s="1"/>
  <c r="AH170" i="1"/>
  <c r="AH414" i="1"/>
  <c r="AE117" i="1"/>
  <c r="AN117" i="1" s="1"/>
  <c r="AP103" i="1"/>
  <c r="AD117" i="1"/>
  <c r="AM117" i="1" s="1"/>
  <c r="AC104" i="1"/>
  <c r="AL104" i="1" s="1"/>
  <c r="AC197" i="1"/>
  <c r="AL197" i="1" s="1"/>
  <c r="AC159" i="1"/>
  <c r="AL159" i="1" s="1"/>
  <c r="AH238" i="1"/>
  <c r="AH163" i="1"/>
  <c r="AD159" i="1"/>
  <c r="AM159" i="1" s="1"/>
  <c r="AP128" i="1"/>
  <c r="AB197" i="1"/>
  <c r="AK197" i="1" s="1"/>
  <c r="AI427" i="1"/>
  <c r="AD373" i="1"/>
  <c r="AM373" i="1" s="1"/>
  <c r="AD482" i="1"/>
  <c r="AM482" i="1" s="1"/>
  <c r="AE301" i="1"/>
  <c r="AN301" i="1" s="1"/>
  <c r="Z80" i="1"/>
  <c r="AI80" i="1" s="1"/>
  <c r="AC321" i="1"/>
  <c r="AL321" i="1" s="1"/>
  <c r="AD620" i="1"/>
  <c r="AM620" i="1" s="1"/>
  <c r="AA546" i="1"/>
  <c r="AJ546" i="1" s="1"/>
  <c r="AD605" i="1"/>
  <c r="AM605" i="1" s="1"/>
  <c r="Z658" i="1"/>
  <c r="AI658" i="1" s="1"/>
  <c r="AC591" i="1"/>
  <c r="AL591" i="1" s="1"/>
  <c r="Z648" i="1"/>
  <c r="AI648" i="1" s="1"/>
  <c r="AA564" i="1"/>
  <c r="AJ564" i="1" s="1"/>
  <c r="AA415" i="1"/>
  <c r="AJ415" i="1" s="1"/>
  <c r="Z436" i="1"/>
  <c r="AI436" i="1" s="1"/>
  <c r="Z92" i="1"/>
  <c r="AI92" i="1" s="1"/>
  <c r="AA112" i="1"/>
  <c r="AJ112" i="1" s="1"/>
  <c r="AH232" i="1"/>
  <c r="AC205" i="1"/>
  <c r="AL205" i="1" s="1"/>
  <c r="AH151" i="1"/>
  <c r="AH653" i="1"/>
  <c r="AH71" i="1"/>
  <c r="AH160" i="1"/>
  <c r="AB651" i="1"/>
  <c r="AK651" i="1" s="1"/>
  <c r="AE651" i="1"/>
  <c r="AN651" i="1" s="1"/>
  <c r="AH564" i="1"/>
  <c r="AD208" i="1"/>
  <c r="AM208" i="1" s="1"/>
  <c r="AD368" i="1"/>
  <c r="AM368" i="1" s="1"/>
  <c r="AH381" i="1"/>
  <c r="AD469" i="1"/>
  <c r="AM469" i="1" s="1"/>
  <c r="AH591" i="1"/>
  <c r="AH646" i="1"/>
  <c r="AH467" i="1"/>
  <c r="AE463" i="1"/>
  <c r="AN463" i="1" s="1"/>
  <c r="AH481" i="1"/>
  <c r="AH585" i="1"/>
  <c r="AH321" i="1"/>
  <c r="AP200" i="1"/>
  <c r="Z74" i="1"/>
  <c r="AI74" i="1" s="1"/>
  <c r="AD74" i="1"/>
  <c r="AM74" i="1" s="1"/>
  <c r="AE482" i="1"/>
  <c r="AN482" i="1" s="1"/>
  <c r="Z482" i="1"/>
  <c r="AI482" i="1" s="1"/>
  <c r="AH443" i="1"/>
  <c r="AH420" i="1"/>
  <c r="AH148" i="1"/>
  <c r="AA586" i="1"/>
  <c r="AJ586" i="1" s="1"/>
  <c r="AB154" i="1"/>
  <c r="AK154" i="1" s="1"/>
  <c r="AH468" i="1"/>
  <c r="AH79" i="1"/>
  <c r="AH469" i="1"/>
  <c r="AA557" i="1"/>
  <c r="AJ557" i="1" s="1"/>
  <c r="AC541" i="1"/>
  <c r="AL541" i="1" s="1"/>
  <c r="AC457" i="1"/>
  <c r="AL457" i="1" s="1"/>
  <c r="AE147" i="1"/>
  <c r="AN147" i="1" s="1"/>
  <c r="AD147" i="1"/>
  <c r="AM147" i="1" s="1"/>
  <c r="AA146" i="1"/>
  <c r="AJ146" i="1" s="1"/>
  <c r="AE146" i="1"/>
  <c r="AN146" i="1" s="1"/>
  <c r="AH412" i="1"/>
  <c r="AD173" i="1"/>
  <c r="AM173" i="1" s="1"/>
  <c r="AA270" i="1"/>
  <c r="AJ270" i="1" s="1"/>
  <c r="AD270" i="1"/>
  <c r="AM270" i="1" s="1"/>
  <c r="AE615" i="1"/>
  <c r="AN615" i="1" s="1"/>
  <c r="AD146" i="1"/>
  <c r="AM146" i="1" s="1"/>
  <c r="AD414" i="1"/>
  <c r="AM414" i="1" s="1"/>
  <c r="AP421" i="1"/>
  <c r="AC112" i="1"/>
  <c r="AL112" i="1" s="1"/>
  <c r="AY470" i="1" l="1"/>
  <c r="AZ470" i="1" s="1"/>
  <c r="AY555" i="1"/>
  <c r="AZ555" i="1" s="1"/>
  <c r="AU376" i="1"/>
  <c r="AY277" i="1"/>
  <c r="AZ277" i="1" s="1"/>
  <c r="BA277" i="1" s="1"/>
  <c r="BB277" i="1" s="1"/>
  <c r="BC277" i="1" s="1"/>
  <c r="AY281" i="1"/>
  <c r="AQ317" i="1"/>
  <c r="AR317" i="1" s="1"/>
  <c r="AS317" i="1" s="1"/>
  <c r="AT317" i="1" s="1"/>
  <c r="AU641" i="1"/>
  <c r="AQ490" i="1"/>
  <c r="AR490" i="1" s="1"/>
  <c r="AS490" i="1" s="1"/>
  <c r="AT490" i="1" s="1"/>
  <c r="AY402" i="1"/>
  <c r="AZ402" i="1" s="1"/>
  <c r="AU205" i="1"/>
  <c r="AY267" i="1"/>
  <c r="AZ267" i="1" s="1"/>
  <c r="AU403" i="1"/>
  <c r="AY183" i="1"/>
  <c r="AZ183" i="1" s="1"/>
  <c r="BA183" i="1" s="1"/>
  <c r="BB183" i="1" s="1"/>
  <c r="BC183" i="1" s="1"/>
  <c r="AU227" i="1"/>
  <c r="AY303" i="1"/>
  <c r="AZ303" i="1" s="1"/>
  <c r="AY448" i="1"/>
  <c r="AZ448" i="1" s="1"/>
  <c r="BA448" i="1" s="1"/>
  <c r="BB448" i="1" s="1"/>
  <c r="BC448" i="1" s="1"/>
  <c r="AY665" i="1"/>
  <c r="AZ665" i="1" s="1"/>
  <c r="BA665" i="1" s="1"/>
  <c r="BB665" i="1" s="1"/>
  <c r="BC665" i="1" s="1"/>
  <c r="AY155" i="1"/>
  <c r="AZ155" i="1" s="1"/>
  <c r="BA155" i="1" s="1"/>
  <c r="BB155" i="1" s="1"/>
  <c r="BC155" i="1" s="1"/>
  <c r="AY257" i="1"/>
  <c r="AZ257" i="1" s="1"/>
  <c r="BA257" i="1" s="1"/>
  <c r="BB257" i="1" s="1"/>
  <c r="BC257" i="1" s="1"/>
  <c r="AY139" i="1"/>
  <c r="AZ139" i="1" s="1"/>
  <c r="BA139" i="1" s="1"/>
  <c r="BB139" i="1" s="1"/>
  <c r="BC139" i="1" s="1"/>
  <c r="AY159" i="1"/>
  <c r="AZ159" i="1" s="1"/>
  <c r="BA159" i="1" s="1"/>
  <c r="BB159" i="1" s="1"/>
  <c r="BC159" i="1" s="1"/>
  <c r="AY288" i="1"/>
  <c r="AZ288" i="1" s="1"/>
  <c r="BA288" i="1" s="1"/>
  <c r="BB288" i="1" s="1"/>
  <c r="BC288" i="1" s="1"/>
  <c r="AU510" i="1"/>
  <c r="AU603" i="1"/>
  <c r="AU418" i="1"/>
  <c r="AY191" i="1"/>
  <c r="AZ191" i="1" s="1"/>
  <c r="BA191" i="1" s="1"/>
  <c r="BB191" i="1" s="1"/>
  <c r="BC191" i="1" s="1"/>
  <c r="AU576" i="1"/>
  <c r="AQ614" i="1"/>
  <c r="AR614" i="1" s="1"/>
  <c r="AS614" i="1" s="1"/>
  <c r="AT614" i="1" s="1"/>
  <c r="AQ586" i="1"/>
  <c r="AR586" i="1" s="1"/>
  <c r="AS586" i="1" s="1"/>
  <c r="AT586" i="1" s="1"/>
  <c r="AU232" i="1"/>
  <c r="AU180" i="1"/>
  <c r="AY307" i="1"/>
  <c r="BD307" i="1" s="1"/>
  <c r="AU553" i="1"/>
  <c r="AY356" i="1"/>
  <c r="AZ356" i="1" s="1"/>
  <c r="BA356" i="1" s="1"/>
  <c r="BB356" i="1" s="1"/>
  <c r="BC356" i="1" s="1"/>
  <c r="AY472" i="1"/>
  <c r="AZ472" i="1" s="1"/>
  <c r="BA472" i="1" s="1"/>
  <c r="BB472" i="1" s="1"/>
  <c r="BC472" i="1" s="1"/>
  <c r="AY641" i="1"/>
  <c r="AZ641" i="1" s="1"/>
  <c r="BA641" i="1" s="1"/>
  <c r="BB641" i="1" s="1"/>
  <c r="BC641" i="1" s="1"/>
  <c r="AY425" i="1"/>
  <c r="AZ425" i="1" s="1"/>
  <c r="BA425" i="1" s="1"/>
  <c r="BB425" i="1" s="1"/>
  <c r="BC425" i="1" s="1"/>
  <c r="AY636" i="1"/>
  <c r="AZ636" i="1" s="1"/>
  <c r="AY422" i="1"/>
  <c r="AZ422" i="1" s="1"/>
  <c r="AY635" i="1"/>
  <c r="AZ635" i="1" s="1"/>
  <c r="BA635" i="1" s="1"/>
  <c r="BB635" i="1" s="1"/>
  <c r="BC635" i="1" s="1"/>
  <c r="AY250" i="1"/>
  <c r="AZ250" i="1" s="1"/>
  <c r="BA250" i="1" s="1"/>
  <c r="BB250" i="1" s="1"/>
  <c r="BC250" i="1" s="1"/>
  <c r="AY261" i="1"/>
  <c r="BD261" i="1" s="1"/>
  <c r="AY169" i="1"/>
  <c r="AZ169" i="1" s="1"/>
  <c r="BA169" i="1" s="1"/>
  <c r="BB169" i="1" s="1"/>
  <c r="BC169" i="1" s="1"/>
  <c r="AQ534" i="1"/>
  <c r="AR534" i="1" s="1"/>
  <c r="AS534" i="1" s="1"/>
  <c r="AT534" i="1" s="1"/>
  <c r="AQ324" i="1"/>
  <c r="AR324" i="1" s="1"/>
  <c r="AS324" i="1" s="1"/>
  <c r="AT324" i="1" s="1"/>
  <c r="AU606" i="1"/>
  <c r="AY317" i="1"/>
  <c r="AZ317" i="1" s="1"/>
  <c r="BA317" i="1" s="1"/>
  <c r="BB317" i="1" s="1"/>
  <c r="BC317" i="1" s="1"/>
  <c r="AU639" i="1"/>
  <c r="AQ281" i="1"/>
  <c r="AR281" i="1" s="1"/>
  <c r="AS281" i="1" s="1"/>
  <c r="AT281" i="1" s="1"/>
  <c r="AU353" i="1"/>
  <c r="AU354" i="1"/>
  <c r="AU314" i="1"/>
  <c r="AY622" i="1"/>
  <c r="AZ622" i="1" s="1"/>
  <c r="BA622" i="1" s="1"/>
  <c r="BB622" i="1" s="1"/>
  <c r="BC622" i="1" s="1"/>
  <c r="AY606" i="1"/>
  <c r="AZ606" i="1" s="1"/>
  <c r="BA606" i="1" s="1"/>
  <c r="BB606" i="1" s="1"/>
  <c r="BC606" i="1" s="1"/>
  <c r="AQ236" i="1"/>
  <c r="AR236" i="1" s="1"/>
  <c r="AS236" i="1" s="1"/>
  <c r="AT236" i="1" s="1"/>
  <c r="AQ401" i="1"/>
  <c r="AR401" i="1" s="1"/>
  <c r="AS401" i="1" s="1"/>
  <c r="AT401" i="1" s="1"/>
  <c r="AU463" i="1"/>
  <c r="AY304" i="1"/>
  <c r="AZ304" i="1" s="1"/>
  <c r="BA304" i="1" s="1"/>
  <c r="BB304" i="1" s="1"/>
  <c r="BC304" i="1" s="1"/>
  <c r="AU206" i="1"/>
  <c r="AY560" i="1"/>
  <c r="AZ560" i="1" s="1"/>
  <c r="BA560" i="1" s="1"/>
  <c r="BB560" i="1" s="1"/>
  <c r="BC560" i="1" s="1"/>
  <c r="AY153" i="1"/>
  <c r="AZ153" i="1" s="1"/>
  <c r="BA153" i="1" s="1"/>
  <c r="BB153" i="1" s="1"/>
  <c r="BC153" i="1" s="1"/>
  <c r="AY587" i="1"/>
  <c r="AZ587" i="1" s="1"/>
  <c r="BA587" i="1" s="1"/>
  <c r="BB587" i="1" s="1"/>
  <c r="BC587" i="1" s="1"/>
  <c r="AY517" i="1"/>
  <c r="AZ517" i="1" s="1"/>
  <c r="BA517" i="1" s="1"/>
  <c r="BB517" i="1" s="1"/>
  <c r="BC517" i="1" s="1"/>
  <c r="AY447" i="1"/>
  <c r="AZ447" i="1" s="1"/>
  <c r="BA447" i="1" s="1"/>
  <c r="BB447" i="1" s="1"/>
  <c r="BC447" i="1" s="1"/>
  <c r="AY364" i="1"/>
  <c r="AZ364" i="1" s="1"/>
  <c r="BA364" i="1" s="1"/>
  <c r="BB364" i="1" s="1"/>
  <c r="BC364" i="1" s="1"/>
  <c r="AY335" i="1"/>
  <c r="AZ335" i="1" s="1"/>
  <c r="BA335" i="1" s="1"/>
  <c r="BB335" i="1" s="1"/>
  <c r="BC335" i="1" s="1"/>
  <c r="AQ104" i="1"/>
  <c r="AR104" i="1" s="1"/>
  <c r="AS104" i="1" s="1"/>
  <c r="AT104" i="1" s="1"/>
  <c r="AU390" i="1"/>
  <c r="AY478" i="1"/>
  <c r="AZ478" i="1" s="1"/>
  <c r="BA478" i="1" s="1"/>
  <c r="BB478" i="1" s="1"/>
  <c r="BC478" i="1" s="1"/>
  <c r="AU321" i="1"/>
  <c r="AU545" i="1"/>
  <c r="AY536" i="1"/>
  <c r="AZ536" i="1" s="1"/>
  <c r="BA536" i="1" s="1"/>
  <c r="BB536" i="1" s="1"/>
  <c r="BC536" i="1" s="1"/>
  <c r="AY618" i="1"/>
  <c r="AZ618" i="1" s="1"/>
  <c r="BA618" i="1" s="1"/>
  <c r="BB618" i="1" s="1"/>
  <c r="BC618" i="1" s="1"/>
  <c r="AY564" i="1"/>
  <c r="AZ564" i="1" s="1"/>
  <c r="AY360" i="1"/>
  <c r="AZ360" i="1" s="1"/>
  <c r="BA360" i="1" s="1"/>
  <c r="BB360" i="1" s="1"/>
  <c r="BC360" i="1" s="1"/>
  <c r="AU81" i="1"/>
  <c r="AY533" i="1"/>
  <c r="AZ533" i="1" s="1"/>
  <c r="BA533" i="1" s="1"/>
  <c r="BB533" i="1" s="1"/>
  <c r="BC533" i="1" s="1"/>
  <c r="AY162" i="1"/>
  <c r="AZ162" i="1" s="1"/>
  <c r="BA162" i="1" s="1"/>
  <c r="BB162" i="1" s="1"/>
  <c r="BC162" i="1" s="1"/>
  <c r="AU145" i="1"/>
  <c r="AY134" i="1"/>
  <c r="AZ134" i="1" s="1"/>
  <c r="BA134" i="1" s="1"/>
  <c r="BB134" i="1" s="1"/>
  <c r="BC134" i="1" s="1"/>
  <c r="AU203" i="1"/>
  <c r="AY110" i="1"/>
  <c r="AZ110" i="1" s="1"/>
  <c r="BA110" i="1" s="1"/>
  <c r="BB110" i="1" s="1"/>
  <c r="BC110" i="1" s="1"/>
  <c r="AU375" i="1"/>
  <c r="AY358" i="1"/>
  <c r="AZ358" i="1" s="1"/>
  <c r="BA358" i="1" s="1"/>
  <c r="BB358" i="1" s="1"/>
  <c r="BC358" i="1" s="1"/>
  <c r="AY471" i="1"/>
  <c r="AZ471" i="1" s="1"/>
  <c r="BA471" i="1" s="1"/>
  <c r="BB471" i="1" s="1"/>
  <c r="BC471" i="1" s="1"/>
  <c r="AY512" i="1"/>
  <c r="AZ512" i="1" s="1"/>
  <c r="AU365" i="1"/>
  <c r="AY313" i="1"/>
  <c r="AZ313" i="1" s="1"/>
  <c r="BA313" i="1" s="1"/>
  <c r="BB313" i="1" s="1"/>
  <c r="BC313" i="1" s="1"/>
  <c r="AU516" i="1"/>
  <c r="AU195" i="1"/>
  <c r="AY584" i="1"/>
  <c r="AZ584" i="1" s="1"/>
  <c r="BA584" i="1" s="1"/>
  <c r="BB584" i="1" s="1"/>
  <c r="BC584" i="1" s="1"/>
  <c r="AU90" i="1"/>
  <c r="AU346" i="1"/>
  <c r="AQ465" i="1"/>
  <c r="AR465" i="1" s="1"/>
  <c r="AS465" i="1" s="1"/>
  <c r="AT465" i="1" s="1"/>
  <c r="AY386" i="1"/>
  <c r="BD386" i="1" s="1"/>
  <c r="AY133" i="1"/>
  <c r="AZ133" i="1" s="1"/>
  <c r="BA133" i="1" s="1"/>
  <c r="BB133" i="1" s="1"/>
  <c r="BC133" i="1" s="1"/>
  <c r="AQ135" i="1"/>
  <c r="AR135" i="1" s="1"/>
  <c r="AS135" i="1" s="1"/>
  <c r="AT135" i="1" s="1"/>
  <c r="AU636" i="1"/>
  <c r="AQ279" i="1"/>
  <c r="AR279" i="1" s="1"/>
  <c r="AS279" i="1" s="1"/>
  <c r="AT279" i="1" s="1"/>
  <c r="AU249" i="1"/>
  <c r="AU655" i="1"/>
  <c r="AY116" i="1"/>
  <c r="AZ116" i="1" s="1"/>
  <c r="BA116" i="1" s="1"/>
  <c r="BB116" i="1" s="1"/>
  <c r="BC116" i="1" s="1"/>
  <c r="AU416" i="1"/>
  <c r="AY656" i="1"/>
  <c r="AZ656" i="1" s="1"/>
  <c r="BA656" i="1" s="1"/>
  <c r="BB656" i="1" s="1"/>
  <c r="BC656" i="1" s="1"/>
  <c r="AY327" i="1"/>
  <c r="AZ327" i="1" s="1"/>
  <c r="BA327" i="1" s="1"/>
  <c r="BB327" i="1" s="1"/>
  <c r="BC327" i="1" s="1"/>
  <c r="AY285" i="1"/>
  <c r="AZ285" i="1" s="1"/>
  <c r="BA285" i="1" s="1"/>
  <c r="BB285" i="1" s="1"/>
  <c r="BC285" i="1" s="1"/>
  <c r="AY208" i="1"/>
  <c r="BD208" i="1" s="1"/>
  <c r="AQ306" i="1"/>
  <c r="AR306" i="1" s="1"/>
  <c r="AS306" i="1" s="1"/>
  <c r="AT306" i="1" s="1"/>
  <c r="AU191" i="1"/>
  <c r="AY426" i="1"/>
  <c r="AZ426" i="1" s="1"/>
  <c r="BA426" i="1" s="1"/>
  <c r="BB426" i="1" s="1"/>
  <c r="BC426" i="1" s="1"/>
  <c r="AY530" i="1"/>
  <c r="AZ530" i="1" s="1"/>
  <c r="BA530" i="1" s="1"/>
  <c r="BB530" i="1" s="1"/>
  <c r="BC530" i="1" s="1"/>
  <c r="AU85" i="1"/>
  <c r="AU349" i="1"/>
  <c r="AQ194" i="1"/>
  <c r="AR194" i="1" s="1"/>
  <c r="AS194" i="1" s="1"/>
  <c r="AT194" i="1" s="1"/>
  <c r="AY600" i="1"/>
  <c r="BD600" i="1" s="1"/>
  <c r="AY427" i="1"/>
  <c r="AZ427" i="1" s="1"/>
  <c r="BA427" i="1" s="1"/>
  <c r="BB427" i="1" s="1"/>
  <c r="BC427" i="1" s="1"/>
  <c r="AY429" i="1"/>
  <c r="BD429" i="1" s="1"/>
  <c r="AU172" i="1"/>
  <c r="AY272" i="1"/>
  <c r="AZ272" i="1" s="1"/>
  <c r="BA272" i="1" s="1"/>
  <c r="BB272" i="1" s="1"/>
  <c r="BC272" i="1" s="1"/>
  <c r="AU617" i="1"/>
  <c r="AQ555" i="1"/>
  <c r="AR555" i="1" s="1"/>
  <c r="AS555" i="1" s="1"/>
  <c r="AT555" i="1" s="1"/>
  <c r="AU298" i="1"/>
  <c r="AU518" i="1"/>
  <c r="AY437" i="1"/>
  <c r="AZ437" i="1" s="1"/>
  <c r="BA437" i="1" s="1"/>
  <c r="BB437" i="1" s="1"/>
  <c r="BC437" i="1" s="1"/>
  <c r="AU138" i="1"/>
  <c r="AY611" i="1"/>
  <c r="AZ611" i="1" s="1"/>
  <c r="BA611" i="1" s="1"/>
  <c r="BB611" i="1" s="1"/>
  <c r="BC611" i="1" s="1"/>
  <c r="AY96" i="1"/>
  <c r="AZ96" i="1" s="1"/>
  <c r="BA96" i="1" s="1"/>
  <c r="BB96" i="1" s="1"/>
  <c r="BC96" i="1" s="1"/>
  <c r="AY143" i="1"/>
  <c r="AZ143" i="1" s="1"/>
  <c r="BA143" i="1" s="1"/>
  <c r="BB143" i="1" s="1"/>
  <c r="BC143" i="1" s="1"/>
  <c r="AY588" i="1"/>
  <c r="AZ588" i="1" s="1"/>
  <c r="BA588" i="1" s="1"/>
  <c r="BB588" i="1" s="1"/>
  <c r="BC588" i="1" s="1"/>
  <c r="AY646" i="1"/>
  <c r="AZ646" i="1" s="1"/>
  <c r="BA646" i="1" s="1"/>
  <c r="BB646" i="1" s="1"/>
  <c r="BC646" i="1" s="1"/>
  <c r="AY524" i="1"/>
  <c r="AZ524" i="1" s="1"/>
  <c r="BA524" i="1" s="1"/>
  <c r="BB524" i="1" s="1"/>
  <c r="BC524" i="1" s="1"/>
  <c r="AY464" i="1"/>
  <c r="AZ464" i="1" s="1"/>
  <c r="BA464" i="1" s="1"/>
  <c r="BB464" i="1" s="1"/>
  <c r="BC464" i="1" s="1"/>
  <c r="AY260" i="1"/>
  <c r="AZ260" i="1" s="1"/>
  <c r="BA260" i="1" s="1"/>
  <c r="BB260" i="1" s="1"/>
  <c r="BC260" i="1" s="1"/>
  <c r="AY596" i="1"/>
  <c r="AZ596" i="1" s="1"/>
  <c r="AY602" i="1"/>
  <c r="AZ602" i="1" s="1"/>
  <c r="BA602" i="1" s="1"/>
  <c r="BB602" i="1" s="1"/>
  <c r="BC602" i="1" s="1"/>
  <c r="AY297" i="1"/>
  <c r="BD297" i="1" s="1"/>
  <c r="AQ364" i="1"/>
  <c r="AR364" i="1" s="1"/>
  <c r="AS364" i="1" s="1"/>
  <c r="AT364" i="1" s="1"/>
  <c r="AQ483" i="1"/>
  <c r="AR483" i="1" s="1"/>
  <c r="AS483" i="1" s="1"/>
  <c r="AT483" i="1" s="1"/>
  <c r="AU440" i="1"/>
  <c r="AY78" i="1"/>
  <c r="AZ78" i="1" s="1"/>
  <c r="BA78" i="1" s="1"/>
  <c r="BB78" i="1" s="1"/>
  <c r="BC78" i="1" s="1"/>
  <c r="AU457" i="1"/>
  <c r="AY322" i="1"/>
  <c r="BD322" i="1" s="1"/>
  <c r="AU254" i="1"/>
  <c r="AU377" i="1"/>
  <c r="AU261" i="1"/>
  <c r="AU422" i="1"/>
  <c r="AQ288" i="1"/>
  <c r="AR288" i="1" s="1"/>
  <c r="AS288" i="1" s="1"/>
  <c r="AT288" i="1" s="1"/>
  <c r="AY72" i="1"/>
  <c r="AZ72" i="1" s="1"/>
  <c r="BA72" i="1" s="1"/>
  <c r="BB72" i="1" s="1"/>
  <c r="BC72" i="1" s="1"/>
  <c r="AU328" i="1"/>
  <c r="AU101" i="1"/>
  <c r="AY252" i="1"/>
  <c r="AZ252" i="1" s="1"/>
  <c r="BA252" i="1" s="1"/>
  <c r="BB252" i="1" s="1"/>
  <c r="BC252" i="1" s="1"/>
  <c r="AY152" i="1"/>
  <c r="BD152" i="1" s="1"/>
  <c r="AQ539" i="1"/>
  <c r="AR539" i="1" s="1"/>
  <c r="AS539" i="1" s="1"/>
  <c r="AT539" i="1" s="1"/>
  <c r="AU400" i="1"/>
  <c r="AY377" i="1"/>
  <c r="AZ377" i="1" s="1"/>
  <c r="BA377" i="1" s="1"/>
  <c r="BB377" i="1" s="1"/>
  <c r="BC377" i="1" s="1"/>
  <c r="AU178" i="1"/>
  <c r="AY300" i="1"/>
  <c r="AZ300" i="1" s="1"/>
  <c r="BA300" i="1" s="1"/>
  <c r="BB300" i="1" s="1"/>
  <c r="BC300" i="1" s="1"/>
  <c r="AU564" i="1"/>
  <c r="AY345" i="1"/>
  <c r="BD345" i="1" s="1"/>
  <c r="AU660" i="1"/>
  <c r="AY436" i="1"/>
  <c r="AZ436" i="1" s="1"/>
  <c r="BA436" i="1" s="1"/>
  <c r="BB436" i="1" s="1"/>
  <c r="BC436" i="1" s="1"/>
  <c r="AY477" i="1"/>
  <c r="BD477" i="1" s="1"/>
  <c r="AQ301" i="1"/>
  <c r="AR301" i="1" s="1"/>
  <c r="AS301" i="1" s="1"/>
  <c r="AT301" i="1" s="1"/>
  <c r="AU596" i="1"/>
  <c r="AY287" i="1"/>
  <c r="AZ287" i="1" s="1"/>
  <c r="BA287" i="1" s="1"/>
  <c r="BB287" i="1" s="1"/>
  <c r="BC287" i="1" s="1"/>
  <c r="AY485" i="1"/>
  <c r="AZ485" i="1" s="1"/>
  <c r="BA485" i="1" s="1"/>
  <c r="BB485" i="1" s="1"/>
  <c r="BC485" i="1" s="1"/>
  <c r="AY501" i="1"/>
  <c r="BD501" i="1" s="1"/>
  <c r="AY315" i="1"/>
  <c r="AZ315" i="1" s="1"/>
  <c r="BA315" i="1" s="1"/>
  <c r="BB315" i="1" s="1"/>
  <c r="BC315" i="1" s="1"/>
  <c r="AU517" i="1"/>
  <c r="AQ378" i="1"/>
  <c r="AR378" i="1" s="1"/>
  <c r="AS378" i="1" s="1"/>
  <c r="AT378" i="1" s="1"/>
  <c r="AU482" i="1"/>
  <c r="AU337" i="1"/>
  <c r="AY231" i="1"/>
  <c r="AZ231" i="1" s="1"/>
  <c r="BA231" i="1" s="1"/>
  <c r="BB231" i="1" s="1"/>
  <c r="BC231" i="1" s="1"/>
  <c r="AY439" i="1"/>
  <c r="AZ439" i="1" s="1"/>
  <c r="BA439" i="1" s="1"/>
  <c r="BB439" i="1" s="1"/>
  <c r="BC439" i="1" s="1"/>
  <c r="AY79" i="1"/>
  <c r="AZ79" i="1" s="1"/>
  <c r="BA79" i="1" s="1"/>
  <c r="BB79" i="1" s="1"/>
  <c r="BC79" i="1" s="1"/>
  <c r="AQ512" i="1"/>
  <c r="AR512" i="1" s="1"/>
  <c r="AS512" i="1" s="1"/>
  <c r="AT512" i="1" s="1"/>
  <c r="AY643" i="1"/>
  <c r="AZ643" i="1" s="1"/>
  <c r="BA643" i="1" s="1"/>
  <c r="BB643" i="1" s="1"/>
  <c r="BC643" i="1" s="1"/>
  <c r="AY309" i="1"/>
  <c r="AZ309" i="1" s="1"/>
  <c r="BA309" i="1" s="1"/>
  <c r="BB309" i="1" s="1"/>
  <c r="BC309" i="1" s="1"/>
  <c r="AQ450" i="1"/>
  <c r="AR450" i="1" s="1"/>
  <c r="AS450" i="1" s="1"/>
  <c r="AT450" i="1" s="1"/>
  <c r="AY549" i="1"/>
  <c r="AZ549" i="1" s="1"/>
  <c r="BA549" i="1" s="1"/>
  <c r="BB549" i="1" s="1"/>
  <c r="BC549" i="1" s="1"/>
  <c r="BD260" i="1"/>
  <c r="AU474" i="1"/>
  <c r="AY351" i="1"/>
  <c r="BD351" i="1" s="1"/>
  <c r="AY214" i="1"/>
  <c r="AZ214" i="1" s="1"/>
  <c r="BA214" i="1" s="1"/>
  <c r="BB214" i="1" s="1"/>
  <c r="BC214" i="1" s="1"/>
  <c r="AY532" i="1"/>
  <c r="AZ532" i="1" s="1"/>
  <c r="BA532" i="1" s="1"/>
  <c r="BB532" i="1" s="1"/>
  <c r="BC532" i="1" s="1"/>
  <c r="AY563" i="1"/>
  <c r="AZ563" i="1" s="1"/>
  <c r="BA563" i="1" s="1"/>
  <c r="BB563" i="1" s="1"/>
  <c r="BC563" i="1" s="1"/>
  <c r="AY411" i="1"/>
  <c r="BD411" i="1" s="1"/>
  <c r="AY348" i="1"/>
  <c r="AZ348" i="1" s="1"/>
  <c r="BA348" i="1" s="1"/>
  <c r="BB348" i="1" s="1"/>
  <c r="BC348" i="1" s="1"/>
  <c r="AY375" i="1"/>
  <c r="AZ375" i="1" s="1"/>
  <c r="BA375" i="1" s="1"/>
  <c r="BB375" i="1" s="1"/>
  <c r="BC375" i="1" s="1"/>
  <c r="AU487" i="1"/>
  <c r="AU461" i="1"/>
  <c r="AY647" i="1"/>
  <c r="AZ647" i="1" s="1"/>
  <c r="BA647" i="1" s="1"/>
  <c r="BB647" i="1" s="1"/>
  <c r="BC647" i="1" s="1"/>
  <c r="AY525" i="1"/>
  <c r="AZ525" i="1" s="1"/>
  <c r="BA525" i="1" s="1"/>
  <c r="BB525" i="1" s="1"/>
  <c r="BC525" i="1" s="1"/>
  <c r="AU443" i="1"/>
  <c r="AU87" i="1"/>
  <c r="AU146" i="1"/>
  <c r="AU341" i="1"/>
  <c r="AU481" i="1"/>
  <c r="AY118" i="1"/>
  <c r="AZ118" i="1" s="1"/>
  <c r="BA118" i="1" s="1"/>
  <c r="BB118" i="1" s="1"/>
  <c r="BC118" i="1" s="1"/>
  <c r="AU651" i="1"/>
  <c r="AY213" i="1"/>
  <c r="AZ213" i="1" s="1"/>
  <c r="BA213" i="1" s="1"/>
  <c r="BB213" i="1" s="1"/>
  <c r="BC213" i="1" s="1"/>
  <c r="AY657" i="1"/>
  <c r="AZ657" i="1" s="1"/>
  <c r="BA657" i="1" s="1"/>
  <c r="BB657" i="1" s="1"/>
  <c r="BC657" i="1" s="1"/>
  <c r="AY243" i="1"/>
  <c r="AZ243" i="1" s="1"/>
  <c r="BA243" i="1" s="1"/>
  <c r="BB243" i="1" s="1"/>
  <c r="BC243" i="1" s="1"/>
  <c r="AU208" i="1"/>
  <c r="AU417" i="1"/>
  <c r="AU529" i="1"/>
  <c r="AY82" i="1"/>
  <c r="AZ82" i="1" s="1"/>
  <c r="BA82" i="1" s="1"/>
  <c r="BB82" i="1" s="1"/>
  <c r="BC82" i="1" s="1"/>
  <c r="AY341" i="1"/>
  <c r="AZ341" i="1" s="1"/>
  <c r="BA341" i="1" s="1"/>
  <c r="BB341" i="1" s="1"/>
  <c r="BC341" i="1" s="1"/>
  <c r="AY493" i="1"/>
  <c r="AZ493" i="1" s="1"/>
  <c r="BA493" i="1" s="1"/>
  <c r="BB493" i="1" s="1"/>
  <c r="BC493" i="1" s="1"/>
  <c r="AY344" i="1"/>
  <c r="AZ344" i="1" s="1"/>
  <c r="BA344" i="1" s="1"/>
  <c r="BB344" i="1" s="1"/>
  <c r="BC344" i="1" s="1"/>
  <c r="AU656" i="1"/>
  <c r="AU532" i="1"/>
  <c r="AQ245" i="1"/>
  <c r="AR245" i="1" s="1"/>
  <c r="AS245" i="1" s="1"/>
  <c r="AT245" i="1" s="1"/>
  <c r="AY424" i="1"/>
  <c r="AZ424" i="1" s="1"/>
  <c r="BD602" i="1"/>
  <c r="AU152" i="1"/>
  <c r="AU471" i="1"/>
  <c r="AQ634" i="1"/>
  <c r="AR634" i="1" s="1"/>
  <c r="AS634" i="1" s="1"/>
  <c r="AT634" i="1" s="1"/>
  <c r="AY589" i="1"/>
  <c r="AZ589" i="1" s="1"/>
  <c r="BA589" i="1" s="1"/>
  <c r="BB589" i="1" s="1"/>
  <c r="BC589" i="1" s="1"/>
  <c r="AY571" i="1"/>
  <c r="AZ571" i="1" s="1"/>
  <c r="BA571" i="1" s="1"/>
  <c r="BB571" i="1" s="1"/>
  <c r="BC571" i="1" s="1"/>
  <c r="AY270" i="1"/>
  <c r="AZ270" i="1" s="1"/>
  <c r="BA270" i="1" s="1"/>
  <c r="BB270" i="1" s="1"/>
  <c r="BC270" i="1" s="1"/>
  <c r="AY604" i="1"/>
  <c r="AZ604" i="1" s="1"/>
  <c r="BA604" i="1" s="1"/>
  <c r="BB604" i="1" s="1"/>
  <c r="BC604" i="1" s="1"/>
  <c r="DX2" i="1"/>
  <c r="AY432" i="1"/>
  <c r="BD432" i="1" s="1"/>
  <c r="AU171" i="1"/>
  <c r="AQ536" i="1"/>
  <c r="AR536" i="1" s="1"/>
  <c r="AS536" i="1" s="1"/>
  <c r="AT536" i="1" s="1"/>
  <c r="AQ228" i="1"/>
  <c r="AR228" i="1" s="1"/>
  <c r="AS228" i="1" s="1"/>
  <c r="AT228" i="1" s="1"/>
  <c r="AY544" i="1"/>
  <c r="AZ544" i="1" s="1"/>
  <c r="BA544" i="1" s="1"/>
  <c r="BB544" i="1" s="1"/>
  <c r="BC544" i="1" s="1"/>
  <c r="AU521" i="1"/>
  <c r="AU570" i="1"/>
  <c r="AU258" i="1"/>
  <c r="AU345" i="1"/>
  <c r="AY502" i="1"/>
  <c r="AZ502" i="1" s="1"/>
  <c r="BA502" i="1" s="1"/>
  <c r="BB502" i="1" s="1"/>
  <c r="BC502" i="1" s="1"/>
  <c r="AU523" i="1"/>
  <c r="AY454" i="1"/>
  <c r="AZ454" i="1" s="1"/>
  <c r="BA454" i="1" s="1"/>
  <c r="BB454" i="1" s="1"/>
  <c r="BC454" i="1" s="1"/>
  <c r="BA190" i="1"/>
  <c r="BB190" i="1" s="1"/>
  <c r="BC190" i="1" s="1"/>
  <c r="AU309" i="1"/>
  <c r="AY284" i="1"/>
  <c r="BD284" i="1" s="1"/>
  <c r="AY440" i="1"/>
  <c r="AZ440" i="1" s="1"/>
  <c r="BA440" i="1" s="1"/>
  <c r="BB440" i="1" s="1"/>
  <c r="BC440" i="1" s="1"/>
  <c r="AY67" i="1"/>
  <c r="AZ67" i="1" s="1"/>
  <c r="BA67" i="1" s="1"/>
  <c r="BB67" i="1" s="1"/>
  <c r="BC67" i="1" s="1"/>
  <c r="AY509" i="1"/>
  <c r="AZ509" i="1" s="1"/>
  <c r="BA509" i="1" s="1"/>
  <c r="BB509" i="1" s="1"/>
  <c r="BC509" i="1" s="1"/>
  <c r="AY142" i="1"/>
  <c r="AZ142" i="1" s="1"/>
  <c r="BA142" i="1" s="1"/>
  <c r="BB142" i="1" s="1"/>
  <c r="BC142" i="1" s="1"/>
  <c r="AY292" i="1"/>
  <c r="AZ292" i="1" s="1"/>
  <c r="BA292" i="1" s="1"/>
  <c r="BB292" i="1" s="1"/>
  <c r="BC292" i="1" s="1"/>
  <c r="AY253" i="1"/>
  <c r="AZ253" i="1" s="1"/>
  <c r="BA253" i="1" s="1"/>
  <c r="BB253" i="1" s="1"/>
  <c r="BC253" i="1" s="1"/>
  <c r="AY466" i="1"/>
  <c r="AZ466" i="1" s="1"/>
  <c r="BA466" i="1" s="1"/>
  <c r="BB466" i="1" s="1"/>
  <c r="BC466" i="1" s="1"/>
  <c r="AY559" i="1"/>
  <c r="AZ559" i="1" s="1"/>
  <c r="BA559" i="1" s="1"/>
  <c r="BB559" i="1" s="1"/>
  <c r="BC559" i="1" s="1"/>
  <c r="AU578" i="1"/>
  <c r="BA596" i="1"/>
  <c r="BB596" i="1" s="1"/>
  <c r="BC596" i="1" s="1"/>
  <c r="AY320" i="1"/>
  <c r="AZ320" i="1" s="1"/>
  <c r="BA320" i="1" s="1"/>
  <c r="BB320" i="1" s="1"/>
  <c r="BC320" i="1" s="1"/>
  <c r="AQ220" i="1"/>
  <c r="AR220" i="1" s="1"/>
  <c r="AS220" i="1" s="1"/>
  <c r="AT220" i="1" s="1"/>
  <c r="AQ150" i="1"/>
  <c r="AR150" i="1" s="1"/>
  <c r="AS150" i="1" s="1"/>
  <c r="AT150" i="1" s="1"/>
  <c r="AY514" i="1"/>
  <c r="AZ514" i="1" s="1"/>
  <c r="BA514" i="1" s="1"/>
  <c r="BB514" i="1" s="1"/>
  <c r="BC514" i="1" s="1"/>
  <c r="AY595" i="1"/>
  <c r="AZ595" i="1" s="1"/>
  <c r="BA595" i="1" s="1"/>
  <c r="BB595" i="1" s="1"/>
  <c r="BC595" i="1" s="1"/>
  <c r="AU582" i="1"/>
  <c r="AY275" i="1"/>
  <c r="AZ275" i="1" s="1"/>
  <c r="BA275" i="1" s="1"/>
  <c r="BB275" i="1" s="1"/>
  <c r="BC275" i="1" s="1"/>
  <c r="AU565" i="1"/>
  <c r="AY340" i="1"/>
  <c r="AZ340" i="1" s="1"/>
  <c r="BA340" i="1" s="1"/>
  <c r="BB340" i="1" s="1"/>
  <c r="BC340" i="1" s="1"/>
  <c r="AY463" i="1"/>
  <c r="BD463" i="1" s="1"/>
  <c r="AY306" i="1"/>
  <c r="AZ306" i="1" s="1"/>
  <c r="BA306" i="1" s="1"/>
  <c r="BB306" i="1" s="1"/>
  <c r="BC306" i="1" s="1"/>
  <c r="AY535" i="1"/>
  <c r="AZ535" i="1" s="1"/>
  <c r="BA535" i="1" s="1"/>
  <c r="BB535" i="1" s="1"/>
  <c r="BC535" i="1" s="1"/>
  <c r="AY102" i="1"/>
  <c r="AZ102" i="1" s="1"/>
  <c r="BA102" i="1" s="1"/>
  <c r="BB102" i="1" s="1"/>
  <c r="BC102" i="1" s="1"/>
  <c r="AY413" i="1"/>
  <c r="AZ413" i="1" s="1"/>
  <c r="BA413" i="1" s="1"/>
  <c r="BB413" i="1" s="1"/>
  <c r="BC413" i="1" s="1"/>
  <c r="AY305" i="1"/>
  <c r="AZ305" i="1" s="1"/>
  <c r="BA305" i="1" s="1"/>
  <c r="BB305" i="1" s="1"/>
  <c r="BC305" i="1" s="1"/>
  <c r="AY534" i="1"/>
  <c r="AZ534" i="1" s="1"/>
  <c r="BA534" i="1" s="1"/>
  <c r="BB534" i="1" s="1"/>
  <c r="BC534" i="1" s="1"/>
  <c r="DV2" i="1"/>
  <c r="AY625" i="1"/>
  <c r="AZ625" i="1" s="1"/>
  <c r="BA625" i="1" s="1"/>
  <c r="BB625" i="1" s="1"/>
  <c r="BC625" i="1" s="1"/>
  <c r="AY397" i="1"/>
  <c r="BD397" i="1" s="1"/>
  <c r="AU86" i="1"/>
  <c r="AY339" i="1"/>
  <c r="AZ339" i="1" s="1"/>
  <c r="BA339" i="1" s="1"/>
  <c r="BB339" i="1" s="1"/>
  <c r="BC339" i="1" s="1"/>
  <c r="AU470" i="1"/>
  <c r="AU568" i="1"/>
  <c r="AQ303" i="1"/>
  <c r="AR303" i="1" s="1"/>
  <c r="AS303" i="1" s="1"/>
  <c r="AT303" i="1" s="1"/>
  <c r="AU479" i="1"/>
  <c r="AY404" i="1"/>
  <c r="AZ404" i="1" s="1"/>
  <c r="BA404" i="1" s="1"/>
  <c r="BB404" i="1" s="1"/>
  <c r="BC404" i="1" s="1"/>
  <c r="AY465" i="1"/>
  <c r="AZ465" i="1" s="1"/>
  <c r="BA465" i="1" s="1"/>
  <c r="BB465" i="1" s="1"/>
  <c r="BC465" i="1" s="1"/>
  <c r="AU467" i="1"/>
  <c r="AY557" i="1"/>
  <c r="BD557" i="1" s="1"/>
  <c r="AU77" i="1"/>
  <c r="AY337" i="1"/>
  <c r="AZ337" i="1" s="1"/>
  <c r="BA337" i="1" s="1"/>
  <c r="BB337" i="1" s="1"/>
  <c r="BC337" i="1" s="1"/>
  <c r="AU234" i="1"/>
  <c r="AU524" i="1"/>
  <c r="AY354" i="1"/>
  <c r="AZ354" i="1" s="1"/>
  <c r="BA354" i="1" s="1"/>
  <c r="BB354" i="1" s="1"/>
  <c r="BC354" i="1" s="1"/>
  <c r="AY545" i="1"/>
  <c r="AZ545" i="1" s="1"/>
  <c r="BA545" i="1" s="1"/>
  <c r="BB545" i="1" s="1"/>
  <c r="BC545" i="1" s="1"/>
  <c r="AU584" i="1"/>
  <c r="AY258" i="1"/>
  <c r="BD258" i="1" s="1"/>
  <c r="AY302" i="1"/>
  <c r="AZ302" i="1" s="1"/>
  <c r="BA302" i="1" s="1"/>
  <c r="BB302" i="1" s="1"/>
  <c r="BC302" i="1" s="1"/>
  <c r="AQ657" i="1"/>
  <c r="AR657" i="1" s="1"/>
  <c r="AS657" i="1" s="1"/>
  <c r="AT657" i="1" s="1"/>
  <c r="BD563" i="1"/>
  <c r="AY458" i="1"/>
  <c r="AZ458" i="1" s="1"/>
  <c r="BA458" i="1" s="1"/>
  <c r="BB458" i="1" s="1"/>
  <c r="BC458" i="1" s="1"/>
  <c r="AU361" i="1"/>
  <c r="AU436" i="1"/>
  <c r="AU627" i="1"/>
  <c r="BA613" i="1"/>
  <c r="BB613" i="1" s="1"/>
  <c r="BC613" i="1" s="1"/>
  <c r="AU327" i="1"/>
  <c r="AU89" i="1"/>
  <c r="AU192" i="1"/>
  <c r="AU589" i="1"/>
  <c r="AY206" i="1"/>
  <c r="AZ206" i="1" s="1"/>
  <c r="BA206" i="1" s="1"/>
  <c r="BB206" i="1" s="1"/>
  <c r="BC206" i="1" s="1"/>
  <c r="AY479" i="1"/>
  <c r="AZ479" i="1" s="1"/>
  <c r="BA479" i="1" s="1"/>
  <c r="BB479" i="1" s="1"/>
  <c r="BC479" i="1" s="1"/>
  <c r="AQ499" i="1"/>
  <c r="AR499" i="1" s="1"/>
  <c r="AS499" i="1" s="1"/>
  <c r="AT499" i="1" s="1"/>
  <c r="AU369" i="1"/>
  <c r="BA409" i="1"/>
  <c r="BB409" i="1" s="1"/>
  <c r="BC409" i="1" s="1"/>
  <c r="AY632" i="1"/>
  <c r="AZ632" i="1" s="1"/>
  <c r="BA632" i="1" s="1"/>
  <c r="BB632" i="1" s="1"/>
  <c r="BC632" i="1" s="1"/>
  <c r="AY568" i="1"/>
  <c r="AZ568" i="1" s="1"/>
  <c r="BA568" i="1" s="1"/>
  <c r="BB568" i="1" s="1"/>
  <c r="BC568" i="1" s="1"/>
  <c r="AU486" i="1"/>
  <c r="AY541" i="1"/>
  <c r="AZ541" i="1" s="1"/>
  <c r="BA541" i="1" s="1"/>
  <c r="BB541" i="1" s="1"/>
  <c r="BC541" i="1" s="1"/>
  <c r="AU408" i="1"/>
  <c r="AY147" i="1"/>
  <c r="AZ147" i="1" s="1"/>
  <c r="BA147" i="1" s="1"/>
  <c r="BB147" i="1" s="1"/>
  <c r="BC147" i="1" s="1"/>
  <c r="AY626" i="1"/>
  <c r="AU410" i="1"/>
  <c r="AY462" i="1"/>
  <c r="AZ462" i="1" s="1"/>
  <c r="BA462" i="1" s="1"/>
  <c r="BB462" i="1" s="1"/>
  <c r="BC462" i="1" s="1"/>
  <c r="DU2" i="1"/>
  <c r="BA331" i="1"/>
  <c r="BB331" i="1" s="1"/>
  <c r="BC331" i="1" s="1"/>
  <c r="AU526" i="1"/>
  <c r="AU420" i="1"/>
  <c r="AY526" i="1"/>
  <c r="AZ526" i="1" s="1"/>
  <c r="BA526" i="1" s="1"/>
  <c r="BB526" i="1" s="1"/>
  <c r="BC526" i="1" s="1"/>
  <c r="AU130" i="1"/>
  <c r="AY376" i="1"/>
  <c r="AZ376" i="1" s="1"/>
  <c r="BA376" i="1" s="1"/>
  <c r="BB376" i="1" s="1"/>
  <c r="BC376" i="1" s="1"/>
  <c r="AU225" i="1"/>
  <c r="AQ274" i="1"/>
  <c r="AR274" i="1" s="1"/>
  <c r="AS274" i="1" s="1"/>
  <c r="AT274" i="1" s="1"/>
  <c r="AY85" i="1"/>
  <c r="AZ85" i="1" s="1"/>
  <c r="AU439" i="1"/>
  <c r="AY537" i="1"/>
  <c r="AZ537" i="1" s="1"/>
  <c r="BA537" i="1" s="1"/>
  <c r="BB537" i="1" s="1"/>
  <c r="BC537" i="1" s="1"/>
  <c r="AY218" i="1"/>
  <c r="BD218" i="1" s="1"/>
  <c r="AY594" i="1"/>
  <c r="BD594" i="1" s="1"/>
  <c r="AY416" i="1"/>
  <c r="AZ416" i="1" s="1"/>
  <c r="BA416" i="1" s="1"/>
  <c r="BB416" i="1" s="1"/>
  <c r="BC416" i="1" s="1"/>
  <c r="AQ530" i="1"/>
  <c r="AR530" i="1" s="1"/>
  <c r="AS530" i="1" s="1"/>
  <c r="AT530" i="1" s="1"/>
  <c r="AU267" i="1"/>
  <c r="AU159" i="1"/>
  <c r="AY621" i="1"/>
  <c r="AZ621" i="1" s="1"/>
  <c r="BA621" i="1" s="1"/>
  <c r="BB621" i="1" s="1"/>
  <c r="BC621" i="1" s="1"/>
  <c r="AY123" i="1"/>
  <c r="AZ123" i="1" s="1"/>
  <c r="BA123" i="1" s="1"/>
  <c r="BB123" i="1" s="1"/>
  <c r="BC123" i="1" s="1"/>
  <c r="AU623" i="1"/>
  <c r="AU452" i="1"/>
  <c r="AU473" i="1"/>
  <c r="AU207" i="1"/>
  <c r="AY113" i="1"/>
  <c r="AZ113" i="1" s="1"/>
  <c r="BA113" i="1" s="1"/>
  <c r="BB113" i="1" s="1"/>
  <c r="BC113" i="1" s="1"/>
  <c r="AQ638" i="1"/>
  <c r="AR638" i="1" s="1"/>
  <c r="AS638" i="1" s="1"/>
  <c r="AT638" i="1" s="1"/>
  <c r="AU485" i="1"/>
  <c r="AY482" i="1"/>
  <c r="AZ482" i="1" s="1"/>
  <c r="BA482" i="1" s="1"/>
  <c r="BB482" i="1" s="1"/>
  <c r="BC482" i="1" s="1"/>
  <c r="AY80" i="1"/>
  <c r="AZ80" i="1" s="1"/>
  <c r="BA80" i="1" s="1"/>
  <c r="BB80" i="1" s="1"/>
  <c r="BC80" i="1" s="1"/>
  <c r="AY108" i="1"/>
  <c r="AY121" i="1"/>
  <c r="AZ121" i="1" s="1"/>
  <c r="BA121" i="1" s="1"/>
  <c r="BB121" i="1" s="1"/>
  <c r="BC121" i="1" s="1"/>
  <c r="AY163" i="1"/>
  <c r="AZ163" i="1" s="1"/>
  <c r="BA163" i="1" s="1"/>
  <c r="BB163" i="1" s="1"/>
  <c r="BC163" i="1" s="1"/>
  <c r="AY540" i="1"/>
  <c r="AZ540" i="1" s="1"/>
  <c r="BA540" i="1" s="1"/>
  <c r="BB540" i="1" s="1"/>
  <c r="BC540" i="1" s="1"/>
  <c r="AY219" i="1"/>
  <c r="AZ219" i="1" s="1"/>
  <c r="AY181" i="1"/>
  <c r="AZ181" i="1" s="1"/>
  <c r="BA181" i="1" s="1"/>
  <c r="BB181" i="1" s="1"/>
  <c r="BC181" i="1" s="1"/>
  <c r="AY382" i="1"/>
  <c r="AZ382" i="1" s="1"/>
  <c r="BA382" i="1" s="1"/>
  <c r="BB382" i="1" s="1"/>
  <c r="BC382" i="1" s="1"/>
  <c r="AY660" i="1"/>
  <c r="AZ660" i="1" s="1"/>
  <c r="BA660" i="1" s="1"/>
  <c r="BB660" i="1" s="1"/>
  <c r="BC660" i="1" s="1"/>
  <c r="AY388" i="1"/>
  <c r="BD388" i="1" s="1"/>
  <c r="AY562" i="1"/>
  <c r="AZ562" i="1" s="1"/>
  <c r="BA562" i="1" s="1"/>
  <c r="BB562" i="1" s="1"/>
  <c r="BC562" i="1" s="1"/>
  <c r="AU247" i="1"/>
  <c r="AQ434" i="1"/>
  <c r="AR434" i="1" s="1"/>
  <c r="AS434" i="1" s="1"/>
  <c r="AT434" i="1" s="1"/>
  <c r="AY392" i="1"/>
  <c r="BD392" i="1" s="1"/>
  <c r="AU425" i="1"/>
  <c r="AU428" i="1"/>
  <c r="AY390" i="1"/>
  <c r="AZ390" i="1" s="1"/>
  <c r="BA390" i="1" s="1"/>
  <c r="BB390" i="1" s="1"/>
  <c r="BC390" i="1" s="1"/>
  <c r="AQ557" i="1"/>
  <c r="AR557" i="1" s="1"/>
  <c r="AS557" i="1" s="1"/>
  <c r="AT557" i="1" s="1"/>
  <c r="AY70" i="1"/>
  <c r="AZ70" i="1" s="1"/>
  <c r="BA70" i="1" s="1"/>
  <c r="BB70" i="1" s="1"/>
  <c r="BC70" i="1" s="1"/>
  <c r="AU193" i="1"/>
  <c r="AU165" i="1"/>
  <c r="AU548" i="1"/>
  <c r="AU248" i="1"/>
  <c r="AY225" i="1"/>
  <c r="AZ225" i="1" s="1"/>
  <c r="BA225" i="1" s="1"/>
  <c r="BB225" i="1" s="1"/>
  <c r="BC225" i="1" s="1"/>
  <c r="AQ478" i="1"/>
  <c r="AR478" i="1" s="1"/>
  <c r="AS478" i="1" s="1"/>
  <c r="AT478" i="1" s="1"/>
  <c r="AY511" i="1"/>
  <c r="AZ511" i="1" s="1"/>
  <c r="BA511" i="1" s="1"/>
  <c r="BB511" i="1" s="1"/>
  <c r="BC511" i="1" s="1"/>
  <c r="AY334" i="1"/>
  <c r="AZ334" i="1" s="1"/>
  <c r="BA334" i="1" s="1"/>
  <c r="BB334" i="1" s="1"/>
  <c r="BC334" i="1" s="1"/>
  <c r="AY141" i="1"/>
  <c r="AZ141" i="1" s="1"/>
  <c r="BA141" i="1" s="1"/>
  <c r="BB141" i="1" s="1"/>
  <c r="BC141" i="1" s="1"/>
  <c r="AQ359" i="1"/>
  <c r="AR359" i="1" s="1"/>
  <c r="AS359" i="1" s="1"/>
  <c r="AT359" i="1" s="1"/>
  <c r="AY579" i="1"/>
  <c r="AZ579" i="1" s="1"/>
  <c r="BA579" i="1" s="1"/>
  <c r="BB579" i="1" s="1"/>
  <c r="BC579" i="1" s="1"/>
  <c r="AY476" i="1"/>
  <c r="AZ476" i="1" s="1"/>
  <c r="BA476" i="1" s="1"/>
  <c r="BB476" i="1" s="1"/>
  <c r="BC476" i="1" s="1"/>
  <c r="AY580" i="1"/>
  <c r="BD580" i="1" s="1"/>
  <c r="AY380" i="1"/>
  <c r="AZ380" i="1" s="1"/>
  <c r="BA380" i="1" s="1"/>
  <c r="BB380" i="1" s="1"/>
  <c r="BC380" i="1" s="1"/>
  <c r="AY193" i="1"/>
  <c r="AZ193" i="1" s="1"/>
  <c r="BA193" i="1" s="1"/>
  <c r="BB193" i="1" s="1"/>
  <c r="BC193" i="1" s="1"/>
  <c r="AU398" i="1"/>
  <c r="AU583" i="1"/>
  <c r="AY433" i="1"/>
  <c r="AZ433" i="1" s="1"/>
  <c r="BA433" i="1" s="1"/>
  <c r="BB433" i="1" s="1"/>
  <c r="BC433" i="1" s="1"/>
  <c r="AY122" i="1"/>
  <c r="AZ122" i="1" s="1"/>
  <c r="BA122" i="1" s="1"/>
  <c r="BB122" i="1" s="1"/>
  <c r="BC122" i="1" s="1"/>
  <c r="AU642" i="1"/>
  <c r="AQ198" i="1"/>
  <c r="AR198" i="1" s="1"/>
  <c r="AS198" i="1" s="1"/>
  <c r="AT198" i="1" s="1"/>
  <c r="AY492" i="1"/>
  <c r="AZ492" i="1" s="1"/>
  <c r="BA492" i="1" s="1"/>
  <c r="BB492" i="1" s="1"/>
  <c r="BC492" i="1" s="1"/>
  <c r="AY212" i="1"/>
  <c r="AZ212" i="1" s="1"/>
  <c r="BA212" i="1" s="1"/>
  <c r="BB212" i="1" s="1"/>
  <c r="BC212" i="1" s="1"/>
  <c r="AY654" i="1"/>
  <c r="BD654" i="1" s="1"/>
  <c r="AU122" i="1"/>
  <c r="AY176" i="1"/>
  <c r="AZ176" i="1" s="1"/>
  <c r="BA176" i="1" s="1"/>
  <c r="BB176" i="1" s="1"/>
  <c r="BC176" i="1" s="1"/>
  <c r="AY518" i="1"/>
  <c r="BD518" i="1" s="1"/>
  <c r="AY405" i="1"/>
  <c r="BD405" i="1" s="1"/>
  <c r="AY503" i="1"/>
  <c r="AZ503" i="1" s="1"/>
  <c r="BA503" i="1" s="1"/>
  <c r="BB503" i="1" s="1"/>
  <c r="BC503" i="1" s="1"/>
  <c r="AQ334" i="1"/>
  <c r="AR334" i="1" s="1"/>
  <c r="AS334" i="1" s="1"/>
  <c r="AT334" i="1" s="1"/>
  <c r="BD367" i="1"/>
  <c r="AY171" i="1"/>
  <c r="AZ171" i="1" s="1"/>
  <c r="BA171" i="1" s="1"/>
  <c r="BB171" i="1" s="1"/>
  <c r="BC171" i="1" s="1"/>
  <c r="AY294" i="1"/>
  <c r="AZ294" i="1" s="1"/>
  <c r="BA294" i="1" s="1"/>
  <c r="BB294" i="1" s="1"/>
  <c r="BC294" i="1" s="1"/>
  <c r="AY467" i="1"/>
  <c r="AZ467" i="1" s="1"/>
  <c r="BA467" i="1" s="1"/>
  <c r="BB467" i="1" s="1"/>
  <c r="BC467" i="1" s="1"/>
  <c r="AY256" i="1"/>
  <c r="AZ256" i="1" s="1"/>
  <c r="BA256" i="1" s="1"/>
  <c r="BB256" i="1" s="1"/>
  <c r="BC256" i="1" s="1"/>
  <c r="AY553" i="1"/>
  <c r="AZ553" i="1" s="1"/>
  <c r="BA553" i="1" s="1"/>
  <c r="BB553" i="1" s="1"/>
  <c r="BC553" i="1" s="1"/>
  <c r="AU445" i="1"/>
  <c r="AY195" i="1"/>
  <c r="AZ195" i="1" s="1"/>
  <c r="BA195" i="1" s="1"/>
  <c r="BB195" i="1" s="1"/>
  <c r="BC195" i="1" s="1"/>
  <c r="AY156" i="1"/>
  <c r="BD156" i="1" s="1"/>
  <c r="AY350" i="1"/>
  <c r="AZ350" i="1" s="1"/>
  <c r="BA350" i="1" s="1"/>
  <c r="BB350" i="1" s="1"/>
  <c r="BC350" i="1" s="1"/>
  <c r="AU229" i="1"/>
  <c r="AQ75" i="1"/>
  <c r="AR75" i="1" s="1"/>
  <c r="AS75" i="1" s="1"/>
  <c r="AT75" i="1" s="1"/>
  <c r="AQ358" i="1"/>
  <c r="AR358" i="1" s="1"/>
  <c r="AS358" i="1" s="1"/>
  <c r="AT358" i="1" s="1"/>
  <c r="AU537" i="1"/>
  <c r="AY528" i="1"/>
  <c r="AZ528" i="1" s="1"/>
  <c r="BA528" i="1" s="1"/>
  <c r="BB528" i="1" s="1"/>
  <c r="BC528" i="1" s="1"/>
  <c r="AU120" i="1"/>
  <c r="AY126" i="1"/>
  <c r="AU505" i="1"/>
  <c r="AY638" i="1"/>
  <c r="AZ638" i="1" s="1"/>
  <c r="BA638" i="1" s="1"/>
  <c r="BB638" i="1" s="1"/>
  <c r="BC638" i="1" s="1"/>
  <c r="AY642" i="1"/>
  <c r="AZ642" i="1" s="1"/>
  <c r="BA642" i="1" s="1"/>
  <c r="BB642" i="1" s="1"/>
  <c r="BC642" i="1" s="1"/>
  <c r="AQ373" i="1"/>
  <c r="AR373" i="1" s="1"/>
  <c r="AS373" i="1" s="1"/>
  <c r="AT373" i="1" s="1"/>
  <c r="AY403" i="1"/>
  <c r="AZ403" i="1" s="1"/>
  <c r="BA403" i="1" s="1"/>
  <c r="BB403" i="1" s="1"/>
  <c r="BC403" i="1" s="1"/>
  <c r="AU560" i="1"/>
  <c r="AY451" i="1"/>
  <c r="AZ451" i="1" s="1"/>
  <c r="BA451" i="1" s="1"/>
  <c r="BB451" i="1" s="1"/>
  <c r="BC451" i="1" s="1"/>
  <c r="AU199" i="1"/>
  <c r="AY84" i="1"/>
  <c r="AZ84" i="1" s="1"/>
  <c r="BA84" i="1" s="1"/>
  <c r="BB84" i="1" s="1"/>
  <c r="BC84" i="1" s="1"/>
  <c r="AY166" i="1"/>
  <c r="AZ166" i="1" s="1"/>
  <c r="BA166" i="1" s="1"/>
  <c r="BB166" i="1" s="1"/>
  <c r="BC166" i="1" s="1"/>
  <c r="AQ156" i="1"/>
  <c r="AR156" i="1" s="1"/>
  <c r="AS156" i="1" s="1"/>
  <c r="AT156" i="1" s="1"/>
  <c r="AY387" i="1"/>
  <c r="AZ387" i="1" s="1"/>
  <c r="BA387" i="1" s="1"/>
  <c r="BB387" i="1" s="1"/>
  <c r="BC387" i="1" s="1"/>
  <c r="AU423" i="1"/>
  <c r="AQ540" i="1"/>
  <c r="AR540" i="1" s="1"/>
  <c r="AS540" i="1" s="1"/>
  <c r="AT540" i="1" s="1"/>
  <c r="BA85" i="1"/>
  <c r="BB85" i="1" s="1"/>
  <c r="BC85" i="1" s="1"/>
  <c r="AY244" i="1"/>
  <c r="AZ244" i="1" s="1"/>
  <c r="BA244" i="1" s="1"/>
  <c r="BB244" i="1" s="1"/>
  <c r="BC244" i="1" s="1"/>
  <c r="AU549" i="1"/>
  <c r="AU339" i="1"/>
  <c r="AU480" i="1"/>
  <c r="AU528" i="1"/>
  <c r="AY585" i="1"/>
  <c r="AZ585" i="1" s="1"/>
  <c r="BA585" i="1" s="1"/>
  <c r="BB585" i="1" s="1"/>
  <c r="BC585" i="1" s="1"/>
  <c r="AY649" i="1"/>
  <c r="AZ649" i="1" s="1"/>
  <c r="BA649" i="1" s="1"/>
  <c r="BB649" i="1" s="1"/>
  <c r="BC649" i="1" s="1"/>
  <c r="AY248" i="1"/>
  <c r="AZ248" i="1" s="1"/>
  <c r="BA248" i="1" s="1"/>
  <c r="BB248" i="1" s="1"/>
  <c r="BC248" i="1" s="1"/>
  <c r="AY175" i="1"/>
  <c r="AZ175" i="1" s="1"/>
  <c r="BA175" i="1" s="1"/>
  <c r="BB175" i="1" s="1"/>
  <c r="BC175" i="1" s="1"/>
  <c r="AY365" i="1"/>
  <c r="AZ365" i="1" s="1"/>
  <c r="BA365" i="1" s="1"/>
  <c r="BB365" i="1" s="1"/>
  <c r="BC365" i="1" s="1"/>
  <c r="AY573" i="1"/>
  <c r="AZ573" i="1" s="1"/>
  <c r="BA573" i="1" s="1"/>
  <c r="BB573" i="1" s="1"/>
  <c r="BC573" i="1" s="1"/>
  <c r="AU504" i="1"/>
  <c r="AY421" i="1"/>
  <c r="AZ421" i="1" s="1"/>
  <c r="BA421" i="1" s="1"/>
  <c r="BB421" i="1" s="1"/>
  <c r="BC421" i="1" s="1"/>
  <c r="AU350" i="1"/>
  <c r="AU320" i="1"/>
  <c r="AU170" i="1"/>
  <c r="AY469" i="1"/>
  <c r="AZ469" i="1" s="1"/>
  <c r="BA469" i="1" s="1"/>
  <c r="BB469" i="1" s="1"/>
  <c r="BC469" i="1" s="1"/>
  <c r="AU186" i="1"/>
  <c r="AY552" i="1"/>
  <c r="AZ552" i="1" s="1"/>
  <c r="BA552" i="1" s="1"/>
  <c r="BB552" i="1" s="1"/>
  <c r="BC552" i="1" s="1"/>
  <c r="AY103" i="1"/>
  <c r="AZ103" i="1" s="1"/>
  <c r="BA103" i="1" s="1"/>
  <c r="BB103" i="1" s="1"/>
  <c r="BC103" i="1" s="1"/>
  <c r="AY619" i="1"/>
  <c r="AZ619" i="1" s="1"/>
  <c r="BA619" i="1" s="1"/>
  <c r="BB619" i="1" s="1"/>
  <c r="BC619" i="1" s="1"/>
  <c r="AY236" i="1"/>
  <c r="AZ236" i="1" s="1"/>
  <c r="BA236" i="1" s="1"/>
  <c r="BB236" i="1" s="1"/>
  <c r="BC236" i="1" s="1"/>
  <c r="AY308" i="1"/>
  <c r="AZ308" i="1" s="1"/>
  <c r="BA308" i="1" s="1"/>
  <c r="BB308" i="1" s="1"/>
  <c r="BC308" i="1" s="1"/>
  <c r="AQ658" i="1"/>
  <c r="AR658" i="1" s="1"/>
  <c r="AS658" i="1" s="1"/>
  <c r="AT658" i="1" s="1"/>
  <c r="AY567" i="1"/>
  <c r="AZ567" i="1" s="1"/>
  <c r="BA567" i="1" s="1"/>
  <c r="BB567" i="1" s="1"/>
  <c r="BC567" i="1" s="1"/>
  <c r="AQ600" i="1"/>
  <c r="AR600" i="1" s="1"/>
  <c r="AS600" i="1" s="1"/>
  <c r="AT600" i="1" s="1"/>
  <c r="AY658" i="1"/>
  <c r="AZ658" i="1" s="1"/>
  <c r="BA658" i="1" s="1"/>
  <c r="BB658" i="1" s="1"/>
  <c r="BC658" i="1" s="1"/>
  <c r="AY222" i="1"/>
  <c r="BD222" i="1" s="1"/>
  <c r="AQ143" i="1"/>
  <c r="AR143" i="1" s="1"/>
  <c r="AS143" i="1" s="1"/>
  <c r="AT143" i="1" s="1"/>
  <c r="AU246" i="1"/>
  <c r="AY274" i="1"/>
  <c r="AZ274" i="1" s="1"/>
  <c r="BA274" i="1" s="1"/>
  <c r="BB274" i="1" s="1"/>
  <c r="BC274" i="1" s="1"/>
  <c r="AQ392" i="1"/>
  <c r="AR392" i="1" s="1"/>
  <c r="AS392" i="1" s="1"/>
  <c r="AT392" i="1" s="1"/>
  <c r="AY132" i="1"/>
  <c r="AZ132" i="1" s="1"/>
  <c r="BA132" i="1" s="1"/>
  <c r="BB132" i="1" s="1"/>
  <c r="BC132" i="1" s="1"/>
  <c r="AU313" i="1"/>
  <c r="AY312" i="1"/>
  <c r="AZ312" i="1" s="1"/>
  <c r="BA312" i="1" s="1"/>
  <c r="BB312" i="1" s="1"/>
  <c r="BC312" i="1" s="1"/>
  <c r="AY311" i="1"/>
  <c r="AZ311" i="1" s="1"/>
  <c r="BA311" i="1" s="1"/>
  <c r="BB311" i="1" s="1"/>
  <c r="BC311" i="1" s="1"/>
  <c r="AQ322" i="1"/>
  <c r="AR322" i="1" s="1"/>
  <c r="AS322" i="1" s="1"/>
  <c r="AT322" i="1" s="1"/>
  <c r="AY198" i="1"/>
  <c r="AZ198" i="1" s="1"/>
  <c r="BA198" i="1" s="1"/>
  <c r="BB198" i="1" s="1"/>
  <c r="BC198" i="1" s="1"/>
  <c r="AY384" i="1"/>
  <c r="AZ384" i="1" s="1"/>
  <c r="BA384" i="1" s="1"/>
  <c r="BB384" i="1" s="1"/>
  <c r="BC384" i="1" s="1"/>
  <c r="AY203" i="1"/>
  <c r="AZ203" i="1" s="1"/>
  <c r="BA203" i="1" s="1"/>
  <c r="BB203" i="1" s="1"/>
  <c r="BC203" i="1" s="1"/>
  <c r="AY197" i="1"/>
  <c r="AZ197" i="1" s="1"/>
  <c r="BA197" i="1" s="1"/>
  <c r="BB197" i="1" s="1"/>
  <c r="BC197" i="1" s="1"/>
  <c r="AQ635" i="1"/>
  <c r="AR635" i="1" s="1"/>
  <c r="AS635" i="1" s="1"/>
  <c r="AT635" i="1" s="1"/>
  <c r="AY438" i="1"/>
  <c r="BD438" i="1" s="1"/>
  <c r="AY459" i="1"/>
  <c r="BD459" i="1" s="1"/>
  <c r="BD262" i="1"/>
  <c r="AY645" i="1"/>
  <c r="AZ645" i="1" s="1"/>
  <c r="BA645" i="1" s="1"/>
  <c r="BB645" i="1" s="1"/>
  <c r="BC645" i="1" s="1"/>
  <c r="AY330" i="1"/>
  <c r="BD330" i="1" s="1"/>
  <c r="AY506" i="1"/>
  <c r="AZ506" i="1" s="1"/>
  <c r="BA506" i="1" s="1"/>
  <c r="BB506" i="1" s="1"/>
  <c r="BC506" i="1" s="1"/>
  <c r="AQ442" i="1"/>
  <c r="AR442" i="1" s="1"/>
  <c r="AS442" i="1" s="1"/>
  <c r="AT442" i="1" s="1"/>
  <c r="AQ566" i="1"/>
  <c r="AR566" i="1" s="1"/>
  <c r="AS566" i="1" s="1"/>
  <c r="AT566" i="1" s="1"/>
  <c r="AY130" i="1"/>
  <c r="AZ130" i="1" s="1"/>
  <c r="BA130" i="1" s="1"/>
  <c r="BB130" i="1" s="1"/>
  <c r="BC130" i="1" s="1"/>
  <c r="AU498" i="1"/>
  <c r="AY263" i="1"/>
  <c r="BD263" i="1" s="1"/>
  <c r="AU76" i="1"/>
  <c r="AU469" i="1"/>
  <c r="AY273" i="1"/>
  <c r="AZ273" i="1" s="1"/>
  <c r="BA273" i="1" s="1"/>
  <c r="BB273" i="1" s="1"/>
  <c r="BC273" i="1" s="1"/>
  <c r="AY323" i="1"/>
  <c r="AZ323" i="1" s="1"/>
  <c r="BA323" i="1" s="1"/>
  <c r="BB323" i="1" s="1"/>
  <c r="BC323" i="1" s="1"/>
  <c r="AQ492" i="1"/>
  <c r="AR492" i="1" s="1"/>
  <c r="AS492" i="1" s="1"/>
  <c r="AT492" i="1" s="1"/>
  <c r="AU74" i="1"/>
  <c r="AU316" i="1"/>
  <c r="AU233" i="1"/>
  <c r="AY650" i="1"/>
  <c r="AZ650" i="1" s="1"/>
  <c r="BA650" i="1" s="1"/>
  <c r="BB650" i="1" s="1"/>
  <c r="BC650" i="1" s="1"/>
  <c r="AY378" i="1"/>
  <c r="AZ378" i="1" s="1"/>
  <c r="BA378" i="1" s="1"/>
  <c r="BB378" i="1" s="1"/>
  <c r="BC378" i="1" s="1"/>
  <c r="AY279" i="1"/>
  <c r="AZ279" i="1" s="1"/>
  <c r="BA279" i="1" s="1"/>
  <c r="BB279" i="1" s="1"/>
  <c r="BC279" i="1" s="1"/>
  <c r="AQ453" i="1"/>
  <c r="AR453" i="1" s="1"/>
  <c r="AS453" i="1" s="1"/>
  <c r="AT453" i="1" s="1"/>
  <c r="AY415" i="1"/>
  <c r="AZ415" i="1" s="1"/>
  <c r="BA415" i="1" s="1"/>
  <c r="BB415" i="1" s="1"/>
  <c r="BC415" i="1" s="1"/>
  <c r="AY374" i="1"/>
  <c r="AZ374" i="1" s="1"/>
  <c r="BA374" i="1" s="1"/>
  <c r="BB374" i="1" s="1"/>
  <c r="BC374" i="1" s="1"/>
  <c r="BA659" i="1"/>
  <c r="BB659" i="1" s="1"/>
  <c r="BC659" i="1" s="1"/>
  <c r="AY342" i="1"/>
  <c r="AZ342" i="1" s="1"/>
  <c r="BA342" i="1" s="1"/>
  <c r="BB342" i="1" s="1"/>
  <c r="BC342" i="1" s="1"/>
  <c r="AY490" i="1"/>
  <c r="AZ490" i="1" s="1"/>
  <c r="BA490" i="1" s="1"/>
  <c r="BB490" i="1" s="1"/>
  <c r="BC490" i="1" s="1"/>
  <c r="AU212" i="1"/>
  <c r="AQ340" i="1"/>
  <c r="AR340" i="1" s="1"/>
  <c r="AS340" i="1" s="1"/>
  <c r="AT340" i="1" s="1"/>
  <c r="BA408" i="1"/>
  <c r="BB408" i="1" s="1"/>
  <c r="BC408" i="1" s="1"/>
  <c r="AU244" i="1"/>
  <c r="AU381" i="1"/>
  <c r="AY106" i="1"/>
  <c r="AZ106" i="1" s="1"/>
  <c r="BA106" i="1" s="1"/>
  <c r="BB106" i="1" s="1"/>
  <c r="BC106" i="1" s="1"/>
  <c r="AY89" i="1"/>
  <c r="AZ89" i="1" s="1"/>
  <c r="BA89" i="1" s="1"/>
  <c r="BB89" i="1" s="1"/>
  <c r="BC89" i="1" s="1"/>
  <c r="AY220" i="1"/>
  <c r="BD220" i="1" s="1"/>
  <c r="AY73" i="1"/>
  <c r="AZ73" i="1" s="1"/>
  <c r="BA73" i="1" s="1"/>
  <c r="BB73" i="1" s="1"/>
  <c r="BC73" i="1" s="1"/>
  <c r="AU291" i="1"/>
  <c r="AQ344" i="1"/>
  <c r="AR344" i="1" s="1"/>
  <c r="AS344" i="1" s="1"/>
  <c r="AT344" i="1" s="1"/>
  <c r="AY210" i="1"/>
  <c r="AZ210" i="1" s="1"/>
  <c r="BA210" i="1" s="1"/>
  <c r="BB210" i="1" s="1"/>
  <c r="BC210" i="1" s="1"/>
  <c r="AY591" i="1"/>
  <c r="AZ591" i="1" s="1"/>
  <c r="BA591" i="1" s="1"/>
  <c r="BB591" i="1" s="1"/>
  <c r="BC591" i="1" s="1"/>
  <c r="AY395" i="1"/>
  <c r="AZ395" i="1" s="1"/>
  <c r="BA395" i="1" s="1"/>
  <c r="BB395" i="1" s="1"/>
  <c r="BC395" i="1" s="1"/>
  <c r="AY468" i="1"/>
  <c r="AZ468" i="1" s="1"/>
  <c r="BA468" i="1" s="1"/>
  <c r="BB468" i="1" s="1"/>
  <c r="BC468" i="1" s="1"/>
  <c r="AY412" i="1"/>
  <c r="AZ412" i="1" s="1"/>
  <c r="BA412" i="1" s="1"/>
  <c r="BB412" i="1" s="1"/>
  <c r="BC412" i="1" s="1"/>
  <c r="BD613" i="1"/>
  <c r="AQ149" i="1"/>
  <c r="AR149" i="1" s="1"/>
  <c r="AS149" i="1" s="1"/>
  <c r="AT149" i="1" s="1"/>
  <c r="AQ632" i="1"/>
  <c r="AR632" i="1" s="1"/>
  <c r="AS632" i="1" s="1"/>
  <c r="AT632" i="1" s="1"/>
  <c r="AQ464" i="1"/>
  <c r="AR464" i="1" s="1"/>
  <c r="AS464" i="1" s="1"/>
  <c r="AT464" i="1" s="1"/>
  <c r="AY399" i="1"/>
  <c r="AZ399" i="1" s="1"/>
  <c r="AU356" i="1"/>
  <c r="AY489" i="1"/>
  <c r="BD489" i="1" s="1"/>
  <c r="AY370" i="1"/>
  <c r="AZ370" i="1" s="1"/>
  <c r="BA370" i="1" s="1"/>
  <c r="BB370" i="1" s="1"/>
  <c r="BC370" i="1" s="1"/>
  <c r="AY240" i="1"/>
  <c r="AZ240" i="1" s="1"/>
  <c r="BA240" i="1" s="1"/>
  <c r="BB240" i="1" s="1"/>
  <c r="BC240" i="1" s="1"/>
  <c r="AY280" i="1"/>
  <c r="AZ280" i="1" s="1"/>
  <c r="BA280" i="1" s="1"/>
  <c r="BB280" i="1" s="1"/>
  <c r="BC280" i="1" s="1"/>
  <c r="AY211" i="1"/>
  <c r="AZ211" i="1" s="1"/>
  <c r="BA211" i="1" s="1"/>
  <c r="BB211" i="1" s="1"/>
  <c r="BC211" i="1" s="1"/>
  <c r="AY453" i="1"/>
  <c r="AZ453" i="1" s="1"/>
  <c r="BA453" i="1" s="1"/>
  <c r="BB453" i="1" s="1"/>
  <c r="BC453" i="1" s="1"/>
  <c r="AU502" i="1"/>
  <c r="AU88" i="1"/>
  <c r="AU331" i="1"/>
  <c r="AU409" i="1"/>
  <c r="AQ644" i="1"/>
  <c r="AR644" i="1" s="1"/>
  <c r="AS644" i="1" s="1"/>
  <c r="AT644" i="1" s="1"/>
  <c r="AQ351" i="1"/>
  <c r="AR351" i="1" s="1"/>
  <c r="AS351" i="1" s="1"/>
  <c r="AT351" i="1" s="1"/>
  <c r="AY74" i="1"/>
  <c r="AZ74" i="1" s="1"/>
  <c r="BA74" i="1" s="1"/>
  <c r="BB74" i="1" s="1"/>
  <c r="BC74" i="1" s="1"/>
  <c r="AY410" i="1"/>
  <c r="BD410" i="1" s="1"/>
  <c r="BD408" i="1"/>
  <c r="BA521" i="1"/>
  <c r="BB521" i="1" s="1"/>
  <c r="BC521" i="1" s="1"/>
  <c r="AU607" i="1"/>
  <c r="AU556" i="1"/>
  <c r="AY442" i="1"/>
  <c r="AZ442" i="1" s="1"/>
  <c r="BA442" i="1" s="1"/>
  <c r="BB442" i="1" s="1"/>
  <c r="BC442" i="1" s="1"/>
  <c r="AQ330" i="1"/>
  <c r="AR330" i="1" s="1"/>
  <c r="AS330" i="1" s="1"/>
  <c r="AT330" i="1" s="1"/>
  <c r="AY247" i="1"/>
  <c r="AZ247" i="1" s="1"/>
  <c r="BA247" i="1" s="1"/>
  <c r="BB247" i="1" s="1"/>
  <c r="BC247" i="1" s="1"/>
  <c r="AU406" i="1"/>
  <c r="AY363" i="1"/>
  <c r="AZ363" i="1" s="1"/>
  <c r="BA363" i="1" s="1"/>
  <c r="BB363" i="1" s="1"/>
  <c r="BC363" i="1" s="1"/>
  <c r="AU360" i="1"/>
  <c r="AY68" i="1"/>
  <c r="BD68" i="1" s="1"/>
  <c r="AY396" i="1"/>
  <c r="AZ396" i="1" s="1"/>
  <c r="BA396" i="1" s="1"/>
  <c r="BB396" i="1" s="1"/>
  <c r="BC396" i="1" s="1"/>
  <c r="AY359" i="1"/>
  <c r="AZ359" i="1" s="1"/>
  <c r="BA359" i="1" s="1"/>
  <c r="BB359" i="1" s="1"/>
  <c r="BC359" i="1" s="1"/>
  <c r="AU230" i="1"/>
  <c r="AQ389" i="1"/>
  <c r="AR389" i="1" s="1"/>
  <c r="AS389" i="1" s="1"/>
  <c r="AT389" i="1" s="1"/>
  <c r="AY241" i="1"/>
  <c r="AZ241" i="1" s="1"/>
  <c r="BA241" i="1" s="1"/>
  <c r="BB241" i="1" s="1"/>
  <c r="BC241" i="1" s="1"/>
  <c r="AY120" i="1"/>
  <c r="AZ120" i="1" s="1"/>
  <c r="BA120" i="1" s="1"/>
  <c r="BB120" i="1" s="1"/>
  <c r="BC120" i="1" s="1"/>
  <c r="AU405" i="1"/>
  <c r="AY357" i="1"/>
  <c r="AZ357" i="1" s="1"/>
  <c r="BA357" i="1" s="1"/>
  <c r="BB357" i="1" s="1"/>
  <c r="BC357" i="1" s="1"/>
  <c r="AU67" i="1"/>
  <c r="AU387" i="1"/>
  <c r="AU169" i="1"/>
  <c r="BA486" i="1"/>
  <c r="BB486" i="1" s="1"/>
  <c r="BC486" i="1" s="1"/>
  <c r="AY224" i="1"/>
  <c r="AZ224" i="1" s="1"/>
  <c r="BA224" i="1" s="1"/>
  <c r="BB224" i="1" s="1"/>
  <c r="BC224" i="1" s="1"/>
  <c r="AU323" i="1"/>
  <c r="AY582" i="1"/>
  <c r="BD582" i="1" s="1"/>
  <c r="AU447" i="1"/>
  <c r="AY332" i="1"/>
  <c r="AZ332" i="1" s="1"/>
  <c r="BA332" i="1" s="1"/>
  <c r="BB332" i="1" s="1"/>
  <c r="BC332" i="1" s="1"/>
  <c r="AQ503" i="1"/>
  <c r="AR503" i="1" s="1"/>
  <c r="AS503" i="1" s="1"/>
  <c r="AT503" i="1" s="1"/>
  <c r="AY372" i="1"/>
  <c r="AZ372" i="1" s="1"/>
  <c r="BA372" i="1" s="1"/>
  <c r="BB372" i="1" s="1"/>
  <c r="BC372" i="1" s="1"/>
  <c r="AU285" i="1"/>
  <c r="AU640" i="1"/>
  <c r="AY168" i="1"/>
  <c r="AZ168" i="1" s="1"/>
  <c r="BA168" i="1" s="1"/>
  <c r="BB168" i="1" s="1"/>
  <c r="BC168" i="1" s="1"/>
  <c r="AU221" i="1"/>
  <c r="AY361" i="1"/>
  <c r="AZ361" i="1" s="1"/>
  <c r="BA361" i="1" s="1"/>
  <c r="BB361" i="1" s="1"/>
  <c r="BC361" i="1" s="1"/>
  <c r="AU631" i="1"/>
  <c r="AQ395" i="1"/>
  <c r="AR395" i="1" s="1"/>
  <c r="AS395" i="1" s="1"/>
  <c r="AT395" i="1" s="1"/>
  <c r="AQ616" i="1"/>
  <c r="AR616" i="1" s="1"/>
  <c r="AS616" i="1" s="1"/>
  <c r="AT616" i="1" s="1"/>
  <c r="AU643" i="1"/>
  <c r="AY138" i="1"/>
  <c r="AZ138" i="1" s="1"/>
  <c r="BA138" i="1" s="1"/>
  <c r="BB138" i="1" s="1"/>
  <c r="BC138" i="1" s="1"/>
  <c r="AY446" i="1"/>
  <c r="AZ446" i="1" s="1"/>
  <c r="BA446" i="1" s="1"/>
  <c r="BB446" i="1" s="1"/>
  <c r="BC446" i="1" s="1"/>
  <c r="AQ513" i="1"/>
  <c r="AR513" i="1" s="1"/>
  <c r="AS513" i="1" s="1"/>
  <c r="AT513" i="1" s="1"/>
  <c r="AY371" i="1"/>
  <c r="AZ371" i="1" s="1"/>
  <c r="BA371" i="1" s="1"/>
  <c r="BB371" i="1" s="1"/>
  <c r="BC371" i="1" s="1"/>
  <c r="BA523" i="1"/>
  <c r="BB523" i="1" s="1"/>
  <c r="BC523" i="1" s="1"/>
  <c r="AU73" i="1"/>
  <c r="BA576" i="1"/>
  <c r="BB576" i="1" s="1"/>
  <c r="BC576" i="1" s="1"/>
  <c r="AY137" i="1"/>
  <c r="AZ137" i="1" s="1"/>
  <c r="BA137" i="1" s="1"/>
  <c r="BB137" i="1" s="1"/>
  <c r="BC137" i="1" s="1"/>
  <c r="AU448" i="1"/>
  <c r="AU197" i="1"/>
  <c r="AU650" i="1"/>
  <c r="AU629" i="1"/>
  <c r="AU110" i="1"/>
  <c r="AU663" i="1"/>
  <c r="AY630" i="1"/>
  <c r="AZ630" i="1" s="1"/>
  <c r="BA630" i="1" s="1"/>
  <c r="BB630" i="1" s="1"/>
  <c r="BC630" i="1" s="1"/>
  <c r="AY629" i="1"/>
  <c r="AZ629" i="1" s="1"/>
  <c r="BA629" i="1" s="1"/>
  <c r="BB629" i="1" s="1"/>
  <c r="BC629" i="1" s="1"/>
  <c r="AY500" i="1"/>
  <c r="AZ500" i="1" s="1"/>
  <c r="BA500" i="1" s="1"/>
  <c r="BB500" i="1" s="1"/>
  <c r="BC500" i="1" s="1"/>
  <c r="AY343" i="1"/>
  <c r="AZ343" i="1" s="1"/>
  <c r="BA343" i="1" s="1"/>
  <c r="BB343" i="1" s="1"/>
  <c r="BC343" i="1" s="1"/>
  <c r="AU305" i="1"/>
  <c r="AU153" i="1"/>
  <c r="AY543" i="1"/>
  <c r="AZ543" i="1" s="1"/>
  <c r="BA543" i="1" s="1"/>
  <c r="BB543" i="1" s="1"/>
  <c r="BC543" i="1" s="1"/>
  <c r="AU98" i="1"/>
  <c r="AY200" i="1"/>
  <c r="AZ200" i="1" s="1"/>
  <c r="BA200" i="1" s="1"/>
  <c r="BB200" i="1" s="1"/>
  <c r="BC200" i="1" s="1"/>
  <c r="AU332" i="1"/>
  <c r="AY324" i="1"/>
  <c r="AZ324" i="1" s="1"/>
  <c r="BA324" i="1" s="1"/>
  <c r="BB324" i="1" s="1"/>
  <c r="BC324" i="1" s="1"/>
  <c r="AY246" i="1"/>
  <c r="AZ246" i="1" s="1"/>
  <c r="BA246" i="1" s="1"/>
  <c r="BB246" i="1" s="1"/>
  <c r="BC246" i="1" s="1"/>
  <c r="AY366" i="1"/>
  <c r="AZ366" i="1" s="1"/>
  <c r="BA366" i="1" s="1"/>
  <c r="BB366" i="1" s="1"/>
  <c r="BC366" i="1" s="1"/>
  <c r="AY590" i="1"/>
  <c r="AZ590" i="1" s="1"/>
  <c r="BA590" i="1" s="1"/>
  <c r="BB590" i="1" s="1"/>
  <c r="BC590" i="1" s="1"/>
  <c r="AY496" i="1"/>
  <c r="AZ496" i="1" s="1"/>
  <c r="BA496" i="1" s="1"/>
  <c r="BB496" i="1" s="1"/>
  <c r="BC496" i="1" s="1"/>
  <c r="AY107" i="1"/>
  <c r="AZ107" i="1" s="1"/>
  <c r="BA107" i="1" s="1"/>
  <c r="BB107" i="1" s="1"/>
  <c r="BC107" i="1" s="1"/>
  <c r="AY653" i="1"/>
  <c r="AY398" i="1"/>
  <c r="AZ398" i="1" s="1"/>
  <c r="BA398" i="1" s="1"/>
  <c r="BB398" i="1" s="1"/>
  <c r="BC398" i="1" s="1"/>
  <c r="BA519" i="1"/>
  <c r="BB519" i="1" s="1"/>
  <c r="BC519" i="1" s="1"/>
  <c r="BA262" i="1"/>
  <c r="BB262" i="1" s="1"/>
  <c r="BC262" i="1" s="1"/>
  <c r="AY346" i="1"/>
  <c r="AZ346" i="1" s="1"/>
  <c r="BA346" i="1" s="1"/>
  <c r="BB346" i="1" s="1"/>
  <c r="BC346" i="1" s="1"/>
  <c r="AY178" i="1"/>
  <c r="AZ178" i="1" s="1"/>
  <c r="BA178" i="1" s="1"/>
  <c r="BB178" i="1" s="1"/>
  <c r="BC178" i="1" s="1"/>
  <c r="AY111" i="1"/>
  <c r="AZ111" i="1" s="1"/>
  <c r="BA111" i="1" s="1"/>
  <c r="BB111" i="1" s="1"/>
  <c r="BC111" i="1" s="1"/>
  <c r="AY185" i="1"/>
  <c r="BD185" i="1" s="1"/>
  <c r="AY583" i="1"/>
  <c r="AZ583" i="1" s="1"/>
  <c r="BA583" i="1" s="1"/>
  <c r="BB583" i="1" s="1"/>
  <c r="BC583" i="1" s="1"/>
  <c r="AY124" i="1"/>
  <c r="AZ124" i="1" s="1"/>
  <c r="BA124" i="1" s="1"/>
  <c r="BB124" i="1" s="1"/>
  <c r="BC124" i="1" s="1"/>
  <c r="BA512" i="1"/>
  <c r="BB512" i="1" s="1"/>
  <c r="BC512" i="1" s="1"/>
  <c r="AY631" i="1"/>
  <c r="BD631" i="1" s="1"/>
  <c r="AY352" i="1"/>
  <c r="AZ352" i="1" s="1"/>
  <c r="BA352" i="1" s="1"/>
  <c r="BB352" i="1" s="1"/>
  <c r="BC352" i="1" s="1"/>
  <c r="AY381" i="1"/>
  <c r="BD381" i="1" s="1"/>
  <c r="AY419" i="1"/>
  <c r="AZ419" i="1" s="1"/>
  <c r="BA419" i="1" s="1"/>
  <c r="BB419" i="1" s="1"/>
  <c r="BC419" i="1" s="1"/>
  <c r="AY316" i="1"/>
  <c r="AZ316" i="1" s="1"/>
  <c r="BA316" i="1" s="1"/>
  <c r="BB316" i="1" s="1"/>
  <c r="BC316" i="1" s="1"/>
  <c r="AY494" i="1"/>
  <c r="AZ494" i="1" s="1"/>
  <c r="BA494" i="1" s="1"/>
  <c r="BB494" i="1" s="1"/>
  <c r="BC494" i="1" s="1"/>
  <c r="AY71" i="1"/>
  <c r="AZ71" i="1" s="1"/>
  <c r="BA71" i="1" s="1"/>
  <c r="BB71" i="1" s="1"/>
  <c r="BC71" i="1" s="1"/>
  <c r="BA86" i="1"/>
  <c r="BB86" i="1" s="1"/>
  <c r="BC86" i="1" s="1"/>
  <c r="AU188" i="1"/>
  <c r="AU613" i="1"/>
  <c r="AU579" i="1"/>
  <c r="BA555" i="1"/>
  <c r="BB555" i="1" s="1"/>
  <c r="BC555" i="1" s="1"/>
  <c r="AU183" i="1"/>
  <c r="BA633" i="1"/>
  <c r="BB633" i="1" s="1"/>
  <c r="BC633" i="1" s="1"/>
  <c r="AY599" i="1"/>
  <c r="AZ599" i="1" s="1"/>
  <c r="BD267" i="1"/>
  <c r="AQ111" i="1"/>
  <c r="AR111" i="1" s="1"/>
  <c r="AS111" i="1" s="1"/>
  <c r="AT111" i="1" s="1"/>
  <c r="AY648" i="1"/>
  <c r="AZ648" i="1" s="1"/>
  <c r="BA648" i="1" s="1"/>
  <c r="BB648" i="1" s="1"/>
  <c r="BC648" i="1" s="1"/>
  <c r="AY368" i="1"/>
  <c r="AZ368" i="1" s="1"/>
  <c r="BA368" i="1" s="1"/>
  <c r="BB368" i="1" s="1"/>
  <c r="BC368" i="1" s="1"/>
  <c r="AU662" i="1"/>
  <c r="AQ296" i="1"/>
  <c r="AR296" i="1" s="1"/>
  <c r="AS296" i="1" s="1"/>
  <c r="AT296" i="1" s="1"/>
  <c r="AQ645" i="1"/>
  <c r="AR645" i="1" s="1"/>
  <c r="AS645" i="1" s="1"/>
  <c r="AT645" i="1" s="1"/>
  <c r="BD519" i="1"/>
  <c r="AY325" i="1"/>
  <c r="AZ325" i="1" s="1"/>
  <c r="BA325" i="1" s="1"/>
  <c r="BB325" i="1" s="1"/>
  <c r="BC325" i="1" s="1"/>
  <c r="AY182" i="1"/>
  <c r="AZ182" i="1" s="1"/>
  <c r="BA182" i="1" s="1"/>
  <c r="BB182" i="1" s="1"/>
  <c r="BC182" i="1" s="1"/>
  <c r="AU108" i="1"/>
  <c r="AY77" i="1"/>
  <c r="AZ77" i="1" s="1"/>
  <c r="BA77" i="1" s="1"/>
  <c r="BB77" i="1" s="1"/>
  <c r="BC77" i="1" s="1"/>
  <c r="AY114" i="1"/>
  <c r="AZ114" i="1" s="1"/>
  <c r="BA114" i="1" s="1"/>
  <c r="BB114" i="1" s="1"/>
  <c r="BC114" i="1" s="1"/>
  <c r="AY321" i="1"/>
  <c r="BD321" i="1" s="1"/>
  <c r="AQ652" i="1"/>
  <c r="AR652" i="1" s="1"/>
  <c r="AS652" i="1" s="1"/>
  <c r="AT652" i="1" s="1"/>
  <c r="AY99" i="1"/>
  <c r="AZ99" i="1" s="1"/>
  <c r="BA99" i="1" s="1"/>
  <c r="BB99" i="1" s="1"/>
  <c r="BC99" i="1" s="1"/>
  <c r="BA267" i="1"/>
  <c r="BB267" i="1" s="1"/>
  <c r="BC267" i="1" s="1"/>
  <c r="AQ567" i="1"/>
  <c r="AR567" i="1" s="1"/>
  <c r="AS567" i="1" s="1"/>
  <c r="AT567" i="1" s="1"/>
  <c r="AY201" i="1"/>
  <c r="AZ201" i="1" s="1"/>
  <c r="BA201" i="1" s="1"/>
  <c r="BB201" i="1" s="1"/>
  <c r="BC201" i="1" s="1"/>
  <c r="AU96" i="1"/>
  <c r="AU509" i="1"/>
  <c r="AY226" i="1"/>
  <c r="AZ226" i="1" s="1"/>
  <c r="AU112" i="1"/>
  <c r="BD458" i="1"/>
  <c r="AY417" i="1"/>
  <c r="AZ417" i="1" s="1"/>
  <c r="BA417" i="1" s="1"/>
  <c r="BB417" i="1" s="1"/>
  <c r="BC417" i="1" s="1"/>
  <c r="AQ462" i="1"/>
  <c r="AR462" i="1" s="1"/>
  <c r="AS462" i="1" s="1"/>
  <c r="AT462" i="1" s="1"/>
  <c r="AQ297" i="1"/>
  <c r="AR297" i="1" s="1"/>
  <c r="AS297" i="1" s="1"/>
  <c r="AT297" i="1" s="1"/>
  <c r="AU231" i="1"/>
  <c r="AU476" i="1"/>
  <c r="AY617" i="1"/>
  <c r="AZ617" i="1" s="1"/>
  <c r="BA617" i="1" s="1"/>
  <c r="BB617" i="1" s="1"/>
  <c r="BC617" i="1" s="1"/>
  <c r="AY565" i="1"/>
  <c r="AZ565" i="1" s="1"/>
  <c r="BA565" i="1" s="1"/>
  <c r="BB565" i="1" s="1"/>
  <c r="BC565" i="1" s="1"/>
  <c r="AU368" i="1"/>
  <c r="AY278" i="1"/>
  <c r="AZ278" i="1" s="1"/>
  <c r="BA278" i="1" s="1"/>
  <c r="BB278" i="1" s="1"/>
  <c r="BC278" i="1" s="1"/>
  <c r="AY301" i="1"/>
  <c r="BD301" i="1" s="1"/>
  <c r="AQ336" i="1"/>
  <c r="AR336" i="1" s="1"/>
  <c r="AS336" i="1" s="1"/>
  <c r="AT336" i="1" s="1"/>
  <c r="AY112" i="1"/>
  <c r="AZ112" i="1" s="1"/>
  <c r="BA112" i="1" s="1"/>
  <c r="BB112" i="1" s="1"/>
  <c r="BC112" i="1" s="1"/>
  <c r="AY192" i="1"/>
  <c r="BD192" i="1" s="1"/>
  <c r="AY165" i="1"/>
  <c r="AZ165" i="1" s="1"/>
  <c r="BA165" i="1" s="1"/>
  <c r="BB165" i="1" s="1"/>
  <c r="BC165" i="1" s="1"/>
  <c r="AU272" i="1"/>
  <c r="AY266" i="1"/>
  <c r="AZ266" i="1" s="1"/>
  <c r="BA266" i="1" s="1"/>
  <c r="BB266" i="1" s="1"/>
  <c r="BC266" i="1" s="1"/>
  <c r="BD86" i="1"/>
  <c r="AY283" i="1"/>
  <c r="AZ283" i="1" s="1"/>
  <c r="BA283" i="1" s="1"/>
  <c r="BB283" i="1" s="1"/>
  <c r="BC283" i="1" s="1"/>
  <c r="AY561" i="1"/>
  <c r="BD561" i="1" s="1"/>
  <c r="AY456" i="1"/>
  <c r="AZ456" i="1" s="1"/>
  <c r="BA456" i="1" s="1"/>
  <c r="BB456" i="1" s="1"/>
  <c r="BC456" i="1" s="1"/>
  <c r="AQ190" i="1"/>
  <c r="AR190" i="1" s="1"/>
  <c r="AS190" i="1" s="1"/>
  <c r="AT190" i="1" s="1"/>
  <c r="AY355" i="1"/>
  <c r="AZ355" i="1" s="1"/>
  <c r="BA355" i="1" s="1"/>
  <c r="BB355" i="1" s="1"/>
  <c r="BC355" i="1" s="1"/>
  <c r="AY566" i="1"/>
  <c r="BD566" i="1" s="1"/>
  <c r="BA564" i="1"/>
  <c r="BB564" i="1" s="1"/>
  <c r="BC564" i="1" s="1"/>
  <c r="AU266" i="1"/>
  <c r="AQ326" i="1"/>
  <c r="AR326" i="1" s="1"/>
  <c r="AS326" i="1" s="1"/>
  <c r="AT326" i="1" s="1"/>
  <c r="AU253" i="1"/>
  <c r="AQ211" i="1"/>
  <c r="AR211" i="1" s="1"/>
  <c r="AS211" i="1" s="1"/>
  <c r="AT211" i="1" s="1"/>
  <c r="AY655" i="1"/>
  <c r="AU396" i="1"/>
  <c r="AU243" i="1"/>
  <c r="AU123" i="1"/>
  <c r="AU161" i="1"/>
  <c r="AY383" i="1"/>
  <c r="BD383" i="1" s="1"/>
  <c r="AY624" i="1"/>
  <c r="AZ624" i="1" s="1"/>
  <c r="BA624" i="1" s="1"/>
  <c r="BB624" i="1" s="1"/>
  <c r="BC624" i="1" s="1"/>
  <c r="AY546" i="1"/>
  <c r="AZ546" i="1" s="1"/>
  <c r="BA546" i="1" s="1"/>
  <c r="BB546" i="1" s="1"/>
  <c r="BC546" i="1" s="1"/>
  <c r="AY554" i="1"/>
  <c r="AZ554" i="1" s="1"/>
  <c r="BA554" i="1" s="1"/>
  <c r="BB554" i="1" s="1"/>
  <c r="BC554" i="1" s="1"/>
  <c r="AU468" i="1"/>
  <c r="AQ184" i="1"/>
  <c r="AR184" i="1" s="1"/>
  <c r="AS184" i="1" s="1"/>
  <c r="AT184" i="1" s="1"/>
  <c r="AY637" i="1"/>
  <c r="BD637" i="1" s="1"/>
  <c r="AU348" i="1"/>
  <c r="AU394" i="1"/>
  <c r="AY569" i="1"/>
  <c r="AZ569" i="1" s="1"/>
  <c r="BA569" i="1" s="1"/>
  <c r="BB569" i="1" s="1"/>
  <c r="BC569" i="1" s="1"/>
  <c r="AY326" i="1"/>
  <c r="AZ326" i="1" s="1"/>
  <c r="BA326" i="1" s="1"/>
  <c r="BB326" i="1" s="1"/>
  <c r="BC326" i="1" s="1"/>
  <c r="AY196" i="1"/>
  <c r="AZ196" i="1" s="1"/>
  <c r="BA196" i="1" s="1"/>
  <c r="BB196" i="1" s="1"/>
  <c r="BC196" i="1" s="1"/>
  <c r="AY608" i="1"/>
  <c r="BD608" i="1" s="1"/>
  <c r="AY614" i="1"/>
  <c r="AZ614" i="1" s="1"/>
  <c r="BA614" i="1" s="1"/>
  <c r="BB614" i="1" s="1"/>
  <c r="BC614" i="1" s="1"/>
  <c r="AY389" i="1"/>
  <c r="AZ389" i="1" s="1"/>
  <c r="BA389" i="1" s="1"/>
  <c r="BB389" i="1" s="1"/>
  <c r="BC389" i="1" s="1"/>
  <c r="AQ419" i="1"/>
  <c r="AR419" i="1" s="1"/>
  <c r="AS419" i="1" s="1"/>
  <c r="AT419" i="1" s="1"/>
  <c r="AY609" i="1"/>
  <c r="BD609" i="1" s="1"/>
  <c r="AU386" i="1"/>
  <c r="BD507" i="1"/>
  <c r="AU602" i="1"/>
  <c r="AQ602" i="1"/>
  <c r="AR602" i="1" s="1"/>
  <c r="AS602" i="1" s="1"/>
  <c r="AT602" i="1" s="1"/>
  <c r="BD298" i="1"/>
  <c r="AQ624" i="1"/>
  <c r="AR624" i="1" s="1"/>
  <c r="AS624" i="1" s="1"/>
  <c r="AT624" i="1" s="1"/>
  <c r="AQ79" i="1"/>
  <c r="AR79" i="1" s="1"/>
  <c r="AS79" i="1" s="1"/>
  <c r="AT79" i="1" s="1"/>
  <c r="AU384" i="1"/>
  <c r="AU491" i="1"/>
  <c r="AY299" i="1"/>
  <c r="AZ299" i="1" s="1"/>
  <c r="BA299" i="1" s="1"/>
  <c r="BB299" i="1" s="1"/>
  <c r="BC299" i="1" s="1"/>
  <c r="AQ154" i="1"/>
  <c r="AR154" i="1" s="1"/>
  <c r="AS154" i="1" s="1"/>
  <c r="AT154" i="1" s="1"/>
  <c r="AU277" i="1"/>
  <c r="AY484" i="1"/>
  <c r="AZ484" i="1" s="1"/>
  <c r="BA484" i="1" s="1"/>
  <c r="BB484" i="1" s="1"/>
  <c r="BC484" i="1" s="1"/>
  <c r="AU601" i="1"/>
  <c r="AQ574" i="1"/>
  <c r="AR574" i="1" s="1"/>
  <c r="AS574" i="1" s="1"/>
  <c r="AT574" i="1" s="1"/>
  <c r="AQ519" i="1"/>
  <c r="AR519" i="1" s="1"/>
  <c r="AS519" i="1" s="1"/>
  <c r="AT519" i="1" s="1"/>
  <c r="AY455" i="1"/>
  <c r="AZ455" i="1" s="1"/>
  <c r="BA455" i="1" s="1"/>
  <c r="BB455" i="1" s="1"/>
  <c r="BC455" i="1" s="1"/>
  <c r="AY131" i="1"/>
  <c r="AZ131" i="1" s="1"/>
  <c r="BA131" i="1" s="1"/>
  <c r="BB131" i="1" s="1"/>
  <c r="BC131" i="1" s="1"/>
  <c r="AQ501" i="1"/>
  <c r="AR501" i="1" s="1"/>
  <c r="AS501" i="1" s="1"/>
  <c r="AT501" i="1" s="1"/>
  <c r="AY115" i="1"/>
  <c r="AZ115" i="1" s="1"/>
  <c r="BA115" i="1" s="1"/>
  <c r="BB115" i="1" s="1"/>
  <c r="BC115" i="1" s="1"/>
  <c r="AU182" i="1"/>
  <c r="AU126" i="1"/>
  <c r="AU531" i="1"/>
  <c r="BA298" i="1"/>
  <c r="BB298" i="1" s="1"/>
  <c r="BC298" i="1" s="1"/>
  <c r="AU129" i="1"/>
  <c r="BD472" i="1"/>
  <c r="AU367" i="1"/>
  <c r="BD486" i="1"/>
  <c r="AY430" i="1"/>
  <c r="AZ430" i="1" s="1"/>
  <c r="BA430" i="1" s="1"/>
  <c r="BB430" i="1" s="1"/>
  <c r="BC430" i="1" s="1"/>
  <c r="AY435" i="1"/>
  <c r="BD435" i="1" s="1"/>
  <c r="AQ427" i="1"/>
  <c r="AR427" i="1" s="1"/>
  <c r="AS427" i="1" s="1"/>
  <c r="AT427" i="1" s="1"/>
  <c r="AU427" i="1"/>
  <c r="AQ304" i="1"/>
  <c r="AR304" i="1" s="1"/>
  <c r="AS304" i="1" s="1"/>
  <c r="AT304" i="1" s="1"/>
  <c r="AU304" i="1"/>
  <c r="AY487" i="1"/>
  <c r="AZ487" i="1" s="1"/>
  <c r="BA487" i="1" s="1"/>
  <c r="BB487" i="1" s="1"/>
  <c r="BC487" i="1" s="1"/>
  <c r="BD295" i="1"/>
  <c r="AU215" i="1"/>
  <c r="AQ648" i="1"/>
  <c r="AR648" i="1" s="1"/>
  <c r="AS648" i="1" s="1"/>
  <c r="AT648" i="1" s="1"/>
  <c r="AY271" i="1"/>
  <c r="AZ271" i="1" s="1"/>
  <c r="BA271" i="1" s="1"/>
  <c r="BB271" i="1" s="1"/>
  <c r="BC271" i="1" s="1"/>
  <c r="AY393" i="1"/>
  <c r="AZ393" i="1" s="1"/>
  <c r="BA393" i="1" s="1"/>
  <c r="BB393" i="1" s="1"/>
  <c r="BC393" i="1" s="1"/>
  <c r="BD308" i="1"/>
  <c r="AU163" i="1"/>
  <c r="AU260" i="1"/>
  <c r="AY135" i="1"/>
  <c r="BD135" i="1" s="1"/>
  <c r="AY259" i="1"/>
  <c r="AZ259" i="1" s="1"/>
  <c r="BA259" i="1" s="1"/>
  <c r="BB259" i="1" s="1"/>
  <c r="BC259" i="1" s="1"/>
  <c r="AY207" i="1"/>
  <c r="AZ207" i="1" s="1"/>
  <c r="BA207" i="1" s="1"/>
  <c r="BB207" i="1" s="1"/>
  <c r="BC207" i="1" s="1"/>
  <c r="AQ562" i="1"/>
  <c r="AR562" i="1" s="1"/>
  <c r="AS562" i="1" s="1"/>
  <c r="AT562" i="1" s="1"/>
  <c r="AY217" i="1"/>
  <c r="AZ217" i="1" s="1"/>
  <c r="BA217" i="1" s="1"/>
  <c r="BB217" i="1" s="1"/>
  <c r="BC217" i="1" s="1"/>
  <c r="AY282" i="1"/>
  <c r="AZ282" i="1" s="1"/>
  <c r="BA282" i="1" s="1"/>
  <c r="BB282" i="1" s="1"/>
  <c r="BC282" i="1" s="1"/>
  <c r="AY233" i="1"/>
  <c r="AZ233" i="1" s="1"/>
  <c r="BA233" i="1" s="1"/>
  <c r="BB233" i="1" s="1"/>
  <c r="BC233" i="1" s="1"/>
  <c r="AY173" i="1"/>
  <c r="AZ173" i="1" s="1"/>
  <c r="BA173" i="1" s="1"/>
  <c r="BB173" i="1" s="1"/>
  <c r="BC173" i="1" s="1"/>
  <c r="AY394" i="1"/>
  <c r="AZ394" i="1" s="1"/>
  <c r="BA394" i="1" s="1"/>
  <c r="BB394" i="1" s="1"/>
  <c r="BC394" i="1" s="1"/>
  <c r="BD576" i="1"/>
  <c r="AY634" i="1"/>
  <c r="AZ634" i="1" s="1"/>
  <c r="BA634" i="1" s="1"/>
  <c r="BB634" i="1" s="1"/>
  <c r="BC634" i="1" s="1"/>
  <c r="BA461" i="1"/>
  <c r="BB461" i="1" s="1"/>
  <c r="BC461" i="1" s="1"/>
  <c r="BD110" i="1"/>
  <c r="AU276" i="1"/>
  <c r="AQ276" i="1"/>
  <c r="AR276" i="1" s="1"/>
  <c r="AS276" i="1" s="1"/>
  <c r="AT276" i="1" s="1"/>
  <c r="AU213" i="1"/>
  <c r="AQ213" i="1"/>
  <c r="AR213" i="1" s="1"/>
  <c r="AS213" i="1" s="1"/>
  <c r="AT213" i="1" s="1"/>
  <c r="AU164" i="1"/>
  <c r="AQ497" i="1"/>
  <c r="AR497" i="1" s="1"/>
  <c r="AS497" i="1" s="1"/>
  <c r="AT497" i="1" s="1"/>
  <c r="AY216" i="1"/>
  <c r="AZ216" i="1" s="1"/>
  <c r="BA216" i="1" s="1"/>
  <c r="BB216" i="1" s="1"/>
  <c r="BC216" i="1" s="1"/>
  <c r="AU140" i="1"/>
  <c r="AY164" i="1"/>
  <c r="AZ164" i="1" s="1"/>
  <c r="BA164" i="1" s="1"/>
  <c r="BB164" i="1" s="1"/>
  <c r="BC164" i="1" s="1"/>
  <c r="AU132" i="1"/>
  <c r="AY194" i="1"/>
  <c r="BD194" i="1" s="1"/>
  <c r="AU380" i="1"/>
  <c r="AU299" i="1"/>
  <c r="AU588" i="1"/>
  <c r="AY449" i="1"/>
  <c r="AZ449" i="1" s="1"/>
  <c r="BA449" i="1" s="1"/>
  <c r="BB449" i="1" s="1"/>
  <c r="BC449" i="1" s="1"/>
  <c r="AU185" i="1"/>
  <c r="AY237" i="1"/>
  <c r="AZ237" i="1" s="1"/>
  <c r="BA237" i="1" s="1"/>
  <c r="BB237" i="1" s="1"/>
  <c r="BC237" i="1" s="1"/>
  <c r="AY202" i="1"/>
  <c r="BD202" i="1" s="1"/>
  <c r="AQ571" i="1"/>
  <c r="AR571" i="1" s="1"/>
  <c r="AS571" i="1" s="1"/>
  <c r="AT571" i="1" s="1"/>
  <c r="AY94" i="1"/>
  <c r="AY373" i="1"/>
  <c r="BD373" i="1" s="1"/>
  <c r="AY612" i="1"/>
  <c r="BD612" i="1" s="1"/>
  <c r="AQ295" i="1"/>
  <c r="AR295" i="1" s="1"/>
  <c r="AS295" i="1" s="1"/>
  <c r="AT295" i="1" s="1"/>
  <c r="AU95" i="1"/>
  <c r="AU167" i="1"/>
  <c r="BD461" i="1"/>
  <c r="BD595" i="1"/>
  <c r="AY314" i="1"/>
  <c r="AZ314" i="1" s="1"/>
  <c r="BA314" i="1" s="1"/>
  <c r="BB314" i="1" s="1"/>
  <c r="BC314" i="1" s="1"/>
  <c r="AY333" i="1"/>
  <c r="AZ333" i="1" s="1"/>
  <c r="BA333" i="1" s="1"/>
  <c r="BB333" i="1" s="1"/>
  <c r="BC333" i="1" s="1"/>
  <c r="AU646" i="1"/>
  <c r="AU284" i="1"/>
  <c r="AY434" i="1"/>
  <c r="AY293" i="1"/>
  <c r="BD293" i="1" s="1"/>
  <c r="BA87" i="1"/>
  <c r="BB87" i="1" s="1"/>
  <c r="BC87" i="1" s="1"/>
  <c r="AY662" i="1"/>
  <c r="AZ662" i="1" s="1"/>
  <c r="BA662" i="1" s="1"/>
  <c r="BB662" i="1" s="1"/>
  <c r="BC662" i="1" s="1"/>
  <c r="AU235" i="1"/>
  <c r="AQ610" i="1"/>
  <c r="AR610" i="1" s="1"/>
  <c r="AS610" i="1" s="1"/>
  <c r="AT610" i="1" s="1"/>
  <c r="AU610" i="1"/>
  <c r="BD428" i="1"/>
  <c r="AY329" i="1"/>
  <c r="AZ329" i="1" s="1"/>
  <c r="BA329" i="1" s="1"/>
  <c r="BB329" i="1" s="1"/>
  <c r="BC329" i="1" s="1"/>
  <c r="AY539" i="1"/>
  <c r="BD539" i="1" s="1"/>
  <c r="AY186" i="1"/>
  <c r="AZ186" i="1" s="1"/>
  <c r="BA186" i="1" s="1"/>
  <c r="BB186" i="1" s="1"/>
  <c r="BC186" i="1" s="1"/>
  <c r="AU592" i="1"/>
  <c r="AY598" i="1"/>
  <c r="AZ598" i="1" s="1"/>
  <c r="BA598" i="1" s="1"/>
  <c r="BB598" i="1" s="1"/>
  <c r="BC598" i="1" s="1"/>
  <c r="AU630" i="1"/>
  <c r="AY148" i="1"/>
  <c r="AZ148" i="1" s="1"/>
  <c r="BA148" i="1" s="1"/>
  <c r="BB148" i="1" s="1"/>
  <c r="BC148" i="1" s="1"/>
  <c r="AY475" i="1"/>
  <c r="AZ475" i="1" s="1"/>
  <c r="BA475" i="1" s="1"/>
  <c r="BB475" i="1" s="1"/>
  <c r="BC475" i="1" s="1"/>
  <c r="AU506" i="1"/>
  <c r="AY610" i="1"/>
  <c r="AZ610" i="1" s="1"/>
  <c r="BA610" i="1" s="1"/>
  <c r="BB610" i="1" s="1"/>
  <c r="BC610" i="1" s="1"/>
  <c r="AY513" i="1"/>
  <c r="AZ513" i="1" s="1"/>
  <c r="BA513" i="1" s="1"/>
  <c r="BB513" i="1" s="1"/>
  <c r="BC513" i="1" s="1"/>
  <c r="AU93" i="1"/>
  <c r="AY423" i="1"/>
  <c r="AZ423" i="1" s="1"/>
  <c r="BA423" i="1" s="1"/>
  <c r="BB423" i="1" s="1"/>
  <c r="BC423" i="1" s="1"/>
  <c r="AU495" i="1"/>
  <c r="AU136" i="1"/>
  <c r="BA607" i="1"/>
  <c r="BB607" i="1" s="1"/>
  <c r="BC607" i="1" s="1"/>
  <c r="BA295" i="1"/>
  <c r="BB295" i="1" s="1"/>
  <c r="BC295" i="1" s="1"/>
  <c r="AY452" i="1"/>
  <c r="AZ452" i="1" s="1"/>
  <c r="BA452" i="1" s="1"/>
  <c r="BB452" i="1" s="1"/>
  <c r="BC452" i="1" s="1"/>
  <c r="AU435" i="1"/>
  <c r="BD646" i="1"/>
  <c r="AU404" i="1"/>
  <c r="AQ97" i="1"/>
  <c r="AR97" i="1" s="1"/>
  <c r="AS97" i="1" s="1"/>
  <c r="AT97" i="1" s="1"/>
  <c r="AY450" i="1"/>
  <c r="BD450" i="1" s="1"/>
  <c r="BD460" i="1"/>
  <c r="AY529" i="1"/>
  <c r="AZ529" i="1" s="1"/>
  <c r="BA303" i="1"/>
  <c r="BB303" i="1" s="1"/>
  <c r="BC303" i="1" s="1"/>
  <c r="AU444" i="1"/>
  <c r="AU590" i="1"/>
  <c r="AY91" i="1"/>
  <c r="AZ91" i="1" s="1"/>
  <c r="BA91" i="1" s="1"/>
  <c r="BB91" i="1" s="1"/>
  <c r="BC91" i="1" s="1"/>
  <c r="AY592" i="1"/>
  <c r="AZ592" i="1" s="1"/>
  <c r="BA592" i="1" s="1"/>
  <c r="BB592" i="1" s="1"/>
  <c r="BC592" i="1" s="1"/>
  <c r="AY235" i="1"/>
  <c r="AZ235" i="1" s="1"/>
  <c r="BA235" i="1" s="1"/>
  <c r="BB235" i="1" s="1"/>
  <c r="BC235" i="1" s="1"/>
  <c r="AY474" i="1"/>
  <c r="AZ474" i="1" s="1"/>
  <c r="BA474" i="1" s="1"/>
  <c r="BB474" i="1" s="1"/>
  <c r="BC474" i="1" s="1"/>
  <c r="AU113" i="1"/>
  <c r="AY661" i="1"/>
  <c r="AZ661" i="1" s="1"/>
  <c r="BA661" i="1" s="1"/>
  <c r="BB661" i="1" s="1"/>
  <c r="BC661" i="1" s="1"/>
  <c r="AY605" i="1"/>
  <c r="AZ605" i="1" s="1"/>
  <c r="BA605" i="1" s="1"/>
  <c r="BB605" i="1" s="1"/>
  <c r="BC605" i="1" s="1"/>
  <c r="AY239" i="1"/>
  <c r="AZ239" i="1" s="1"/>
  <c r="BA239" i="1" s="1"/>
  <c r="BB239" i="1" s="1"/>
  <c r="BC239" i="1" s="1"/>
  <c r="AU294" i="1"/>
  <c r="AY400" i="1"/>
  <c r="AZ400" i="1" s="1"/>
  <c r="BA400" i="1" s="1"/>
  <c r="BB400" i="1" s="1"/>
  <c r="BC400" i="1" s="1"/>
  <c r="AY431" i="1"/>
  <c r="BD431" i="1" s="1"/>
  <c r="AY551" i="1"/>
  <c r="AZ551" i="1" s="1"/>
  <c r="BA551" i="1" s="1"/>
  <c r="BB551" i="1" s="1"/>
  <c r="BC551" i="1" s="1"/>
  <c r="BA367" i="1"/>
  <c r="BB367" i="1" s="1"/>
  <c r="BC367" i="1" s="1"/>
  <c r="AY379" i="1"/>
  <c r="AZ379" i="1" s="1"/>
  <c r="BA379" i="1" s="1"/>
  <c r="BB379" i="1" s="1"/>
  <c r="BC379" i="1" s="1"/>
  <c r="AY369" i="1"/>
  <c r="AZ369" i="1" s="1"/>
  <c r="BA369" i="1" s="1"/>
  <c r="BB369" i="1" s="1"/>
  <c r="BC369" i="1" s="1"/>
  <c r="AY167" i="1"/>
  <c r="AZ167" i="1" s="1"/>
  <c r="BA167" i="1" s="1"/>
  <c r="BB167" i="1" s="1"/>
  <c r="BC167" i="1" s="1"/>
  <c r="AY578" i="1"/>
  <c r="AZ578" i="1" s="1"/>
  <c r="BA578" i="1" s="1"/>
  <c r="BB578" i="1" s="1"/>
  <c r="BC578" i="1" s="1"/>
  <c r="AY362" i="1"/>
  <c r="AZ362" i="1" s="1"/>
  <c r="BA362" i="1" s="1"/>
  <c r="BB362" i="1" s="1"/>
  <c r="BC362" i="1" s="1"/>
  <c r="AU618" i="1"/>
  <c r="AY81" i="1"/>
  <c r="AZ81" i="1" s="1"/>
  <c r="BA81" i="1" s="1"/>
  <c r="BB81" i="1" s="1"/>
  <c r="BC81" i="1" s="1"/>
  <c r="AU252" i="1"/>
  <c r="AY347" i="1"/>
  <c r="AZ347" i="1" s="1"/>
  <c r="BA347" i="1" s="1"/>
  <c r="BB347" i="1" s="1"/>
  <c r="BC347" i="1" s="1"/>
  <c r="AU379" i="1"/>
  <c r="AZ481" i="1"/>
  <c r="BA481" i="1" s="1"/>
  <c r="BB481" i="1" s="1"/>
  <c r="BC481" i="1" s="1"/>
  <c r="BD481" i="1"/>
  <c r="AU573" i="1"/>
  <c r="AQ573" i="1"/>
  <c r="AR573" i="1" s="1"/>
  <c r="AS573" i="1" s="1"/>
  <c r="AT573" i="1" s="1"/>
  <c r="AQ310" i="1"/>
  <c r="AR310" i="1" s="1"/>
  <c r="AS310" i="1" s="1"/>
  <c r="AT310" i="1" s="1"/>
  <c r="AU310" i="1"/>
  <c r="AQ177" i="1"/>
  <c r="AR177" i="1" s="1"/>
  <c r="AS177" i="1" s="1"/>
  <c r="AT177" i="1" s="1"/>
  <c r="AU177" i="1"/>
  <c r="AU283" i="1"/>
  <c r="AQ283" i="1"/>
  <c r="AR283" i="1" s="1"/>
  <c r="AS283" i="1" s="1"/>
  <c r="AT283" i="1" s="1"/>
  <c r="AY76" i="1"/>
  <c r="AZ76" i="1" s="1"/>
  <c r="BA76" i="1" s="1"/>
  <c r="BB76" i="1" s="1"/>
  <c r="BC76" i="1" s="1"/>
  <c r="AU572" i="1"/>
  <c r="BD607" i="1"/>
  <c r="AU158" i="1"/>
  <c r="AY180" i="1"/>
  <c r="AZ180" i="1" s="1"/>
  <c r="BA180" i="1" s="1"/>
  <c r="BB180" i="1" s="1"/>
  <c r="BC180" i="1" s="1"/>
  <c r="AQ210" i="1"/>
  <c r="AR210" i="1" s="1"/>
  <c r="AS210" i="1" s="1"/>
  <c r="AT210" i="1" s="1"/>
  <c r="AU210" i="1"/>
  <c r="AU273" i="1"/>
  <c r="AQ273" i="1"/>
  <c r="AR273" i="1" s="1"/>
  <c r="AS273" i="1" s="1"/>
  <c r="AT273" i="1" s="1"/>
  <c r="AU366" i="1"/>
  <c r="AQ366" i="1"/>
  <c r="AR366" i="1" s="1"/>
  <c r="AS366" i="1" s="1"/>
  <c r="AT366" i="1" s="1"/>
  <c r="BA520" i="1"/>
  <c r="BB520" i="1" s="1"/>
  <c r="BC520" i="1" s="1"/>
  <c r="BA402" i="1"/>
  <c r="BB402" i="1" s="1"/>
  <c r="BC402" i="1" s="1"/>
  <c r="BA97" i="1"/>
  <c r="BB97" i="1" s="1"/>
  <c r="BC97" i="1" s="1"/>
  <c r="AY318" i="1"/>
  <c r="BD318" i="1" s="1"/>
  <c r="AU563" i="1"/>
  <c r="AU302" i="1"/>
  <c r="AU665" i="1"/>
  <c r="AU547" i="1"/>
  <c r="AU307" i="1"/>
  <c r="AU83" i="1"/>
  <c r="AU78" i="1"/>
  <c r="AY109" i="1"/>
  <c r="AZ109" i="1" s="1"/>
  <c r="BA109" i="1" s="1"/>
  <c r="BB109" i="1" s="1"/>
  <c r="BC109" i="1" s="1"/>
  <c r="AY639" i="1"/>
  <c r="BD639" i="1" s="1"/>
  <c r="AY242" i="1"/>
  <c r="AU262" i="1"/>
  <c r="AY483" i="1"/>
  <c r="AZ483" i="1" s="1"/>
  <c r="BA483" i="1" s="1"/>
  <c r="BB483" i="1" s="1"/>
  <c r="BC483" i="1" s="1"/>
  <c r="AY385" i="1"/>
  <c r="AZ385" i="1" s="1"/>
  <c r="BA385" i="1" s="1"/>
  <c r="BB385" i="1" s="1"/>
  <c r="BC385" i="1" s="1"/>
  <c r="AY90" i="1"/>
  <c r="AZ90" i="1" s="1"/>
  <c r="BA90" i="1" s="1"/>
  <c r="BB90" i="1" s="1"/>
  <c r="BC90" i="1" s="1"/>
  <c r="AY128" i="1"/>
  <c r="AZ128" i="1" s="1"/>
  <c r="BA128" i="1" s="1"/>
  <c r="BB128" i="1" s="1"/>
  <c r="BC128" i="1" s="1"/>
  <c r="BA422" i="1"/>
  <c r="BB422" i="1" s="1"/>
  <c r="BC422" i="1" s="1"/>
  <c r="AY129" i="1"/>
  <c r="BD129" i="1" s="1"/>
  <c r="BA470" i="1"/>
  <c r="BB470" i="1" s="1"/>
  <c r="BC470" i="1" s="1"/>
  <c r="BD190" i="1"/>
  <c r="BA428" i="1"/>
  <c r="BB428" i="1" s="1"/>
  <c r="BC428" i="1" s="1"/>
  <c r="AY254" i="1"/>
  <c r="AZ254" i="1" s="1"/>
  <c r="BA254" i="1" s="1"/>
  <c r="BB254" i="1" s="1"/>
  <c r="BC254" i="1" s="1"/>
  <c r="AY160" i="1"/>
  <c r="AZ160" i="1" s="1"/>
  <c r="BA160" i="1" s="1"/>
  <c r="BB160" i="1" s="1"/>
  <c r="BC160" i="1" s="1"/>
  <c r="AY145" i="1"/>
  <c r="AZ145" i="1" s="1"/>
  <c r="BA145" i="1" s="1"/>
  <c r="BB145" i="1" s="1"/>
  <c r="BC145" i="1" s="1"/>
  <c r="AY601" i="1"/>
  <c r="AZ601" i="1" s="1"/>
  <c r="BA601" i="1" s="1"/>
  <c r="BB601" i="1" s="1"/>
  <c r="BC601" i="1" s="1"/>
  <c r="AQ282" i="1"/>
  <c r="AR282" i="1" s="1"/>
  <c r="AS282" i="1" s="1"/>
  <c r="AT282" i="1" s="1"/>
  <c r="AY491" i="1"/>
  <c r="AZ491" i="1" s="1"/>
  <c r="BA491" i="1" s="1"/>
  <c r="BB491" i="1" s="1"/>
  <c r="BC491" i="1" s="1"/>
  <c r="AU441" i="1"/>
  <c r="AU593" i="1"/>
  <c r="AQ593" i="1"/>
  <c r="AR593" i="1" s="1"/>
  <c r="AS593" i="1" s="1"/>
  <c r="AT593" i="1" s="1"/>
  <c r="AY615" i="1"/>
  <c r="AZ615" i="1" s="1"/>
  <c r="BA615" i="1" s="1"/>
  <c r="BB615" i="1" s="1"/>
  <c r="BC615" i="1" s="1"/>
  <c r="AU653" i="1"/>
  <c r="BD555" i="1"/>
  <c r="AU173" i="1"/>
  <c r="AY290" i="1"/>
  <c r="AZ290" i="1" s="1"/>
  <c r="BA290" i="1" s="1"/>
  <c r="BB290" i="1" s="1"/>
  <c r="BC290" i="1" s="1"/>
  <c r="BA640" i="1"/>
  <c r="BB640" i="1" s="1"/>
  <c r="BC640" i="1" s="1"/>
  <c r="BD189" i="1"/>
  <c r="BD87" i="1"/>
  <c r="AU598" i="1"/>
  <c r="AU581" i="1"/>
  <c r="AY406" i="1"/>
  <c r="BD406" i="1" s="1"/>
  <c r="AY550" i="1"/>
  <c r="AZ550" i="1" s="1"/>
  <c r="BA550" i="1" s="1"/>
  <c r="BB550" i="1" s="1"/>
  <c r="BC550" i="1" s="1"/>
  <c r="AY542" i="1"/>
  <c r="AZ542" i="1" s="1"/>
  <c r="BA542" i="1" s="1"/>
  <c r="BB542" i="1" s="1"/>
  <c r="BC542" i="1" s="1"/>
  <c r="AY179" i="1"/>
  <c r="AZ179" i="1" s="1"/>
  <c r="BA179" i="1" s="1"/>
  <c r="BB179" i="1" s="1"/>
  <c r="BC179" i="1" s="1"/>
  <c r="AY508" i="1"/>
  <c r="AZ508" i="1" s="1"/>
  <c r="BA508" i="1" s="1"/>
  <c r="BB508" i="1" s="1"/>
  <c r="BC508" i="1" s="1"/>
  <c r="AU456" i="1"/>
  <c r="AY105" i="1"/>
  <c r="AZ105" i="1" s="1"/>
  <c r="BA105" i="1" s="1"/>
  <c r="BB105" i="1" s="1"/>
  <c r="BC105" i="1" s="1"/>
  <c r="AU415" i="1"/>
  <c r="AY127" i="1"/>
  <c r="AZ127" i="1" s="1"/>
  <c r="BA127" i="1" s="1"/>
  <c r="BB127" i="1" s="1"/>
  <c r="BC127" i="1" s="1"/>
  <c r="AY69" i="1"/>
  <c r="AZ69" i="1" s="1"/>
  <c r="BA69" i="1" s="1"/>
  <c r="BB69" i="1" s="1"/>
  <c r="BC69" i="1" s="1"/>
  <c r="AY268" i="1"/>
  <c r="AZ268" i="1" s="1"/>
  <c r="BA268" i="1" s="1"/>
  <c r="BB268" i="1" s="1"/>
  <c r="BC268" i="1" s="1"/>
  <c r="AY441" i="1"/>
  <c r="AZ441" i="1" s="1"/>
  <c r="BA441" i="1" s="1"/>
  <c r="BB441" i="1" s="1"/>
  <c r="BC441" i="1" s="1"/>
  <c r="AY296" i="1"/>
  <c r="AY418" i="1"/>
  <c r="AZ418" i="1" s="1"/>
  <c r="BA418" i="1" s="1"/>
  <c r="BB418" i="1" s="1"/>
  <c r="BC418" i="1" s="1"/>
  <c r="AY401" i="1"/>
  <c r="AZ401" i="1" s="1"/>
  <c r="BA401" i="1" s="1"/>
  <c r="BB401" i="1" s="1"/>
  <c r="BC401" i="1" s="1"/>
  <c r="AY488" i="1"/>
  <c r="AZ488" i="1" s="1"/>
  <c r="BA488" i="1" s="1"/>
  <c r="BB488" i="1" s="1"/>
  <c r="BC488" i="1" s="1"/>
  <c r="AU187" i="1"/>
  <c r="AY548" i="1"/>
  <c r="AZ548" i="1" s="1"/>
  <c r="BA548" i="1" s="1"/>
  <c r="BB548" i="1" s="1"/>
  <c r="BC548" i="1" s="1"/>
  <c r="AU355" i="1"/>
  <c r="AU141" i="1"/>
  <c r="AY349" i="1"/>
  <c r="AZ349" i="1" s="1"/>
  <c r="BA349" i="1" s="1"/>
  <c r="BB349" i="1" s="1"/>
  <c r="BC349" i="1" s="1"/>
  <c r="AU325" i="1"/>
  <c r="BD335" i="1"/>
  <c r="AQ300" i="1"/>
  <c r="AR300" i="1" s="1"/>
  <c r="AS300" i="1" s="1"/>
  <c r="AT300" i="1" s="1"/>
  <c r="AU300" i="1"/>
  <c r="AQ494" i="1"/>
  <c r="AR494" i="1" s="1"/>
  <c r="AS494" i="1" s="1"/>
  <c r="AT494" i="1" s="1"/>
  <c r="AU494" i="1"/>
  <c r="AQ391" i="1"/>
  <c r="AR391" i="1" s="1"/>
  <c r="AS391" i="1" s="1"/>
  <c r="AT391" i="1" s="1"/>
  <c r="AU391" i="1"/>
  <c r="AQ611" i="1"/>
  <c r="AR611" i="1" s="1"/>
  <c r="AS611" i="1" s="1"/>
  <c r="AT611" i="1" s="1"/>
  <c r="AU611" i="1"/>
  <c r="AU520" i="1"/>
  <c r="AQ520" i="1"/>
  <c r="AR520" i="1" s="1"/>
  <c r="AS520" i="1" s="1"/>
  <c r="AT520" i="1" s="1"/>
  <c r="AQ625" i="1"/>
  <c r="AR625" i="1" s="1"/>
  <c r="AS625" i="1" s="1"/>
  <c r="AT625" i="1" s="1"/>
  <c r="AU625" i="1"/>
  <c r="AU109" i="1"/>
  <c r="AQ109" i="1"/>
  <c r="AR109" i="1" s="1"/>
  <c r="AS109" i="1" s="1"/>
  <c r="AT109" i="1" s="1"/>
  <c r="AU263" i="1"/>
  <c r="AQ263" i="1"/>
  <c r="AR263" i="1" s="1"/>
  <c r="AS263" i="1" s="1"/>
  <c r="AT263" i="1" s="1"/>
  <c r="AY146" i="1"/>
  <c r="AZ146" i="1" s="1"/>
  <c r="BA146" i="1" s="1"/>
  <c r="BB146" i="1" s="1"/>
  <c r="BC146" i="1" s="1"/>
  <c r="AU270" i="1"/>
  <c r="BA636" i="1"/>
  <c r="BB636" i="1" s="1"/>
  <c r="BC636" i="1" s="1"/>
  <c r="AY245" i="1"/>
  <c r="AZ245" i="1" s="1"/>
  <c r="BA245" i="1" s="1"/>
  <c r="BB245" i="1" s="1"/>
  <c r="BC245" i="1" s="1"/>
  <c r="AY575" i="1"/>
  <c r="AZ575" i="1" s="1"/>
  <c r="BA575" i="1" s="1"/>
  <c r="BB575" i="1" s="1"/>
  <c r="BC575" i="1" s="1"/>
  <c r="AY95" i="1"/>
  <c r="AZ95" i="1" s="1"/>
  <c r="BA95" i="1" s="1"/>
  <c r="BB95" i="1" s="1"/>
  <c r="BC95" i="1" s="1"/>
  <c r="BA460" i="1"/>
  <c r="BB460" i="1" s="1"/>
  <c r="BC460" i="1" s="1"/>
  <c r="AU255" i="1"/>
  <c r="BA547" i="1"/>
  <c r="BB547" i="1" s="1"/>
  <c r="BC547" i="1" s="1"/>
  <c r="BD191" i="1"/>
  <c r="AU535" i="1"/>
  <c r="AU619" i="1"/>
  <c r="AU542" i="1"/>
  <c r="AU431" i="1"/>
  <c r="AU370" i="1"/>
  <c r="BA338" i="1"/>
  <c r="BB338" i="1" s="1"/>
  <c r="BC338" i="1" s="1"/>
  <c r="AU176" i="1"/>
  <c r="AY230" i="1"/>
  <c r="AZ230" i="1" s="1"/>
  <c r="BA230" i="1" s="1"/>
  <c r="BB230" i="1" s="1"/>
  <c r="BC230" i="1" s="1"/>
  <c r="AU99" i="1"/>
  <c r="AU202" i="1"/>
  <c r="BD514" i="1"/>
  <c r="AY644" i="1"/>
  <c r="AZ644" i="1" s="1"/>
  <c r="BA644" i="1" s="1"/>
  <c r="BB644" i="1" s="1"/>
  <c r="BC644" i="1" s="1"/>
  <c r="AY516" i="1"/>
  <c r="AZ516" i="1" s="1"/>
  <c r="BA516" i="1" s="1"/>
  <c r="BB516" i="1" s="1"/>
  <c r="BC516" i="1" s="1"/>
  <c r="AU268" i="1"/>
  <c r="BD324" i="1"/>
  <c r="AU604" i="1"/>
  <c r="AY177" i="1"/>
  <c r="AZ177" i="1" s="1"/>
  <c r="BA177" i="1" s="1"/>
  <c r="BB177" i="1" s="1"/>
  <c r="BC177" i="1" s="1"/>
  <c r="AU347" i="1"/>
  <c r="BD244" i="1"/>
  <c r="AU259" i="1"/>
  <c r="AQ432" i="1"/>
  <c r="AR432" i="1" s="1"/>
  <c r="AS432" i="1" s="1"/>
  <c r="AT432" i="1" s="1"/>
  <c r="AU432" i="1"/>
  <c r="AQ181" i="1"/>
  <c r="AR181" i="1" s="1"/>
  <c r="AS181" i="1" s="1"/>
  <c r="AT181" i="1" s="1"/>
  <c r="AU181" i="1"/>
  <c r="AQ507" i="1"/>
  <c r="AR507" i="1" s="1"/>
  <c r="AS507" i="1" s="1"/>
  <c r="AT507" i="1" s="1"/>
  <c r="AU507" i="1"/>
  <c r="AQ275" i="1"/>
  <c r="AR275" i="1" s="1"/>
  <c r="AS275" i="1" s="1"/>
  <c r="AT275" i="1" s="1"/>
  <c r="AU275" i="1"/>
  <c r="AQ397" i="1"/>
  <c r="AR397" i="1" s="1"/>
  <c r="AS397" i="1" s="1"/>
  <c r="AT397" i="1" s="1"/>
  <c r="AU397" i="1"/>
  <c r="AQ292" i="1"/>
  <c r="AR292" i="1" s="1"/>
  <c r="AS292" i="1" s="1"/>
  <c r="AT292" i="1" s="1"/>
  <c r="AU292" i="1"/>
  <c r="AQ659" i="1"/>
  <c r="AR659" i="1" s="1"/>
  <c r="AS659" i="1" s="1"/>
  <c r="AT659" i="1" s="1"/>
  <c r="AU659" i="1"/>
  <c r="AQ319" i="1"/>
  <c r="AR319" i="1" s="1"/>
  <c r="AS319" i="1" s="1"/>
  <c r="AT319" i="1" s="1"/>
  <c r="AU319" i="1"/>
  <c r="AU105" i="1"/>
  <c r="AQ105" i="1"/>
  <c r="AR105" i="1" s="1"/>
  <c r="AS105" i="1" s="1"/>
  <c r="AT105" i="1" s="1"/>
  <c r="AQ311" i="1"/>
  <c r="AR311" i="1" s="1"/>
  <c r="AS311" i="1" s="1"/>
  <c r="AT311" i="1" s="1"/>
  <c r="AU311" i="1"/>
  <c r="BA219" i="1"/>
  <c r="BB219" i="1" s="1"/>
  <c r="BC219" i="1" s="1"/>
  <c r="BD338" i="1"/>
  <c r="AQ637" i="1"/>
  <c r="AR637" i="1" s="1"/>
  <c r="AS637" i="1" s="1"/>
  <c r="AT637" i="1" s="1"/>
  <c r="BD97" i="1"/>
  <c r="AU84" i="1"/>
  <c r="AY205" i="1"/>
  <c r="AZ205" i="1" s="1"/>
  <c r="BA205" i="1" s="1"/>
  <c r="BB205" i="1" s="1"/>
  <c r="BC205" i="1" s="1"/>
  <c r="AY151" i="1"/>
  <c r="AZ151" i="1" s="1"/>
  <c r="BA151" i="1" s="1"/>
  <c r="BB151" i="1" s="1"/>
  <c r="BC151" i="1" s="1"/>
  <c r="AU144" i="1"/>
  <c r="AY157" i="1"/>
  <c r="AZ157" i="1" s="1"/>
  <c r="BA157" i="1" s="1"/>
  <c r="BB157" i="1" s="1"/>
  <c r="BC157" i="1" s="1"/>
  <c r="AY666" i="1"/>
  <c r="AZ666" i="1" s="1"/>
  <c r="BA666" i="1" s="1"/>
  <c r="BB666" i="1" s="1"/>
  <c r="BC666" i="1" s="1"/>
  <c r="BD470" i="1"/>
  <c r="AY586" i="1"/>
  <c r="AZ586" i="1" s="1"/>
  <c r="BA586" i="1" s="1"/>
  <c r="BB586" i="1" s="1"/>
  <c r="BC586" i="1" s="1"/>
  <c r="AY310" i="1"/>
  <c r="AZ310" i="1" s="1"/>
  <c r="BA310" i="1" s="1"/>
  <c r="BB310" i="1" s="1"/>
  <c r="BC310" i="1" s="1"/>
  <c r="AY522" i="1"/>
  <c r="AZ522" i="1" s="1"/>
  <c r="BA522" i="1" s="1"/>
  <c r="BB522" i="1" s="1"/>
  <c r="BC522" i="1" s="1"/>
  <c r="AY174" i="1"/>
  <c r="AZ174" i="1" s="1"/>
  <c r="BA174" i="1" s="1"/>
  <c r="BB174" i="1" s="1"/>
  <c r="BC174" i="1" s="1"/>
  <c r="AU620" i="1"/>
  <c r="AU621" i="1"/>
  <c r="AY623" i="1"/>
  <c r="AZ623" i="1" s="1"/>
  <c r="BA623" i="1" s="1"/>
  <c r="BB623" i="1" s="1"/>
  <c r="BC623" i="1" s="1"/>
  <c r="AY558" i="1"/>
  <c r="AY497" i="1"/>
  <c r="AU293" i="1"/>
  <c r="AU554" i="1"/>
  <c r="AY480" i="1"/>
  <c r="AZ480" i="1" s="1"/>
  <c r="BA480" i="1" s="1"/>
  <c r="BB480" i="1" s="1"/>
  <c r="BC480" i="1" s="1"/>
  <c r="AU137" i="1"/>
  <c r="AY443" i="1"/>
  <c r="AZ443" i="1" s="1"/>
  <c r="BA443" i="1" s="1"/>
  <c r="BB443" i="1" s="1"/>
  <c r="BC443" i="1" s="1"/>
  <c r="AQ329" i="1"/>
  <c r="AR329" i="1" s="1"/>
  <c r="AS329" i="1" s="1"/>
  <c r="AT329" i="1" s="1"/>
  <c r="AU329" i="1"/>
  <c r="AU251" i="1"/>
  <c r="AQ251" i="1"/>
  <c r="AR251" i="1" s="1"/>
  <c r="AS251" i="1" s="1"/>
  <c r="AT251" i="1" s="1"/>
  <c r="AQ628" i="1"/>
  <c r="AR628" i="1" s="1"/>
  <c r="AS628" i="1" s="1"/>
  <c r="AT628" i="1" s="1"/>
  <c r="AU628" i="1"/>
  <c r="AZ328" i="1"/>
  <c r="BA328" i="1" s="1"/>
  <c r="BB328" i="1" s="1"/>
  <c r="BC328" i="1" s="1"/>
  <c r="BD328" i="1"/>
  <c r="AQ430" i="1"/>
  <c r="AR430" i="1" s="1"/>
  <c r="AS430" i="1" s="1"/>
  <c r="AT430" i="1" s="1"/>
  <c r="AU430" i="1"/>
  <c r="AQ335" i="1"/>
  <c r="AR335" i="1" s="1"/>
  <c r="AS335" i="1" s="1"/>
  <c r="AT335" i="1" s="1"/>
  <c r="AU335" i="1"/>
  <c r="AU142" i="1"/>
  <c r="BA507" i="1"/>
  <c r="BB507" i="1" s="1"/>
  <c r="BC507" i="1" s="1"/>
  <c r="AU484" i="1"/>
  <c r="AY117" i="1"/>
  <c r="BD117" i="1" s="1"/>
  <c r="AU269" i="1"/>
  <c r="AY499" i="1"/>
  <c r="AZ499" i="1" s="1"/>
  <c r="BA499" i="1" s="1"/>
  <c r="BB499" i="1" s="1"/>
  <c r="BC499" i="1" s="1"/>
  <c r="AY187" i="1"/>
  <c r="AZ187" i="1" s="1"/>
  <c r="BA187" i="1" s="1"/>
  <c r="BB187" i="1" s="1"/>
  <c r="BC187" i="1" s="1"/>
  <c r="BD82" i="1"/>
  <c r="AY136" i="1"/>
  <c r="AZ136" i="1" s="1"/>
  <c r="BA136" i="1" s="1"/>
  <c r="BB136" i="1" s="1"/>
  <c r="BC136" i="1" s="1"/>
  <c r="AU591" i="1"/>
  <c r="AY264" i="1"/>
  <c r="AZ264" i="1" s="1"/>
  <c r="BA264" i="1" s="1"/>
  <c r="BB264" i="1" s="1"/>
  <c r="BC264" i="1" s="1"/>
  <c r="AY92" i="1"/>
  <c r="AZ92" i="1" s="1"/>
  <c r="BA92" i="1" s="1"/>
  <c r="BB92" i="1" s="1"/>
  <c r="BC92" i="1" s="1"/>
  <c r="AY269" i="1"/>
  <c r="AZ269" i="1" s="1"/>
  <c r="BA269" i="1" s="1"/>
  <c r="BB269" i="1" s="1"/>
  <c r="BC269" i="1" s="1"/>
  <c r="AU196" i="1"/>
  <c r="AQ388" i="1"/>
  <c r="AR388" i="1" s="1"/>
  <c r="AS388" i="1" s="1"/>
  <c r="AT388" i="1" s="1"/>
  <c r="AU124" i="1"/>
  <c r="AU91" i="1"/>
  <c r="AU68" i="1"/>
  <c r="AU168" i="1"/>
  <c r="AY498" i="1"/>
  <c r="AZ498" i="1" s="1"/>
  <c r="BA498" i="1" s="1"/>
  <c r="BB498" i="1" s="1"/>
  <c r="BC498" i="1" s="1"/>
  <c r="AZ276" i="1"/>
  <c r="BA276" i="1" s="1"/>
  <c r="BB276" i="1" s="1"/>
  <c r="BC276" i="1" s="1"/>
  <c r="BD276" i="1"/>
  <c r="AZ538" i="1"/>
  <c r="BA538" i="1" s="1"/>
  <c r="BB538" i="1" s="1"/>
  <c r="BC538" i="1" s="1"/>
  <c r="BD538" i="1"/>
  <c r="AZ457" i="1"/>
  <c r="BA457" i="1" s="1"/>
  <c r="BB457" i="1" s="1"/>
  <c r="BC457" i="1" s="1"/>
  <c r="BD457" i="1"/>
  <c r="AZ208" i="1"/>
  <c r="BA208" i="1" s="1"/>
  <c r="BB208" i="1" s="1"/>
  <c r="BC208" i="1" s="1"/>
  <c r="AZ209" i="1"/>
  <c r="BA209" i="1" s="1"/>
  <c r="BB209" i="1" s="1"/>
  <c r="BC209" i="1" s="1"/>
  <c r="BD209" i="1"/>
  <c r="AZ126" i="1"/>
  <c r="BA126" i="1" s="1"/>
  <c r="BB126" i="1" s="1"/>
  <c r="BC126" i="1" s="1"/>
  <c r="BD126" i="1"/>
  <c r="AQ352" i="1"/>
  <c r="AR352" i="1" s="1"/>
  <c r="AS352" i="1" s="1"/>
  <c r="AT352" i="1" s="1"/>
  <c r="AU352" i="1"/>
  <c r="AQ222" i="1"/>
  <c r="AR222" i="1" s="1"/>
  <c r="AS222" i="1" s="1"/>
  <c r="AT222" i="1" s="1"/>
  <c r="AU222" i="1"/>
  <c r="AQ493" i="1"/>
  <c r="AR493" i="1" s="1"/>
  <c r="AS493" i="1" s="1"/>
  <c r="AT493" i="1" s="1"/>
  <c r="AU493" i="1"/>
  <c r="AQ551" i="1"/>
  <c r="AR551" i="1" s="1"/>
  <c r="AS551" i="1" s="1"/>
  <c r="AT551" i="1" s="1"/>
  <c r="AU551" i="1"/>
  <c r="AU265" i="1"/>
  <c r="AQ265" i="1"/>
  <c r="AR265" i="1" s="1"/>
  <c r="AS265" i="1" s="1"/>
  <c r="AT265" i="1" s="1"/>
  <c r="AU318" i="1"/>
  <c r="AQ318" i="1"/>
  <c r="AR318" i="1" s="1"/>
  <c r="AS318" i="1" s="1"/>
  <c r="AT318" i="1" s="1"/>
  <c r="AU587" i="1"/>
  <c r="AQ587" i="1"/>
  <c r="AR587" i="1" s="1"/>
  <c r="AS587" i="1" s="1"/>
  <c r="AT587" i="1" s="1"/>
  <c r="AU546" i="1"/>
  <c r="AQ546" i="1"/>
  <c r="AR546" i="1" s="1"/>
  <c r="AS546" i="1" s="1"/>
  <c r="AT546" i="1" s="1"/>
  <c r="AQ429" i="1"/>
  <c r="AR429" i="1" s="1"/>
  <c r="AS429" i="1" s="1"/>
  <c r="AT429" i="1" s="1"/>
  <c r="AU429" i="1"/>
  <c r="AU543" i="1"/>
  <c r="AQ543" i="1"/>
  <c r="AR543" i="1" s="1"/>
  <c r="AS543" i="1" s="1"/>
  <c r="AT543" i="1" s="1"/>
  <c r="BD657" i="1"/>
  <c r="AY232" i="1"/>
  <c r="AZ232" i="1" s="1"/>
  <c r="BA232" i="1" s="1"/>
  <c r="BB232" i="1" s="1"/>
  <c r="BC232" i="1" s="1"/>
  <c r="AY556" i="1"/>
  <c r="AU106" i="1"/>
  <c r="BD304" i="1"/>
  <c r="BD331" i="1"/>
  <c r="BD339" i="1"/>
  <c r="AY158" i="1"/>
  <c r="AZ158" i="1" s="1"/>
  <c r="BA158" i="1" s="1"/>
  <c r="BB158" i="1" s="1"/>
  <c r="BC158" i="1" s="1"/>
  <c r="BD659" i="1"/>
  <c r="AY663" i="1"/>
  <c r="AZ663" i="1" s="1"/>
  <c r="BA663" i="1" s="1"/>
  <c r="BB663" i="1" s="1"/>
  <c r="BC663" i="1" s="1"/>
  <c r="AU372" i="1"/>
  <c r="AY119" i="1"/>
  <c r="AZ119" i="1" s="1"/>
  <c r="BA119" i="1" s="1"/>
  <c r="BB119" i="1" s="1"/>
  <c r="BC119" i="1" s="1"/>
  <c r="AU102" i="1"/>
  <c r="AY319" i="1"/>
  <c r="AZ319" i="1" s="1"/>
  <c r="BA319" i="1" s="1"/>
  <c r="BB319" i="1" s="1"/>
  <c r="BC319" i="1" s="1"/>
  <c r="AU189" i="1"/>
  <c r="AY664" i="1"/>
  <c r="AY597" i="1"/>
  <c r="AZ597" i="1" s="1"/>
  <c r="BA597" i="1" s="1"/>
  <c r="BB597" i="1" s="1"/>
  <c r="BC597" i="1" s="1"/>
  <c r="AU69" i="1"/>
  <c r="AU595" i="1"/>
  <c r="AY172" i="1"/>
  <c r="AU446" i="1"/>
  <c r="AQ446" i="1"/>
  <c r="AR446" i="1" s="1"/>
  <c r="AS446" i="1" s="1"/>
  <c r="AT446" i="1" s="1"/>
  <c r="AQ594" i="1"/>
  <c r="AR594" i="1" s="1"/>
  <c r="AS594" i="1" s="1"/>
  <c r="AT594" i="1" s="1"/>
  <c r="AU594" i="1"/>
  <c r="AU363" i="1"/>
  <c r="AQ363" i="1"/>
  <c r="AR363" i="1" s="1"/>
  <c r="AS363" i="1" s="1"/>
  <c r="AT363" i="1" s="1"/>
  <c r="AQ357" i="1"/>
  <c r="AR357" i="1" s="1"/>
  <c r="AS357" i="1" s="1"/>
  <c r="AT357" i="1" s="1"/>
  <c r="AU357" i="1"/>
  <c r="AQ312" i="1"/>
  <c r="AR312" i="1" s="1"/>
  <c r="AS312" i="1" s="1"/>
  <c r="AT312" i="1" s="1"/>
  <c r="AU312" i="1"/>
  <c r="AQ139" i="1"/>
  <c r="AR139" i="1" s="1"/>
  <c r="AS139" i="1" s="1"/>
  <c r="AT139" i="1" s="1"/>
  <c r="AU139" i="1"/>
  <c r="AQ250" i="1"/>
  <c r="AR250" i="1" s="1"/>
  <c r="AS250" i="1" s="1"/>
  <c r="AT250" i="1" s="1"/>
  <c r="AU250" i="1"/>
  <c r="AQ559" i="1"/>
  <c r="AR559" i="1" s="1"/>
  <c r="AS559" i="1" s="1"/>
  <c r="AT559" i="1" s="1"/>
  <c r="AU559" i="1"/>
  <c r="AU133" i="1"/>
  <c r="AQ147" i="1"/>
  <c r="AR147" i="1" s="1"/>
  <c r="AS147" i="1" s="1"/>
  <c r="AT147" i="1" s="1"/>
  <c r="BD77" i="1"/>
  <c r="AQ216" i="1"/>
  <c r="AR216" i="1" s="1"/>
  <c r="AS216" i="1" s="1"/>
  <c r="AT216" i="1" s="1"/>
  <c r="AU451" i="1"/>
  <c r="AY291" i="1"/>
  <c r="AZ291" i="1" s="1"/>
  <c r="BA291" i="1" s="1"/>
  <c r="BB291" i="1" s="1"/>
  <c r="BC291" i="1" s="1"/>
  <c r="AY83" i="1"/>
  <c r="AZ83" i="1" s="1"/>
  <c r="BA83" i="1" s="1"/>
  <c r="BB83" i="1" s="1"/>
  <c r="BC83" i="1" s="1"/>
  <c r="AY616" i="1"/>
  <c r="AZ616" i="1" s="1"/>
  <c r="BA616" i="1" s="1"/>
  <c r="BB616" i="1" s="1"/>
  <c r="BC616" i="1" s="1"/>
  <c r="AQ399" i="1"/>
  <c r="AR399" i="1" s="1"/>
  <c r="AS399" i="1" s="1"/>
  <c r="AT399" i="1" s="1"/>
  <c r="AY170" i="1"/>
  <c r="AY223" i="1"/>
  <c r="AZ223" i="1" s="1"/>
  <c r="BA223" i="1" s="1"/>
  <c r="BB223" i="1" s="1"/>
  <c r="BC223" i="1" s="1"/>
  <c r="AY144" i="1"/>
  <c r="AZ144" i="1" s="1"/>
  <c r="BA144" i="1" s="1"/>
  <c r="BB144" i="1" s="1"/>
  <c r="BC144" i="1" s="1"/>
  <c r="AU615" i="1"/>
  <c r="AU371" i="1"/>
  <c r="AU508" i="1"/>
  <c r="AU94" i="1"/>
  <c r="AQ569" i="1"/>
  <c r="AR569" i="1" s="1"/>
  <c r="AS569" i="1" s="1"/>
  <c r="AT569" i="1" s="1"/>
  <c r="AU569" i="1"/>
  <c r="AQ226" i="1"/>
  <c r="AR226" i="1" s="1"/>
  <c r="AS226" i="1" s="1"/>
  <c r="AT226" i="1" s="1"/>
  <c r="AU226" i="1"/>
  <c r="AU155" i="1"/>
  <c r="AQ155" i="1"/>
  <c r="AR155" i="1" s="1"/>
  <c r="AS155" i="1" s="1"/>
  <c r="AT155" i="1" s="1"/>
  <c r="AZ98" i="1"/>
  <c r="BA98" i="1" s="1"/>
  <c r="BB98" i="1" s="1"/>
  <c r="BC98" i="1" s="1"/>
  <c r="BD98" i="1"/>
  <c r="AU286" i="1"/>
  <c r="AQ286" i="1"/>
  <c r="AR286" i="1" s="1"/>
  <c r="AS286" i="1" s="1"/>
  <c r="AT286" i="1" s="1"/>
  <c r="AU458" i="1"/>
  <c r="AQ458" i="1"/>
  <c r="AR458" i="1" s="1"/>
  <c r="AS458" i="1" s="1"/>
  <c r="AT458" i="1" s="1"/>
  <c r="BD520" i="1"/>
  <c r="AZ594" i="1"/>
  <c r="BA594" i="1" s="1"/>
  <c r="BB594" i="1" s="1"/>
  <c r="BC594" i="1" s="1"/>
  <c r="BD529" i="1"/>
  <c r="AY510" i="1"/>
  <c r="BD510" i="1" s="1"/>
  <c r="BA226" i="1"/>
  <c r="BB226" i="1" s="1"/>
  <c r="BC226" i="1" s="1"/>
  <c r="AY495" i="1"/>
  <c r="AZ495" i="1" s="1"/>
  <c r="BA495" i="1" s="1"/>
  <c r="BB495" i="1" s="1"/>
  <c r="BC495" i="1" s="1"/>
  <c r="AY627" i="1"/>
  <c r="AZ627" i="1" s="1"/>
  <c r="BA627" i="1" s="1"/>
  <c r="BB627" i="1" s="1"/>
  <c r="BC627" i="1" s="1"/>
  <c r="BA286" i="1"/>
  <c r="BB286" i="1" s="1"/>
  <c r="BC286" i="1" s="1"/>
  <c r="AU82" i="1"/>
  <c r="BD512" i="1"/>
  <c r="AY251" i="1"/>
  <c r="AY265" i="1"/>
  <c r="AZ265" i="1" s="1"/>
  <c r="BA265" i="1" s="1"/>
  <c r="BB265" i="1" s="1"/>
  <c r="BC265" i="1" s="1"/>
  <c r="AU527" i="1"/>
  <c r="AY473" i="1"/>
  <c r="AY88" i="1"/>
  <c r="AU477" i="1"/>
  <c r="BD257" i="1"/>
  <c r="BD633" i="1"/>
  <c r="AU342" i="1"/>
  <c r="AU633" i="1"/>
  <c r="BD606" i="1"/>
  <c r="AU575" i="1"/>
  <c r="AU116" i="1"/>
  <c r="AY593" i="1"/>
  <c r="AZ593" i="1" s="1"/>
  <c r="BA593" i="1" s="1"/>
  <c r="BB593" i="1" s="1"/>
  <c r="BC593" i="1" s="1"/>
  <c r="AQ580" i="1"/>
  <c r="AR580" i="1" s="1"/>
  <c r="AS580" i="1" s="1"/>
  <c r="AT580" i="1" s="1"/>
  <c r="AU580" i="1"/>
  <c r="BD161" i="1"/>
  <c r="BA399" i="1"/>
  <c r="BB399" i="1" s="1"/>
  <c r="BC399" i="1" s="1"/>
  <c r="AU449" i="1"/>
  <c r="F13" i="1"/>
  <c r="DV3" i="1" s="1"/>
  <c r="AU166" i="1"/>
  <c r="BD286" i="1"/>
  <c r="AZ628" i="1"/>
  <c r="BA628" i="1" s="1"/>
  <c r="BB628" i="1" s="1"/>
  <c r="BC628" i="1" s="1"/>
  <c r="BD628" i="1"/>
  <c r="AQ214" i="1"/>
  <c r="AR214" i="1" s="1"/>
  <c r="AS214" i="1" s="1"/>
  <c r="AT214" i="1" s="1"/>
  <c r="AU214" i="1"/>
  <c r="AQ622" i="1"/>
  <c r="AR622" i="1" s="1"/>
  <c r="AS622" i="1" s="1"/>
  <c r="AT622" i="1" s="1"/>
  <c r="AU622" i="1"/>
  <c r="AZ322" i="1"/>
  <c r="BA322" i="1" s="1"/>
  <c r="BB322" i="1" s="1"/>
  <c r="BC322" i="1" s="1"/>
  <c r="AU414" i="1"/>
  <c r="AU242" i="1"/>
  <c r="AY101" i="1"/>
  <c r="AZ101" i="1" s="1"/>
  <c r="BA101" i="1" s="1"/>
  <c r="BB101" i="1" s="1"/>
  <c r="BC101" i="1" s="1"/>
  <c r="AY75" i="1"/>
  <c r="AZ75" i="1" s="1"/>
  <c r="BA75" i="1" s="1"/>
  <c r="BB75" i="1" s="1"/>
  <c r="BC75" i="1" s="1"/>
  <c r="AU612" i="1"/>
  <c r="AQ612" i="1"/>
  <c r="AR612" i="1" s="1"/>
  <c r="AS612" i="1" s="1"/>
  <c r="AT612" i="1" s="1"/>
  <c r="BA229" i="1"/>
  <c r="BB229" i="1" s="1"/>
  <c r="BC229" i="1" s="1"/>
  <c r="AU393" i="1"/>
  <c r="AU115" i="1"/>
  <c r="AU160" i="1"/>
  <c r="AU264" i="1"/>
  <c r="AZ386" i="1"/>
  <c r="BA386" i="1" s="1"/>
  <c r="BB386" i="1" s="1"/>
  <c r="BC386" i="1" s="1"/>
  <c r="AQ472" i="1"/>
  <c r="AR472" i="1" s="1"/>
  <c r="AS472" i="1" s="1"/>
  <c r="AT472" i="1" s="1"/>
  <c r="AU472" i="1"/>
  <c r="AQ475" i="1"/>
  <c r="AR475" i="1" s="1"/>
  <c r="AS475" i="1" s="1"/>
  <c r="AT475" i="1" s="1"/>
  <c r="AU475" i="1"/>
  <c r="AU72" i="1"/>
  <c r="AQ72" i="1"/>
  <c r="AR72" i="1" s="1"/>
  <c r="AS72" i="1" s="1"/>
  <c r="AT72" i="1" s="1"/>
  <c r="AU385" i="1"/>
  <c r="AQ385" i="1"/>
  <c r="AR385" i="1" s="1"/>
  <c r="AS385" i="1" s="1"/>
  <c r="AT385" i="1" s="1"/>
  <c r="AZ527" i="1"/>
  <c r="BA527" i="1" s="1"/>
  <c r="BB527" i="1" s="1"/>
  <c r="BC527" i="1" s="1"/>
  <c r="BD527" i="1"/>
  <c r="AU257" i="1"/>
  <c r="AQ257" i="1"/>
  <c r="AR257" i="1" s="1"/>
  <c r="AS257" i="1" s="1"/>
  <c r="AT257" i="1" s="1"/>
  <c r="AQ217" i="1"/>
  <c r="AR217" i="1" s="1"/>
  <c r="AS217" i="1" s="1"/>
  <c r="AT217" i="1" s="1"/>
  <c r="AU217" i="1"/>
  <c r="AU333" i="1"/>
  <c r="AQ333" i="1"/>
  <c r="AR333" i="1" s="1"/>
  <c r="AS333" i="1" s="1"/>
  <c r="AT333" i="1" s="1"/>
  <c r="BD116" i="1"/>
  <c r="AU383" i="1"/>
  <c r="AQ383" i="1"/>
  <c r="AR383" i="1" s="1"/>
  <c r="AS383" i="1" s="1"/>
  <c r="AT383" i="1" s="1"/>
  <c r="AQ437" i="1"/>
  <c r="AR437" i="1" s="1"/>
  <c r="AS437" i="1" s="1"/>
  <c r="AT437" i="1" s="1"/>
  <c r="AU437" i="1"/>
  <c r="AU278" i="1"/>
  <c r="AQ278" i="1"/>
  <c r="AR278" i="1" s="1"/>
  <c r="AS278" i="1" s="1"/>
  <c r="AT278" i="1" s="1"/>
  <c r="AY238" i="1"/>
  <c r="AZ238" i="1" s="1"/>
  <c r="BA238" i="1" s="1"/>
  <c r="BB238" i="1" s="1"/>
  <c r="BC238" i="1" s="1"/>
  <c r="AQ107" i="1"/>
  <c r="AR107" i="1" s="1"/>
  <c r="AS107" i="1" s="1"/>
  <c r="AT107" i="1" s="1"/>
  <c r="AU107" i="1"/>
  <c r="AQ125" i="1"/>
  <c r="AR125" i="1" s="1"/>
  <c r="AS125" i="1" s="1"/>
  <c r="AT125" i="1" s="1"/>
  <c r="AU125" i="1"/>
  <c r="AQ241" i="1"/>
  <c r="AR241" i="1" s="1"/>
  <c r="AS241" i="1" s="1"/>
  <c r="AT241" i="1" s="1"/>
  <c r="AU241" i="1"/>
  <c r="AQ92" i="1"/>
  <c r="AR92" i="1" s="1"/>
  <c r="AS92" i="1" s="1"/>
  <c r="AT92" i="1" s="1"/>
  <c r="AU92" i="1"/>
  <c r="AU500" i="1"/>
  <c r="AQ500" i="1"/>
  <c r="AR500" i="1" s="1"/>
  <c r="AS500" i="1" s="1"/>
  <c r="AT500" i="1" s="1"/>
  <c r="AY407" i="1"/>
  <c r="AZ407" i="1" s="1"/>
  <c r="BA407" i="1" s="1"/>
  <c r="BB407" i="1" s="1"/>
  <c r="BC407" i="1" s="1"/>
  <c r="AQ489" i="1"/>
  <c r="AR489" i="1" s="1"/>
  <c r="AS489" i="1" s="1"/>
  <c r="AT489" i="1" s="1"/>
  <c r="AU489" i="1"/>
  <c r="AQ455" i="1"/>
  <c r="AR455" i="1" s="1"/>
  <c r="AS455" i="1" s="1"/>
  <c r="AT455" i="1" s="1"/>
  <c r="AU455" i="1"/>
  <c r="AY581" i="1"/>
  <c r="AZ581" i="1" s="1"/>
  <c r="BA581" i="1" s="1"/>
  <c r="BB581" i="1" s="1"/>
  <c r="BC581" i="1" s="1"/>
  <c r="AU433" i="1"/>
  <c r="AQ433" i="1"/>
  <c r="AR433" i="1" s="1"/>
  <c r="AS433" i="1" s="1"/>
  <c r="AT433" i="1" s="1"/>
  <c r="AU209" i="1"/>
  <c r="AQ209" i="1"/>
  <c r="AR209" i="1" s="1"/>
  <c r="AS209" i="1" s="1"/>
  <c r="AT209" i="1" s="1"/>
  <c r="BA204" i="1"/>
  <c r="BB204" i="1" s="1"/>
  <c r="BC204" i="1" s="1"/>
  <c r="AY445" i="1"/>
  <c r="AZ445" i="1" s="1"/>
  <c r="BA445" i="1" s="1"/>
  <c r="BB445" i="1" s="1"/>
  <c r="BC445" i="1" s="1"/>
  <c r="AY199" i="1"/>
  <c r="AZ199" i="1" s="1"/>
  <c r="BA199" i="1" s="1"/>
  <c r="BB199" i="1" s="1"/>
  <c r="BC199" i="1" s="1"/>
  <c r="BA161" i="1"/>
  <c r="BB161" i="1" s="1"/>
  <c r="BC161" i="1" s="1"/>
  <c r="BA529" i="1"/>
  <c r="BB529" i="1" s="1"/>
  <c r="BC529" i="1" s="1"/>
  <c r="AY93" i="1"/>
  <c r="AZ93" i="1" s="1"/>
  <c r="BA93" i="1" s="1"/>
  <c r="BB93" i="1" s="1"/>
  <c r="BC93" i="1" s="1"/>
  <c r="AY100" i="1"/>
  <c r="AZ100" i="1" s="1"/>
  <c r="BA100" i="1" s="1"/>
  <c r="BB100" i="1" s="1"/>
  <c r="BC100" i="1" s="1"/>
  <c r="AY572" i="1"/>
  <c r="AZ572" i="1" s="1"/>
  <c r="BA572" i="1" s="1"/>
  <c r="BB572" i="1" s="1"/>
  <c r="BC572" i="1" s="1"/>
  <c r="AY149" i="1"/>
  <c r="AZ149" i="1" s="1"/>
  <c r="BA149" i="1" s="1"/>
  <c r="BB149" i="1" s="1"/>
  <c r="BC149" i="1" s="1"/>
  <c r="AU223" i="1"/>
  <c r="BD334" i="1"/>
  <c r="BD205" i="1"/>
  <c r="AU162" i="1"/>
  <c r="AU204" i="1"/>
  <c r="AY221" i="1"/>
  <c r="AZ221" i="1" s="1"/>
  <c r="BA221" i="1" s="1"/>
  <c r="BB221" i="1" s="1"/>
  <c r="BC221" i="1" s="1"/>
  <c r="AY249" i="1"/>
  <c r="AU315" i="1"/>
  <c r="AY574" i="1"/>
  <c r="AU577" i="1"/>
  <c r="AU661" i="1"/>
  <c r="AY391" i="1"/>
  <c r="AU338" i="1"/>
  <c r="AU71" i="1"/>
  <c r="BD361" i="1"/>
  <c r="BD521" i="1"/>
  <c r="AQ411" i="1"/>
  <c r="AR411" i="1" s="1"/>
  <c r="AS411" i="1" s="1"/>
  <c r="AT411" i="1" s="1"/>
  <c r="AU411" i="1"/>
  <c r="AQ280" i="1"/>
  <c r="AR280" i="1" s="1"/>
  <c r="AS280" i="1" s="1"/>
  <c r="AT280" i="1" s="1"/>
  <c r="AU280" i="1"/>
  <c r="AZ140" i="1"/>
  <c r="BA140" i="1" s="1"/>
  <c r="BB140" i="1" s="1"/>
  <c r="BC140" i="1" s="1"/>
  <c r="BD140" i="1"/>
  <c r="AQ121" i="1"/>
  <c r="AR121" i="1" s="1"/>
  <c r="AS121" i="1" s="1"/>
  <c r="AT121" i="1" s="1"/>
  <c r="AU121" i="1"/>
  <c r="AU70" i="1"/>
  <c r="AQ70" i="1"/>
  <c r="AR70" i="1" s="1"/>
  <c r="AS70" i="1" s="1"/>
  <c r="AT70" i="1" s="1"/>
  <c r="AU525" i="1"/>
  <c r="AQ525" i="1"/>
  <c r="AR525" i="1" s="1"/>
  <c r="AS525" i="1" s="1"/>
  <c r="AT525" i="1" s="1"/>
  <c r="AZ489" i="1"/>
  <c r="BA489" i="1" s="1"/>
  <c r="BB489" i="1" s="1"/>
  <c r="BC489" i="1" s="1"/>
  <c r="AU511" i="1"/>
  <c r="AQ511" i="1"/>
  <c r="AR511" i="1" s="1"/>
  <c r="AS511" i="1" s="1"/>
  <c r="AT511" i="1" s="1"/>
  <c r="AU237" i="1"/>
  <c r="AQ237" i="1"/>
  <c r="AR237" i="1" s="1"/>
  <c r="AS237" i="1" s="1"/>
  <c r="AT237" i="1" s="1"/>
  <c r="AU157" i="1"/>
  <c r="AQ131" i="1"/>
  <c r="AR131" i="1" s="1"/>
  <c r="AS131" i="1" s="1"/>
  <c r="AT131" i="1" s="1"/>
  <c r="AQ290" i="1"/>
  <c r="AR290" i="1" s="1"/>
  <c r="AS290" i="1" s="1"/>
  <c r="AT290" i="1" s="1"/>
  <c r="AY188" i="1"/>
  <c r="AZ188" i="1" s="1"/>
  <c r="BA188" i="1" s="1"/>
  <c r="BB188" i="1" s="1"/>
  <c r="BC188" i="1" s="1"/>
  <c r="AY215" i="1"/>
  <c r="AZ215" i="1" s="1"/>
  <c r="BA215" i="1" s="1"/>
  <c r="BB215" i="1" s="1"/>
  <c r="BC215" i="1" s="1"/>
  <c r="BD523" i="1"/>
  <c r="AU256" i="1"/>
  <c r="AY603" i="1"/>
  <c r="AZ603" i="1" s="1"/>
  <c r="BA603" i="1" s="1"/>
  <c r="BB603" i="1" s="1"/>
  <c r="BC603" i="1" s="1"/>
  <c r="AY184" i="1"/>
  <c r="AZ184" i="1" s="1"/>
  <c r="BA184" i="1" s="1"/>
  <c r="BB184" i="1" s="1"/>
  <c r="BC184" i="1" s="1"/>
  <c r="BD229" i="1"/>
  <c r="AU666" i="1"/>
  <c r="AU407" i="1"/>
  <c r="AU544" i="1"/>
  <c r="AU426" i="1"/>
  <c r="AU459" i="1"/>
  <c r="AY620" i="1"/>
  <c r="AZ620" i="1" s="1"/>
  <c r="BA620" i="1" s="1"/>
  <c r="BB620" i="1" s="1"/>
  <c r="BC620" i="1" s="1"/>
  <c r="AU151" i="1"/>
  <c r="AU148" i="1"/>
  <c r="BD547" i="1"/>
  <c r="AQ608" i="1"/>
  <c r="AR608" i="1" s="1"/>
  <c r="AS608" i="1" s="1"/>
  <c r="AT608" i="1" s="1"/>
  <c r="AU608" i="1"/>
  <c r="AU466" i="1"/>
  <c r="AQ466" i="1"/>
  <c r="AR466" i="1" s="1"/>
  <c r="AS466" i="1" s="1"/>
  <c r="AT466" i="1" s="1"/>
  <c r="AQ382" i="1"/>
  <c r="AR382" i="1" s="1"/>
  <c r="AS382" i="1" s="1"/>
  <c r="AT382" i="1" s="1"/>
  <c r="AU382" i="1"/>
  <c r="AY125" i="1"/>
  <c r="AZ125" i="1" s="1"/>
  <c r="BA125" i="1" s="1"/>
  <c r="BB125" i="1" s="1"/>
  <c r="BC125" i="1" s="1"/>
  <c r="AY444" i="1"/>
  <c r="AZ444" i="1" s="1"/>
  <c r="BA444" i="1" s="1"/>
  <c r="BB444" i="1" s="1"/>
  <c r="BC444" i="1" s="1"/>
  <c r="AQ538" i="1"/>
  <c r="AR538" i="1" s="1"/>
  <c r="AS538" i="1" s="1"/>
  <c r="AT538" i="1" s="1"/>
  <c r="AU538" i="1"/>
  <c r="AY577" i="1"/>
  <c r="AZ577" i="1" s="1"/>
  <c r="BA577" i="1" s="1"/>
  <c r="BB577" i="1" s="1"/>
  <c r="BC577" i="1" s="1"/>
  <c r="AU438" i="1"/>
  <c r="AQ438" i="1"/>
  <c r="AR438" i="1" s="1"/>
  <c r="AS438" i="1" s="1"/>
  <c r="AT438" i="1" s="1"/>
  <c r="AU626" i="1"/>
  <c r="AQ626" i="1"/>
  <c r="AR626" i="1" s="1"/>
  <c r="AS626" i="1" s="1"/>
  <c r="AT626" i="1" s="1"/>
  <c r="AQ100" i="1"/>
  <c r="AR100" i="1" s="1"/>
  <c r="AS100" i="1" s="1"/>
  <c r="AT100" i="1" s="1"/>
  <c r="AU100" i="1"/>
  <c r="AU219" i="1"/>
  <c r="AQ219" i="1"/>
  <c r="AR219" i="1" s="1"/>
  <c r="AS219" i="1" s="1"/>
  <c r="AT219" i="1" s="1"/>
  <c r="AU201" i="1"/>
  <c r="AQ201" i="1"/>
  <c r="AR201" i="1" s="1"/>
  <c r="AS201" i="1" s="1"/>
  <c r="AT201" i="1" s="1"/>
  <c r="AU134" i="1"/>
  <c r="BA424" i="1"/>
  <c r="BB424" i="1" s="1"/>
  <c r="BC424" i="1" s="1"/>
  <c r="BA599" i="1"/>
  <c r="BB599" i="1" s="1"/>
  <c r="BC599" i="1" s="1"/>
  <c r="AY255" i="1"/>
  <c r="AZ255" i="1" s="1"/>
  <c r="BA255" i="1" s="1"/>
  <c r="BB255" i="1" s="1"/>
  <c r="BC255" i="1" s="1"/>
  <c r="BD204" i="1"/>
  <c r="AY420" i="1"/>
  <c r="AZ420" i="1" s="1"/>
  <c r="BA420" i="1" s="1"/>
  <c r="BB420" i="1" s="1"/>
  <c r="BC420" i="1" s="1"/>
  <c r="AY234" i="1"/>
  <c r="AZ234" i="1" s="1"/>
  <c r="BA234" i="1" s="1"/>
  <c r="BB234" i="1" s="1"/>
  <c r="BC234" i="1" s="1"/>
  <c r="BD640" i="1"/>
  <c r="AY150" i="1"/>
  <c r="AY227" i="1"/>
  <c r="AU271" i="1"/>
  <c r="AY515" i="1"/>
  <c r="AZ515" i="1" s="1"/>
  <c r="BA515" i="1" s="1"/>
  <c r="BB515" i="1" s="1"/>
  <c r="BC515" i="1" s="1"/>
  <c r="AY531" i="1"/>
  <c r="AZ531" i="1" s="1"/>
  <c r="BA531" i="1" s="1"/>
  <c r="BB531" i="1" s="1"/>
  <c r="BC531" i="1" s="1"/>
  <c r="AU454" i="1"/>
  <c r="AU550" i="1"/>
  <c r="AU552" i="1"/>
  <c r="AU119" i="1"/>
  <c r="AY353" i="1"/>
  <c r="AU224" i="1"/>
  <c r="AU240" i="1"/>
  <c r="AU238" i="1"/>
  <c r="AZ321" i="1"/>
  <c r="BA321" i="1" s="1"/>
  <c r="BB321" i="1" s="1"/>
  <c r="BC321" i="1" s="1"/>
  <c r="AY104" i="1"/>
  <c r="BD409" i="1"/>
  <c r="AU103" i="1"/>
  <c r="AQ103" i="1"/>
  <c r="AR103" i="1" s="1"/>
  <c r="AS103" i="1" s="1"/>
  <c r="AT103" i="1" s="1"/>
  <c r="BD85" i="1"/>
  <c r="BD584" i="1"/>
  <c r="AZ289" i="1"/>
  <c r="BA289" i="1" s="1"/>
  <c r="BB289" i="1" s="1"/>
  <c r="BC289" i="1" s="1"/>
  <c r="BD289" i="1"/>
  <c r="BD320" i="1"/>
  <c r="AZ626" i="1"/>
  <c r="BA626" i="1" s="1"/>
  <c r="BB626" i="1" s="1"/>
  <c r="BC626" i="1" s="1"/>
  <c r="BD626" i="1"/>
  <c r="AQ128" i="1"/>
  <c r="AR128" i="1" s="1"/>
  <c r="AS128" i="1" s="1"/>
  <c r="AT128" i="1" s="1"/>
  <c r="AU128" i="1"/>
  <c r="BD414" i="1"/>
  <c r="AZ414" i="1"/>
  <c r="BA414" i="1" s="1"/>
  <c r="BB414" i="1" s="1"/>
  <c r="BC414" i="1" s="1"/>
  <c r="BD504" i="1"/>
  <c r="AZ504" i="1"/>
  <c r="BA504" i="1" s="1"/>
  <c r="BB504" i="1" s="1"/>
  <c r="BC504" i="1" s="1"/>
  <c r="AZ261" i="1"/>
  <c r="BA261" i="1" s="1"/>
  <c r="BB261" i="1" s="1"/>
  <c r="BC261" i="1" s="1"/>
  <c r="AZ652" i="1"/>
  <c r="BA652" i="1" s="1"/>
  <c r="BB652" i="1" s="1"/>
  <c r="BC652" i="1" s="1"/>
  <c r="BD652" i="1"/>
  <c r="AZ307" i="1"/>
  <c r="BA307" i="1" s="1"/>
  <c r="BB307" i="1" s="1"/>
  <c r="BC307" i="1" s="1"/>
  <c r="AZ570" i="1"/>
  <c r="BA570" i="1" s="1"/>
  <c r="BB570" i="1" s="1"/>
  <c r="BC570" i="1" s="1"/>
  <c r="BD570" i="1"/>
  <c r="AY651" i="1"/>
  <c r="AZ651" i="1" s="1"/>
  <c r="BA651" i="1" s="1"/>
  <c r="BB651" i="1" s="1"/>
  <c r="BC651" i="1" s="1"/>
  <c r="F15" i="1"/>
  <c r="DX3" i="1" s="1"/>
  <c r="BD219" i="1"/>
  <c r="AQ421" i="1"/>
  <c r="AR421" i="1" s="1"/>
  <c r="AS421" i="1" s="1"/>
  <c r="AT421" i="1" s="1"/>
  <c r="AU421" i="1"/>
  <c r="AU200" i="1"/>
  <c r="AQ200" i="1"/>
  <c r="AR200" i="1" s="1"/>
  <c r="AS200" i="1" s="1"/>
  <c r="E8" i="1"/>
  <c r="DQ2" i="1" s="1"/>
  <c r="AZ108" i="1"/>
  <c r="BA108" i="1" s="1"/>
  <c r="BB108" i="1" s="1"/>
  <c r="BC108" i="1" s="1"/>
  <c r="BD108" i="1"/>
  <c r="BA189" i="1"/>
  <c r="BB189" i="1" s="1"/>
  <c r="F12" i="1"/>
  <c r="DU3" i="1" s="1"/>
  <c r="AZ228" i="1"/>
  <c r="BA228" i="1" s="1"/>
  <c r="BB228" i="1" s="1"/>
  <c r="BC228" i="1" s="1"/>
  <c r="BD228" i="1"/>
  <c r="F11" i="1"/>
  <c r="DT3" i="1" s="1"/>
  <c r="AZ653" i="1"/>
  <c r="BA653" i="1" s="1"/>
  <c r="BB653" i="1" s="1"/>
  <c r="BC653" i="1" s="1"/>
  <c r="BD653" i="1"/>
  <c r="F10" i="1"/>
  <c r="DS3" i="1" s="1"/>
  <c r="AY154" i="1"/>
  <c r="AZ154" i="1" s="1"/>
  <c r="BA154" i="1" s="1"/>
  <c r="BB154" i="1" s="1"/>
  <c r="BC154" i="1" s="1"/>
  <c r="BD424" i="1"/>
  <c r="BD509" i="1"/>
  <c r="AZ336" i="1"/>
  <c r="BA336" i="1" s="1"/>
  <c r="BB336" i="1" s="1"/>
  <c r="BC336" i="1" s="1"/>
  <c r="BD336" i="1"/>
  <c r="AZ281" i="1"/>
  <c r="BA281" i="1" s="1"/>
  <c r="BB281" i="1" s="1"/>
  <c r="BC281" i="1" s="1"/>
  <c r="BD281" i="1"/>
  <c r="AZ505" i="1"/>
  <c r="BA505" i="1" s="1"/>
  <c r="BB505" i="1" s="1"/>
  <c r="BC505" i="1" s="1"/>
  <c r="BD505" i="1"/>
  <c r="F16" i="1"/>
  <c r="DY3" i="1" s="1"/>
  <c r="BD534" i="1" l="1"/>
  <c r="BD139" i="1"/>
  <c r="BD448" i="1"/>
  <c r="BD641" i="1"/>
  <c r="AZ192" i="1"/>
  <c r="BA192" i="1" s="1"/>
  <c r="BB192" i="1" s="1"/>
  <c r="BC192" i="1" s="1"/>
  <c r="BD560" i="1"/>
  <c r="BD277" i="1"/>
  <c r="BD422" i="1"/>
  <c r="BD303" i="1"/>
  <c r="BD253" i="1"/>
  <c r="BD535" i="1"/>
  <c r="BD451" i="1"/>
  <c r="BD272" i="1"/>
  <c r="BD650" i="1"/>
  <c r="BD526" i="1"/>
  <c r="BD645" i="1"/>
  <c r="BD285" i="1"/>
  <c r="AZ477" i="1"/>
  <c r="BA477" i="1" s="1"/>
  <c r="BB477" i="1" s="1"/>
  <c r="BC477" i="1" s="1"/>
  <c r="BD439" i="1"/>
  <c r="BD502" i="1"/>
  <c r="BD642" i="1"/>
  <c r="BD113" i="1"/>
  <c r="BD596" i="1"/>
  <c r="BD636" i="1"/>
  <c r="BD604" i="1"/>
  <c r="BD587" i="1"/>
  <c r="BD162" i="1"/>
  <c r="BD356" i="1"/>
  <c r="BD476" i="1"/>
  <c r="BD611" i="1"/>
  <c r="BD67" i="1"/>
  <c r="BD421" i="1"/>
  <c r="BD171" i="1"/>
  <c r="BD660" i="1"/>
  <c r="BD446" i="1"/>
  <c r="BD564" i="1"/>
  <c r="BD568" i="1"/>
  <c r="BD485" i="1"/>
  <c r="BD344" i="1"/>
  <c r="BD120" i="1"/>
  <c r="BD80" i="1"/>
  <c r="BD155" i="1"/>
  <c r="BD148" i="1"/>
  <c r="BD288" i="1"/>
  <c r="BD309" i="1"/>
  <c r="BD426" i="1"/>
  <c r="BD402" i="1"/>
  <c r="BD159" i="1"/>
  <c r="BD440" i="1"/>
  <c r="BD211" i="1"/>
  <c r="BD270" i="1"/>
  <c r="BD364" i="1"/>
  <c r="BD665" i="1"/>
  <c r="BD425" i="1"/>
  <c r="BD503" i="1"/>
  <c r="BD368" i="1"/>
  <c r="BD183" i="1"/>
  <c r="AZ539" i="1"/>
  <c r="BA539" i="1" s="1"/>
  <c r="BB539" i="1" s="1"/>
  <c r="BC539" i="1" s="1"/>
  <c r="BD417" i="1"/>
  <c r="BD379" i="1"/>
  <c r="BD536" i="1"/>
  <c r="BD554" i="1"/>
  <c r="BD355" i="1"/>
  <c r="BD240" i="1"/>
  <c r="BD134" i="1"/>
  <c r="AZ152" i="1"/>
  <c r="BA152" i="1" s="1"/>
  <c r="BB152" i="1" s="1"/>
  <c r="BC152" i="1" s="1"/>
  <c r="BD546" i="1"/>
  <c r="BD656" i="1"/>
  <c r="AZ318" i="1"/>
  <c r="BA318" i="1" s="1"/>
  <c r="BB318" i="1" s="1"/>
  <c r="BC318" i="1" s="1"/>
  <c r="AZ135" i="1"/>
  <c r="BA135" i="1" s="1"/>
  <c r="BB135" i="1" s="1"/>
  <c r="BC135" i="1" s="1"/>
  <c r="BD404" i="1"/>
  <c r="BD131" i="1"/>
  <c r="AZ637" i="1"/>
  <c r="BA637" i="1" s="1"/>
  <c r="BB637" i="1" s="1"/>
  <c r="BC637" i="1" s="1"/>
  <c r="BD475" i="1"/>
  <c r="BD354" i="1"/>
  <c r="AZ388" i="1"/>
  <c r="BA388" i="1" s="1"/>
  <c r="BB388" i="1" s="1"/>
  <c r="BC388" i="1" s="1"/>
  <c r="BD437" i="1"/>
  <c r="AZ410" i="1"/>
  <c r="BA410" i="1" s="1"/>
  <c r="BB410" i="1" s="1"/>
  <c r="BC410" i="1" s="1"/>
  <c r="BD256" i="1"/>
  <c r="BD181" i="1"/>
  <c r="AZ156" i="1"/>
  <c r="BA156" i="1" s="1"/>
  <c r="BB156" i="1" s="1"/>
  <c r="BC156" i="1" s="1"/>
  <c r="BD378" i="1"/>
  <c r="BD206" i="1"/>
  <c r="BD343" i="1"/>
  <c r="AZ301" i="1"/>
  <c r="BA301" i="1" s="1"/>
  <c r="BB301" i="1" s="1"/>
  <c r="BC301" i="1" s="1"/>
  <c r="BD310" i="1"/>
  <c r="BD376" i="1"/>
  <c r="BD464" i="1"/>
  <c r="BD416" i="1"/>
  <c r="BD106" i="1"/>
  <c r="BD567" i="1"/>
  <c r="BD374" i="1"/>
  <c r="BD399" i="1"/>
  <c r="AZ582" i="1"/>
  <c r="BA582" i="1" s="1"/>
  <c r="BB582" i="1" s="1"/>
  <c r="BC582" i="1" s="1"/>
  <c r="BD132" i="1"/>
  <c r="BD201" i="1"/>
  <c r="BD292" i="1"/>
  <c r="BD176" i="1"/>
  <c r="BD395" i="1"/>
  <c r="BD622" i="1"/>
  <c r="BD433" i="1"/>
  <c r="AZ609" i="1"/>
  <c r="BA609" i="1" s="1"/>
  <c r="BB609" i="1" s="1"/>
  <c r="BC609" i="1" s="1"/>
  <c r="BD533" i="1"/>
  <c r="BD250" i="1"/>
  <c r="BD372" i="1"/>
  <c r="BD337" i="1"/>
  <c r="BD380" i="1"/>
  <c r="BD545" i="1"/>
  <c r="BD375" i="1"/>
  <c r="BD390" i="1"/>
  <c r="BD506" i="1"/>
  <c r="BD436" i="1"/>
  <c r="BD382" i="1"/>
  <c r="BD493" i="1"/>
  <c r="BD492" i="1"/>
  <c r="AZ429" i="1"/>
  <c r="BA429" i="1" s="1"/>
  <c r="BB429" i="1" s="1"/>
  <c r="BC429" i="1" s="1"/>
  <c r="BD454" i="1"/>
  <c r="BD287" i="1"/>
  <c r="BD275" i="1"/>
  <c r="BD231" i="1"/>
  <c r="BD398" i="1"/>
  <c r="AZ117" i="1"/>
  <c r="BA117" i="1" s="1"/>
  <c r="BB117" i="1" s="1"/>
  <c r="BC117" i="1" s="1"/>
  <c r="BD643" i="1"/>
  <c r="BD306" i="1"/>
  <c r="AZ397" i="1"/>
  <c r="BA397" i="1" s="1"/>
  <c r="BB397" i="1" s="1"/>
  <c r="BC397" i="1" s="1"/>
  <c r="BD195" i="1"/>
  <c r="BD465" i="1"/>
  <c r="BD175" i="1"/>
  <c r="BD618" i="1"/>
  <c r="AZ202" i="1"/>
  <c r="BA202" i="1" s="1"/>
  <c r="BB202" i="1" s="1"/>
  <c r="BC202" i="1" s="1"/>
  <c r="AZ194" i="1"/>
  <c r="BA194" i="1" s="1"/>
  <c r="BB194" i="1" s="1"/>
  <c r="BC194" i="1" s="1"/>
  <c r="BD350" i="1"/>
  <c r="BD342" i="1"/>
  <c r="AZ405" i="1"/>
  <c r="BA405" i="1" s="1"/>
  <c r="BB405" i="1" s="1"/>
  <c r="BC405" i="1" s="1"/>
  <c r="BD635" i="1"/>
  <c r="BD266" i="1"/>
  <c r="BD78" i="1"/>
  <c r="BD541" i="1"/>
  <c r="BD615" i="1"/>
  <c r="BD553" i="1"/>
  <c r="BD114" i="1"/>
  <c r="AZ654" i="1"/>
  <c r="BA654" i="1" s="1"/>
  <c r="BB654" i="1" s="1"/>
  <c r="BC654" i="1" s="1"/>
  <c r="BD302" i="1"/>
  <c r="BD649" i="1"/>
  <c r="BD198" i="1"/>
  <c r="BD415" i="1"/>
  <c r="BD363" i="1"/>
  <c r="BD224" i="1"/>
  <c r="AZ450" i="1"/>
  <c r="BA450" i="1" s="1"/>
  <c r="BB450" i="1" s="1"/>
  <c r="BC450" i="1" s="1"/>
  <c r="BD107" i="1"/>
  <c r="BD246" i="1"/>
  <c r="AZ463" i="1"/>
  <c r="BA463" i="1" s="1"/>
  <c r="BB463" i="1" s="1"/>
  <c r="BC463" i="1" s="1"/>
  <c r="BD544" i="1"/>
  <c r="BD482" i="1"/>
  <c r="AZ218" i="1"/>
  <c r="BA218" i="1" s="1"/>
  <c r="BB218" i="1" s="1"/>
  <c r="BC218" i="1" s="1"/>
  <c r="BD447" i="1"/>
  <c r="AZ383" i="1"/>
  <c r="BA383" i="1" s="1"/>
  <c r="BB383" i="1" s="1"/>
  <c r="BC383" i="1" s="1"/>
  <c r="AZ68" i="1"/>
  <c r="BA68" i="1" s="1"/>
  <c r="BB68" i="1" s="1"/>
  <c r="BC68" i="1" s="1"/>
  <c r="BD143" i="1"/>
  <c r="BD315" i="1"/>
  <c r="BD569" i="1"/>
  <c r="BD207" i="1"/>
  <c r="BD72" i="1"/>
  <c r="AZ263" i="1"/>
  <c r="BA263" i="1" s="1"/>
  <c r="BB263" i="1" s="1"/>
  <c r="BC263" i="1" s="1"/>
  <c r="BD133" i="1"/>
  <c r="BD452" i="1"/>
  <c r="AZ297" i="1"/>
  <c r="BA297" i="1" s="1"/>
  <c r="BB297" i="1" s="1"/>
  <c r="BC297" i="1" s="1"/>
  <c r="BD123" i="1"/>
  <c r="BD571" i="1"/>
  <c r="BD341" i="1"/>
  <c r="BD147" i="1"/>
  <c r="AZ222" i="1"/>
  <c r="BA222" i="1" s="1"/>
  <c r="BB222" i="1" s="1"/>
  <c r="BC222" i="1" s="1"/>
  <c r="BD145" i="1"/>
  <c r="BD197" i="1"/>
  <c r="BD625" i="1"/>
  <c r="AZ510" i="1"/>
  <c r="BA510" i="1" s="1"/>
  <c r="BB510" i="1" s="1"/>
  <c r="BC510" i="1" s="1"/>
  <c r="AZ258" i="1"/>
  <c r="BA258" i="1" s="1"/>
  <c r="BB258" i="1" s="1"/>
  <c r="BC258" i="1" s="1"/>
  <c r="BD248" i="1"/>
  <c r="BD168" i="1"/>
  <c r="BD141" i="1"/>
  <c r="BD163" i="1"/>
  <c r="AZ580" i="1"/>
  <c r="BA580" i="1" s="1"/>
  <c r="BB580" i="1" s="1"/>
  <c r="BC580" i="1" s="1"/>
  <c r="BD214" i="1"/>
  <c r="BD562" i="1"/>
  <c r="BD647" i="1"/>
  <c r="AZ612" i="1"/>
  <c r="BA612" i="1" s="1"/>
  <c r="BB612" i="1" s="1"/>
  <c r="BC612" i="1" s="1"/>
  <c r="BD630" i="1"/>
  <c r="BD549" i="1"/>
  <c r="BD225" i="1"/>
  <c r="AZ557" i="1"/>
  <c r="BA557" i="1" s="1"/>
  <c r="BB557" i="1" s="1"/>
  <c r="BC557" i="1" s="1"/>
  <c r="BD313" i="1"/>
  <c r="BD358" i="1"/>
  <c r="BD226" i="1"/>
  <c r="BD274" i="1"/>
  <c r="BD400" i="1"/>
  <c r="AZ392" i="1"/>
  <c r="BA392" i="1" s="1"/>
  <c r="BB392" i="1" s="1"/>
  <c r="BC392" i="1" s="1"/>
  <c r="BD137" i="1"/>
  <c r="BD427" i="1"/>
  <c r="BD348" i="1"/>
  <c r="AZ373" i="1"/>
  <c r="BA373" i="1" s="1"/>
  <c r="BB373" i="1" s="1"/>
  <c r="BC373" i="1" s="1"/>
  <c r="BD121" i="1"/>
  <c r="AZ501" i="1"/>
  <c r="BA501" i="1" s="1"/>
  <c r="BB501" i="1" s="1"/>
  <c r="BC501" i="1" s="1"/>
  <c r="BD236" i="1"/>
  <c r="AZ351" i="1"/>
  <c r="BA351" i="1" s="1"/>
  <c r="BB351" i="1" s="1"/>
  <c r="BC351" i="1" s="1"/>
  <c r="BD517" i="1"/>
  <c r="AZ411" i="1"/>
  <c r="BA411" i="1" s="1"/>
  <c r="BB411" i="1" s="1"/>
  <c r="BC411" i="1" s="1"/>
  <c r="BD528" i="1"/>
  <c r="BD663" i="1"/>
  <c r="BD442" i="1"/>
  <c r="BD299" i="1"/>
  <c r="BD419" i="1"/>
  <c r="AZ600" i="1"/>
  <c r="BA600" i="1" s="1"/>
  <c r="BB600" i="1" s="1"/>
  <c r="BC600" i="1" s="1"/>
  <c r="BD96" i="1"/>
  <c r="BD537" i="1"/>
  <c r="AZ345" i="1"/>
  <c r="BA345" i="1" s="1"/>
  <c r="BB345" i="1" s="1"/>
  <c r="BC345" i="1" s="1"/>
  <c r="BD212" i="1"/>
  <c r="BD294" i="1"/>
  <c r="BD118" i="1"/>
  <c r="BD530" i="1"/>
  <c r="BD511" i="1"/>
  <c r="BD524" i="1"/>
  <c r="BD585" i="1"/>
  <c r="BD128" i="1"/>
  <c r="BD119" i="1"/>
  <c r="BD575" i="1"/>
  <c r="BD122" i="1"/>
  <c r="BD79" i="1"/>
  <c r="BD164" i="1"/>
  <c r="BD278" i="1"/>
  <c r="BD223" i="1"/>
  <c r="BD365" i="1"/>
  <c r="BD610" i="1"/>
  <c r="AZ220" i="1"/>
  <c r="BA220" i="1" s="1"/>
  <c r="BB220" i="1" s="1"/>
  <c r="BC220" i="1" s="1"/>
  <c r="BD589" i="1"/>
  <c r="BD662" i="1"/>
  <c r="BD487" i="1"/>
  <c r="BD403" i="1"/>
  <c r="BD305" i="1"/>
  <c r="BD479" i="1"/>
  <c r="AZ608" i="1"/>
  <c r="BA608" i="1" s="1"/>
  <c r="BB608" i="1" s="1"/>
  <c r="BC608" i="1" s="1"/>
  <c r="BD182" i="1"/>
  <c r="BD102" i="1"/>
  <c r="BD340" i="1"/>
  <c r="BD540" i="1"/>
  <c r="BD360" i="1"/>
  <c r="BD579" i="1"/>
  <c r="BD317" i="1"/>
  <c r="BD300" i="1"/>
  <c r="BD84" i="1"/>
  <c r="BD357" i="1"/>
  <c r="BD621" i="1"/>
  <c r="BD70" i="1"/>
  <c r="BD638" i="1"/>
  <c r="BD169" i="1"/>
  <c r="BD466" i="1"/>
  <c r="BD565" i="1"/>
  <c r="AZ518" i="1"/>
  <c r="BA518" i="1" s="1"/>
  <c r="BB518" i="1" s="1"/>
  <c r="BC518" i="1" s="1"/>
  <c r="BD614" i="1"/>
  <c r="BD237" i="1"/>
  <c r="BD243" i="1"/>
  <c r="BD377" i="1"/>
  <c r="BD559" i="1"/>
  <c r="BD387" i="1"/>
  <c r="BD483" i="1"/>
  <c r="BD352" i="1"/>
  <c r="BD153" i="1"/>
  <c r="BD413" i="1"/>
  <c r="BD632" i="1"/>
  <c r="AZ284" i="1"/>
  <c r="BA284" i="1" s="1"/>
  <c r="BB284" i="1" s="1"/>
  <c r="BC284" i="1" s="1"/>
  <c r="BD193" i="1"/>
  <c r="BD366" i="1"/>
  <c r="AZ432" i="1"/>
  <c r="BA432" i="1" s="1"/>
  <c r="BB432" i="1" s="1"/>
  <c r="BC432" i="1" s="1"/>
  <c r="BD111" i="1"/>
  <c r="AZ631" i="1"/>
  <c r="BA631" i="1" s="1"/>
  <c r="BB631" i="1" s="1"/>
  <c r="BC631" i="1" s="1"/>
  <c r="BD532" i="1"/>
  <c r="BD599" i="1"/>
  <c r="BD115" i="1"/>
  <c r="BD210" i="1"/>
  <c r="BD494" i="1"/>
  <c r="BD329" i="1"/>
  <c r="AZ459" i="1"/>
  <c r="BA459" i="1" s="1"/>
  <c r="BB459" i="1" s="1"/>
  <c r="BC459" i="1" s="1"/>
  <c r="BD550" i="1"/>
  <c r="BD327" i="1"/>
  <c r="BD166" i="1"/>
  <c r="BD588" i="1"/>
  <c r="BD462" i="1"/>
  <c r="BD312" i="1"/>
  <c r="BD471" i="1"/>
  <c r="BD583" i="1"/>
  <c r="BD396" i="1"/>
  <c r="BD165" i="1"/>
  <c r="BD478" i="1"/>
  <c r="AZ406" i="1"/>
  <c r="BA406" i="1" s="1"/>
  <c r="BB406" i="1" s="1"/>
  <c r="BC406" i="1" s="1"/>
  <c r="AZ293" i="1"/>
  <c r="BA293" i="1" s="1"/>
  <c r="BB293" i="1" s="1"/>
  <c r="BC293" i="1" s="1"/>
  <c r="BD648" i="1"/>
  <c r="BD542" i="1"/>
  <c r="BD73" i="1"/>
  <c r="BD74" i="1"/>
  <c r="BD142" i="1"/>
  <c r="BD213" i="1"/>
  <c r="BD525" i="1"/>
  <c r="BD178" i="1"/>
  <c r="BD384" i="1"/>
  <c r="AZ438" i="1"/>
  <c r="BA438" i="1" s="1"/>
  <c r="BB438" i="1" s="1"/>
  <c r="BC438" i="1" s="1"/>
  <c r="BD196" i="1"/>
  <c r="BD247" i="1"/>
  <c r="BD430" i="1"/>
  <c r="BD455" i="1"/>
  <c r="BD500" i="1"/>
  <c r="BD279" i="1"/>
  <c r="BD333" i="1"/>
  <c r="BD252" i="1"/>
  <c r="BD617" i="1"/>
  <c r="AZ639" i="1"/>
  <c r="BA639" i="1" s="1"/>
  <c r="BB639" i="1" s="1"/>
  <c r="BC639" i="1" s="1"/>
  <c r="BD217" i="1"/>
  <c r="BD449" i="1"/>
  <c r="BD290" i="1"/>
  <c r="BD103" i="1"/>
  <c r="AZ330" i="1"/>
  <c r="BA330" i="1" s="1"/>
  <c r="BB330" i="1" s="1"/>
  <c r="BC330" i="1" s="1"/>
  <c r="BD474" i="1"/>
  <c r="BD467" i="1"/>
  <c r="BD468" i="1"/>
  <c r="BD552" i="1"/>
  <c r="BD658" i="1"/>
  <c r="BD76" i="1"/>
  <c r="BD634" i="1"/>
  <c r="BD362" i="1"/>
  <c r="BD186" i="1"/>
  <c r="BD91" i="1"/>
  <c r="BD513" i="1"/>
  <c r="BD112" i="1"/>
  <c r="BD332" i="1"/>
  <c r="BD490" i="1"/>
  <c r="BD385" i="1"/>
  <c r="BD280" i="1"/>
  <c r="BD200" i="1"/>
  <c r="BD412" i="1"/>
  <c r="BD543" i="1"/>
  <c r="BD323" i="1"/>
  <c r="BD346" i="1"/>
  <c r="BD283" i="1"/>
  <c r="AZ381" i="1"/>
  <c r="BA381" i="1" s="1"/>
  <c r="BB381" i="1" s="1"/>
  <c r="BC381" i="1" s="1"/>
  <c r="BD259" i="1"/>
  <c r="AZ566" i="1"/>
  <c r="BA566" i="1" s="1"/>
  <c r="BB566" i="1" s="1"/>
  <c r="BC566" i="1" s="1"/>
  <c r="BD496" i="1"/>
  <c r="BD371" i="1"/>
  <c r="BD484" i="1"/>
  <c r="BD619" i="1"/>
  <c r="BD598" i="1"/>
  <c r="BD160" i="1"/>
  <c r="BD314" i="1"/>
  <c r="AZ561" i="1"/>
  <c r="BA561" i="1" s="1"/>
  <c r="BB561" i="1" s="1"/>
  <c r="BC561" i="1" s="1"/>
  <c r="BD661" i="1"/>
  <c r="BD282" i="1"/>
  <c r="BD89" i="1"/>
  <c r="BD130" i="1"/>
  <c r="BD591" i="1"/>
  <c r="BD453" i="1"/>
  <c r="BD469" i="1"/>
  <c r="BD325" i="1"/>
  <c r="BD605" i="1"/>
  <c r="BD370" i="1"/>
  <c r="BD241" i="1"/>
  <c r="BD203" i="1"/>
  <c r="BD216" i="1"/>
  <c r="BD99" i="1"/>
  <c r="BD624" i="1"/>
  <c r="BD316" i="1"/>
  <c r="AZ435" i="1"/>
  <c r="BA435" i="1" s="1"/>
  <c r="BB435" i="1" s="1"/>
  <c r="BC435" i="1" s="1"/>
  <c r="BD629" i="1"/>
  <c r="AZ185" i="1"/>
  <c r="BA185" i="1" s="1"/>
  <c r="BB185" i="1" s="1"/>
  <c r="BC185" i="1" s="1"/>
  <c r="BD254" i="1"/>
  <c r="BD393" i="1"/>
  <c r="BD173" i="1"/>
  <c r="BD180" i="1"/>
  <c r="BD138" i="1"/>
  <c r="BD359" i="1"/>
  <c r="BD573" i="1"/>
  <c r="BD311" i="1"/>
  <c r="BD394" i="1"/>
  <c r="BD167" i="1"/>
  <c r="BD389" i="1"/>
  <c r="BD326" i="1"/>
  <c r="BD273" i="1"/>
  <c r="BD75" i="1"/>
  <c r="AZ129" i="1"/>
  <c r="BA129" i="1" s="1"/>
  <c r="BB129" i="1" s="1"/>
  <c r="BC129" i="1" s="1"/>
  <c r="BD136" i="1"/>
  <c r="BD146" i="1"/>
  <c r="BD69" i="1"/>
  <c r="BD590" i="1"/>
  <c r="BD184" i="1"/>
  <c r="BD235" i="1"/>
  <c r="AZ431" i="1"/>
  <c r="BA431" i="1" s="1"/>
  <c r="BB431" i="1" s="1"/>
  <c r="BC431" i="1" s="1"/>
  <c r="BD71" i="1"/>
  <c r="BD124" i="1"/>
  <c r="BD319" i="1"/>
  <c r="BD127" i="1"/>
  <c r="BD586" i="1"/>
  <c r="BD81" i="1"/>
  <c r="BD456" i="1"/>
  <c r="BD592" i="1"/>
  <c r="BD423" i="1"/>
  <c r="BD239" i="1"/>
  <c r="BD221" i="1"/>
  <c r="BD233" i="1"/>
  <c r="BD655" i="1"/>
  <c r="AZ655" i="1"/>
  <c r="BA655" i="1" s="1"/>
  <c r="BB655" i="1" s="1"/>
  <c r="BC655" i="1" s="1"/>
  <c r="BD271" i="1"/>
  <c r="BD488" i="1"/>
  <c r="BD268" i="1"/>
  <c r="BD369" i="1"/>
  <c r="BD347" i="1"/>
  <c r="AZ94" i="1"/>
  <c r="BA94" i="1" s="1"/>
  <c r="BB94" i="1" s="1"/>
  <c r="BC94" i="1" s="1"/>
  <c r="BD94" i="1"/>
  <c r="BD601" i="1"/>
  <c r="BD491" i="1"/>
  <c r="AZ434" i="1"/>
  <c r="BA434" i="1" s="1"/>
  <c r="BB434" i="1" s="1"/>
  <c r="BC434" i="1" s="1"/>
  <c r="BD434" i="1"/>
  <c r="BD623" i="1"/>
  <c r="BD551" i="1"/>
  <c r="BD578" i="1"/>
  <c r="BD441" i="1"/>
  <c r="BD83" i="1"/>
  <c r="BD157" i="1"/>
  <c r="BD105" i="1"/>
  <c r="BD349" i="1"/>
  <c r="AZ296" i="1"/>
  <c r="BA296" i="1" s="1"/>
  <c r="BB296" i="1" s="1"/>
  <c r="BC296" i="1" s="1"/>
  <c r="BD296" i="1"/>
  <c r="AZ242" i="1"/>
  <c r="BA242" i="1" s="1"/>
  <c r="BB242" i="1" s="1"/>
  <c r="BC242" i="1" s="1"/>
  <c r="BD242" i="1"/>
  <c r="BD651" i="1"/>
  <c r="BD401" i="1"/>
  <c r="BD264" i="1"/>
  <c r="BD151" i="1"/>
  <c r="BD90" i="1"/>
  <c r="BD508" i="1"/>
  <c r="BD418" i="1"/>
  <c r="BD516" i="1"/>
  <c r="BD179" i="1"/>
  <c r="BD109" i="1"/>
  <c r="BD158" i="1"/>
  <c r="BD548" i="1"/>
  <c r="BD187" i="1"/>
  <c r="BD95" i="1"/>
  <c r="BD174" i="1"/>
  <c r="BD177" i="1"/>
  <c r="AZ558" i="1"/>
  <c r="BA558" i="1" s="1"/>
  <c r="BB558" i="1" s="1"/>
  <c r="BC558" i="1" s="1"/>
  <c r="BD558" i="1"/>
  <c r="BD499" i="1"/>
  <c r="BD92" i="1"/>
  <c r="BD443" i="1"/>
  <c r="BD498" i="1"/>
  <c r="BD230" i="1"/>
  <c r="BD497" i="1"/>
  <c r="AZ497" i="1"/>
  <c r="BA497" i="1" s="1"/>
  <c r="BB497" i="1" s="1"/>
  <c r="BC497" i="1" s="1"/>
  <c r="BD666" i="1"/>
  <c r="BD616" i="1"/>
  <c r="BD627" i="1"/>
  <c r="BD245" i="1"/>
  <c r="BD269" i="1"/>
  <c r="BD644" i="1"/>
  <c r="BD522" i="1"/>
  <c r="BD480" i="1"/>
  <c r="BD88" i="1"/>
  <c r="AZ88" i="1"/>
  <c r="BA88" i="1" s="1"/>
  <c r="BB88" i="1" s="1"/>
  <c r="BC88" i="1" s="1"/>
  <c r="AZ170" i="1"/>
  <c r="BA170" i="1" s="1"/>
  <c r="BB170" i="1" s="1"/>
  <c r="BC170" i="1" s="1"/>
  <c r="BD170" i="1"/>
  <c r="BD232" i="1"/>
  <c r="BD265" i="1"/>
  <c r="BD597" i="1"/>
  <c r="AZ556" i="1"/>
  <c r="BA556" i="1" s="1"/>
  <c r="BB556" i="1" s="1"/>
  <c r="BC556" i="1" s="1"/>
  <c r="BD556" i="1"/>
  <c r="BD291" i="1"/>
  <c r="AZ251" i="1"/>
  <c r="BA251" i="1" s="1"/>
  <c r="BB251" i="1" s="1"/>
  <c r="BC251" i="1" s="1"/>
  <c r="BD251" i="1"/>
  <c r="BD664" i="1"/>
  <c r="AZ664" i="1"/>
  <c r="BA664" i="1" s="1"/>
  <c r="BB664" i="1" s="1"/>
  <c r="BC664" i="1" s="1"/>
  <c r="BD473" i="1"/>
  <c r="AZ473" i="1"/>
  <c r="BA473" i="1" s="1"/>
  <c r="BB473" i="1" s="1"/>
  <c r="BC473" i="1" s="1"/>
  <c r="AZ172" i="1"/>
  <c r="BA172" i="1" s="1"/>
  <c r="BB172" i="1" s="1"/>
  <c r="BC172" i="1" s="1"/>
  <c r="BD172" i="1"/>
  <c r="BD188" i="1"/>
  <c r="BD495" i="1"/>
  <c r="BD144" i="1"/>
  <c r="BD101" i="1"/>
  <c r="BD603" i="1"/>
  <c r="BD444" i="1"/>
  <c r="BD215" i="1"/>
  <c r="BD255" i="1"/>
  <c r="BD577" i="1"/>
  <c r="BD125" i="1"/>
  <c r="BD100" i="1"/>
  <c r="BD593" i="1"/>
  <c r="AZ391" i="1"/>
  <c r="BA391" i="1" s="1"/>
  <c r="BB391" i="1" s="1"/>
  <c r="BC391" i="1" s="1"/>
  <c r="BD391" i="1"/>
  <c r="BD445" i="1"/>
  <c r="BD531" i="1"/>
  <c r="AZ150" i="1"/>
  <c r="BA150" i="1" s="1"/>
  <c r="BB150" i="1" s="1"/>
  <c r="BC150" i="1" s="1"/>
  <c r="BD150" i="1"/>
  <c r="AZ249" i="1"/>
  <c r="BA249" i="1" s="1"/>
  <c r="BB249" i="1" s="1"/>
  <c r="BC249" i="1" s="1"/>
  <c r="BD249" i="1"/>
  <c r="BD515" i="1"/>
  <c r="BD199" i="1"/>
  <c r="BD620" i="1"/>
  <c r="BD407" i="1"/>
  <c r="BD93" i="1"/>
  <c r="BD353" i="1"/>
  <c r="AZ353" i="1"/>
  <c r="BA353" i="1" s="1"/>
  <c r="BB353" i="1" s="1"/>
  <c r="BC353" i="1" s="1"/>
  <c r="AZ227" i="1"/>
  <c r="BA227" i="1" s="1"/>
  <c r="BB227" i="1" s="1"/>
  <c r="BC227" i="1" s="1"/>
  <c r="BD227" i="1"/>
  <c r="BD574" i="1"/>
  <c r="AZ574" i="1"/>
  <c r="BA574" i="1" s="1"/>
  <c r="BB574" i="1" s="1"/>
  <c r="BC574" i="1" s="1"/>
  <c r="F8" i="1"/>
  <c r="DQ3" i="1" s="1"/>
  <c r="BD234" i="1"/>
  <c r="BD149" i="1"/>
  <c r="BD420" i="1"/>
  <c r="BD581" i="1"/>
  <c r="BD238" i="1"/>
  <c r="BD572" i="1"/>
  <c r="BD154" i="1"/>
  <c r="AZ104" i="1"/>
  <c r="BA104" i="1" s="1"/>
  <c r="BB104" i="1" s="1"/>
  <c r="BC104" i="1" s="1"/>
  <c r="BD104" i="1"/>
  <c r="BC189" i="1"/>
  <c r="E6" i="1"/>
  <c r="DO2" i="1" s="1"/>
  <c r="E7" i="1"/>
  <c r="DP2" i="1" s="1"/>
  <c r="AT200" i="1"/>
  <c r="E14" i="1"/>
  <c r="DW2" i="1" s="1"/>
  <c r="E5" i="1" l="1"/>
  <c r="DN2" i="1" s="1"/>
  <c r="F6" i="1"/>
  <c r="DO3" i="1" s="1"/>
  <c r="F7" i="1"/>
  <c r="DP3" i="1" s="1"/>
  <c r="F14" i="1"/>
  <c r="P2" i="1"/>
  <c r="M2" i="1"/>
  <c r="F5" i="1" l="1"/>
  <c r="DN3" i="1" s="1"/>
  <c r="DW3" i="1"/>
  <c r="M4" i="1"/>
  <c r="M3" i="1"/>
  <c r="P4" i="1"/>
  <c r="P3" i="1"/>
  <c r="AV599" i="1" l="1"/>
  <c r="AW657" i="1"/>
  <c r="AW656" i="1"/>
  <c r="AW546" i="1"/>
  <c r="AV301" i="1"/>
  <c r="AV510" i="1"/>
  <c r="AV178" i="1"/>
  <c r="AW517" i="1"/>
  <c r="AV377" i="1"/>
  <c r="AW407" i="1"/>
  <c r="AV104" i="1"/>
  <c r="AV87" i="1"/>
  <c r="AV586" i="1"/>
  <c r="AV631" i="1"/>
  <c r="AW255" i="1"/>
  <c r="AW556" i="1"/>
  <c r="AV261" i="1"/>
  <c r="AV333" i="1"/>
  <c r="AV587" i="1"/>
  <c r="AW584" i="1"/>
  <c r="AW609" i="1"/>
  <c r="AW262" i="1"/>
  <c r="AW496" i="1"/>
  <c r="AW359" i="1"/>
  <c r="AV487" i="1"/>
  <c r="AW225" i="1"/>
  <c r="AW329" i="1"/>
  <c r="AW102" i="1"/>
  <c r="AV326" i="1"/>
  <c r="AV188" i="1"/>
  <c r="AV584" i="1"/>
  <c r="AV379" i="1"/>
  <c r="AW297" i="1"/>
  <c r="AW544" i="1"/>
  <c r="AW267" i="1"/>
  <c r="AW191" i="1"/>
  <c r="AV338" i="1"/>
  <c r="AW174" i="1"/>
  <c r="AV168" i="1"/>
  <c r="AV359" i="1"/>
  <c r="AV324" i="1"/>
  <c r="AV195" i="1"/>
  <c r="AV475" i="1"/>
  <c r="AW632" i="1"/>
  <c r="AV115" i="1"/>
  <c r="AV476" i="1"/>
  <c r="AW382" i="1"/>
  <c r="AV306" i="1"/>
  <c r="AW607" i="1"/>
  <c r="AW182" i="1"/>
  <c r="AW454" i="1"/>
  <c r="AV517" i="1"/>
  <c r="AV311" i="1"/>
  <c r="AW409" i="1"/>
  <c r="AV640" i="1"/>
  <c r="AV335" i="1"/>
  <c r="AW614" i="1"/>
  <c r="AW587" i="1"/>
  <c r="AV388" i="1"/>
  <c r="AW638" i="1"/>
  <c r="AV497" i="1"/>
  <c r="AW443" i="1"/>
  <c r="AW72" i="1"/>
  <c r="AV444" i="1"/>
  <c r="AW623" i="1"/>
  <c r="AV106" i="1"/>
  <c r="AV554" i="1"/>
  <c r="AV609" i="1"/>
  <c r="AV396" i="1"/>
  <c r="AW406" i="1"/>
  <c r="AV536" i="1"/>
  <c r="AW557" i="1"/>
  <c r="AW296" i="1"/>
  <c r="AW110" i="1"/>
  <c r="AW352" i="1"/>
  <c r="AW122" i="1"/>
  <c r="AW605" i="1"/>
  <c r="AW662" i="1"/>
  <c r="AV521" i="1"/>
  <c r="AV614" i="1"/>
  <c r="AW393" i="1"/>
  <c r="AV447" i="1"/>
  <c r="AV653" i="1"/>
  <c r="AW551" i="1"/>
  <c r="AV117" i="1"/>
  <c r="AV393" i="1"/>
  <c r="AW320" i="1"/>
  <c r="AW315" i="1"/>
  <c r="AV422" i="1"/>
  <c r="AW502" i="1"/>
  <c r="AW588" i="1"/>
  <c r="AW629" i="1"/>
  <c r="AV268" i="1"/>
  <c r="AW224" i="1"/>
  <c r="AW655" i="1"/>
  <c r="AW626" i="1"/>
  <c r="AV663" i="1"/>
  <c r="AW621" i="1"/>
  <c r="AW642" i="1"/>
  <c r="AW493" i="1"/>
  <c r="AW367" i="1"/>
  <c r="AW540" i="1"/>
  <c r="AW536" i="1"/>
  <c r="AW311" i="1"/>
  <c r="AV538" i="1"/>
  <c r="AW192" i="1"/>
  <c r="AV265" i="1"/>
  <c r="AV173" i="1"/>
  <c r="AW268" i="1"/>
  <c r="AW453" i="1"/>
  <c r="AV274" i="1"/>
  <c r="AV125" i="1"/>
  <c r="AW67" i="1"/>
  <c r="AW519" i="1"/>
  <c r="AW410" i="1"/>
  <c r="AV625" i="1"/>
  <c r="AV409" i="1"/>
  <c r="AW129" i="1"/>
  <c r="AW377" i="1"/>
  <c r="AV514" i="1"/>
  <c r="AW261" i="1"/>
  <c r="AV452" i="1"/>
  <c r="AV255" i="1"/>
  <c r="AV223" i="1"/>
  <c r="AW353" i="1"/>
  <c r="AW663" i="1"/>
  <c r="AV455" i="1"/>
  <c r="AV638" i="1"/>
  <c r="AV74" i="1"/>
  <c r="AV328" i="1"/>
  <c r="AW633" i="1"/>
  <c r="AV632" i="1"/>
  <c r="AV285" i="1"/>
  <c r="AV437" i="1"/>
  <c r="AV174" i="1"/>
  <c r="AW84" i="1"/>
  <c r="AW497" i="1"/>
  <c r="AV312" i="1"/>
  <c r="AW294" i="1"/>
  <c r="AW658" i="1"/>
  <c r="AW209" i="1"/>
  <c r="AW571" i="1"/>
  <c r="AW310" i="1"/>
  <c r="AW149" i="1"/>
  <c r="AV155" i="1"/>
  <c r="AW232" i="1"/>
  <c r="AV629" i="1"/>
  <c r="AW170" i="1"/>
  <c r="AW514" i="1"/>
  <c r="AV252" i="1"/>
  <c r="AW484" i="1"/>
  <c r="AW513" i="1"/>
  <c r="AV302" i="1"/>
  <c r="AV109" i="1"/>
  <c r="AW143" i="1"/>
  <c r="AV140" i="1"/>
  <c r="AV196" i="1"/>
  <c r="AV77" i="1"/>
  <c r="AW121" i="1"/>
  <c r="AW346" i="1"/>
  <c r="AW270" i="1"/>
  <c r="AW486" i="1"/>
  <c r="AW217" i="1"/>
  <c r="AV370" i="1"/>
  <c r="AW260" i="1"/>
  <c r="AV123" i="1"/>
  <c r="AW445" i="1"/>
  <c r="AW90" i="1"/>
  <c r="AV516" i="1"/>
  <c r="AV121" i="1"/>
  <c r="AV376" i="1"/>
  <c r="AV258" i="1"/>
  <c r="AW344" i="1"/>
  <c r="AW416" i="1"/>
  <c r="AW651" i="1"/>
  <c r="AV657" i="1"/>
  <c r="AW396" i="1"/>
  <c r="AV186" i="1"/>
  <c r="AW338" i="1"/>
  <c r="AV453" i="1"/>
  <c r="AV400" i="1"/>
  <c r="AV310" i="1"/>
  <c r="AV518" i="1"/>
  <c r="AV103" i="1"/>
  <c r="AV434" i="1"/>
  <c r="AW374" i="1"/>
  <c r="AV435" i="1"/>
  <c r="AW635" i="1"/>
  <c r="AW414" i="1"/>
  <c r="AV151" i="1"/>
  <c r="AW369" i="1"/>
  <c r="AV364" i="1"/>
  <c r="AW342" i="1"/>
  <c r="AW162" i="1"/>
  <c r="AV635" i="1"/>
  <c r="AW220" i="1"/>
  <c r="AV659" i="1"/>
  <c r="AW77" i="1"/>
  <c r="AW456" i="1"/>
  <c r="AV81" i="1"/>
  <c r="AV507" i="1"/>
  <c r="AV445" i="1"/>
  <c r="AV136" i="1"/>
  <c r="AV481" i="1"/>
  <c r="AV314" i="1"/>
  <c r="AW380" i="1"/>
  <c r="AW432" i="1"/>
  <c r="AW272" i="1"/>
  <c r="AW392" i="1"/>
  <c r="AV325" i="1"/>
  <c r="AV303" i="1"/>
  <c r="AV176" i="1"/>
  <c r="AW401" i="1"/>
  <c r="AW417" i="1"/>
  <c r="AV431" i="1"/>
  <c r="AV214" i="1"/>
  <c r="AV114" i="1"/>
  <c r="AV575" i="1"/>
  <c r="AW236" i="1"/>
  <c r="AV600" i="1"/>
  <c r="AV397" i="1"/>
  <c r="AW199" i="1"/>
  <c r="AV217" i="1"/>
  <c r="AV508" i="1"/>
  <c r="AV365" i="1"/>
  <c r="AV590" i="1"/>
  <c r="AW457" i="1"/>
  <c r="AV286" i="1"/>
  <c r="AW660" i="1"/>
  <c r="AW573" i="1"/>
  <c r="AV401" i="1"/>
  <c r="AW111" i="1"/>
  <c r="AW207" i="1"/>
  <c r="AW242" i="1"/>
  <c r="AW439" i="1"/>
  <c r="AW340" i="1"/>
  <c r="AW73" i="1"/>
  <c r="AW613" i="1"/>
  <c r="AW397" i="1"/>
  <c r="AW211" i="1"/>
  <c r="AW233" i="1"/>
  <c r="AV351" i="1"/>
  <c r="AV153" i="1"/>
  <c r="AV162" i="1"/>
  <c r="AV574" i="1"/>
  <c r="AV247" i="1"/>
  <c r="AW481" i="1"/>
  <c r="AW314" i="1"/>
  <c r="AW161" i="1"/>
  <c r="AV503" i="1"/>
  <c r="AW611" i="1"/>
  <c r="AV112" i="1"/>
  <c r="AV477" i="1"/>
  <c r="AV618" i="1"/>
  <c r="AV94" i="1"/>
  <c r="AW385" i="1"/>
  <c r="AW426" i="1"/>
  <c r="AV361" i="1"/>
  <c r="AV482" i="1"/>
  <c r="AW319" i="1"/>
  <c r="AW361" i="1"/>
  <c r="AV156" i="1"/>
  <c r="AW650" i="1"/>
  <c r="AV204" i="1"/>
  <c r="AV356" i="1"/>
  <c r="AV349" i="1"/>
  <c r="AV478" i="1"/>
  <c r="AW278" i="1"/>
  <c r="AW595" i="1"/>
  <c r="AV150" i="1"/>
  <c r="AW148" i="1"/>
  <c r="AV375" i="1"/>
  <c r="AV427" i="1"/>
  <c r="AV643" i="1"/>
  <c r="AW558" i="1"/>
  <c r="AV460" i="1"/>
  <c r="AW165" i="1"/>
  <c r="AV254" i="1"/>
  <c r="AV126" i="1"/>
  <c r="AW428" i="1"/>
  <c r="AV323" i="1"/>
  <c r="AV187" i="1"/>
  <c r="AW372" i="1"/>
  <c r="AV134" i="1"/>
  <c r="AV113" i="1"/>
  <c r="AW193" i="1"/>
  <c r="AW285" i="1"/>
  <c r="AW163" i="1"/>
  <c r="AW227" i="1"/>
  <c r="AW412" i="1"/>
  <c r="AW652" i="1"/>
  <c r="AV294" i="1"/>
  <c r="AW399" i="1"/>
  <c r="AW597" i="1"/>
  <c r="AV579" i="1"/>
  <c r="AW420" i="1"/>
  <c r="AW107" i="1"/>
  <c r="AW616" i="1"/>
  <c r="AV288" i="1"/>
  <c r="AW99" i="1"/>
  <c r="AW230" i="1"/>
  <c r="AV531" i="1"/>
  <c r="AV246" i="1"/>
  <c r="AV577" i="1"/>
  <c r="AV645" i="1"/>
  <c r="AV610" i="1"/>
  <c r="AW187" i="1"/>
  <c r="AW203" i="1"/>
  <c r="AW630" i="1"/>
  <c r="AW634" i="1"/>
  <c r="AV316" i="1"/>
  <c r="AW419" i="1"/>
  <c r="AV99" i="1"/>
  <c r="AV473" i="1"/>
  <c r="AW221" i="1"/>
  <c r="AV158" i="1"/>
  <c r="AV360" i="1"/>
  <c r="AV129" i="1"/>
  <c r="AW264" i="1"/>
  <c r="AV414" i="1"/>
  <c r="AV464" i="1"/>
  <c r="AV124" i="1"/>
  <c r="AV369" i="1"/>
  <c r="AV465" i="1"/>
  <c r="AW433" i="1"/>
  <c r="AW508" i="1"/>
  <c r="AW625" i="1"/>
  <c r="AW290" i="1"/>
  <c r="AW93" i="1"/>
  <c r="AW474" i="1"/>
  <c r="AW168" i="1"/>
  <c r="AV637" i="1"/>
  <c r="AW198" i="1"/>
  <c r="AV658" i="1"/>
  <c r="AW324" i="1"/>
  <c r="AV304" i="1"/>
  <c r="AW348" i="1"/>
  <c r="AW624" i="1"/>
  <c r="AV493" i="1"/>
  <c r="AV580" i="1"/>
  <c r="AV568" i="1"/>
  <c r="AV68" i="1"/>
  <c r="AW645" i="1"/>
  <c r="AW169" i="1"/>
  <c r="AW388" i="1"/>
  <c r="AV603" i="1"/>
  <c r="AW422" i="1"/>
  <c r="AW531" i="1"/>
  <c r="AW212" i="1"/>
  <c r="AV666" i="1"/>
  <c r="AW130" i="1"/>
  <c r="AW543" i="1"/>
  <c r="AV550" i="1"/>
  <c r="AV543" i="1"/>
  <c r="AV130" i="1"/>
  <c r="AW425" i="1"/>
  <c r="AW276" i="1"/>
  <c r="AV107" i="1"/>
  <c r="AV607" i="1"/>
  <c r="AV144" i="1"/>
  <c r="AV419" i="1"/>
  <c r="AV470" i="1"/>
  <c r="AW615" i="1"/>
  <c r="AV185" i="1"/>
  <c r="AW68" i="1"/>
  <c r="AV245" i="1"/>
  <c r="AW87" i="1"/>
  <c r="AW331" i="1"/>
  <c r="AV384" i="1"/>
  <c r="AW577" i="1"/>
  <c r="AV515" i="1"/>
  <c r="AV342" i="1"/>
  <c r="AW265" i="1"/>
  <c r="AV438" i="1"/>
  <c r="AV243" i="1"/>
  <c r="AV524" i="1"/>
  <c r="AW516" i="1"/>
  <c r="AW271" i="1"/>
  <c r="AV348" i="1"/>
  <c r="AV295" i="1"/>
  <c r="AW117" i="1"/>
  <c r="AV262" i="1"/>
  <c r="AW241" i="1"/>
  <c r="AW498" i="1"/>
  <c r="AW408" i="1"/>
  <c r="AW173" i="1"/>
  <c r="AW155" i="1"/>
  <c r="AV425" i="1"/>
  <c r="AW458" i="1"/>
  <c r="AV620" i="1"/>
  <c r="AV458" i="1"/>
  <c r="AW400" i="1"/>
  <c r="AW463" i="1"/>
  <c r="AV484" i="1"/>
  <c r="AV486" i="1"/>
  <c r="AV321" i="1"/>
  <c r="AV619" i="1"/>
  <c r="AV347" i="1"/>
  <c r="AW394" i="1"/>
  <c r="AW612" i="1"/>
  <c r="AW586" i="1"/>
  <c r="AV467" i="1"/>
  <c r="AW510" i="1"/>
  <c r="AV537" i="1"/>
  <c r="AV605" i="1"/>
  <c r="AV661" i="1"/>
  <c r="AW538" i="1"/>
  <c r="AW74" i="1"/>
  <c r="AW218" i="1"/>
  <c r="AV368" i="1"/>
  <c r="AW368" i="1"/>
  <c r="AW661" i="1"/>
  <c r="AV85" i="1"/>
  <c r="AV88" i="1"/>
  <c r="AV546" i="1"/>
  <c r="AV591" i="1"/>
  <c r="AV339" i="1"/>
  <c r="AW131" i="1"/>
  <c r="AW195" i="1"/>
  <c r="AW476" i="1"/>
  <c r="AV122" i="1"/>
  <c r="AW337" i="1"/>
  <c r="AW376" i="1"/>
  <c r="AW85" i="1"/>
  <c r="AW350" i="1"/>
  <c r="AV557" i="1"/>
  <c r="AV281" i="1"/>
  <c r="AV149" i="1"/>
  <c r="AW252" i="1"/>
  <c r="AV277" i="1"/>
  <c r="AW370" i="1"/>
  <c r="AW553" i="1"/>
  <c r="AV539" i="1"/>
  <c r="AW594" i="1"/>
  <c r="AV372" i="1"/>
  <c r="AV551" i="1"/>
  <c r="AW528" i="1"/>
  <c r="AW112" i="1"/>
  <c r="AW549" i="1"/>
  <c r="AW475" i="1"/>
  <c r="AW424" i="1"/>
  <c r="AW358" i="1"/>
  <c r="AV480" i="1"/>
  <c r="AV606" i="1"/>
  <c r="AV358" i="1"/>
  <c r="AW216" i="1"/>
  <c r="AW140" i="1"/>
  <c r="AV398" i="1"/>
  <c r="AW364" i="1"/>
  <c r="AV201" i="1"/>
  <c r="AW395" i="1"/>
  <c r="AW468" i="1"/>
  <c r="AW295" i="1"/>
  <c r="AW253" i="1"/>
  <c r="AV100" i="1"/>
  <c r="AW123" i="1"/>
  <c r="AW300" i="1"/>
  <c r="AV73" i="1"/>
  <c r="AV380" i="1"/>
  <c r="AV443" i="1"/>
  <c r="AW159" i="1"/>
  <c r="AV219" i="1"/>
  <c r="AW518" i="1"/>
  <c r="AV483" i="1"/>
  <c r="AW387" i="1"/>
  <c r="AV547" i="1"/>
  <c r="AV69" i="1"/>
  <c r="AW535" i="1"/>
  <c r="AV363" i="1"/>
  <c r="AV257" i="1"/>
  <c r="AW487" i="1"/>
  <c r="AW289" i="1"/>
  <c r="AW247" i="1"/>
  <c r="AW317" i="1"/>
  <c r="AV573" i="1"/>
  <c r="AV90" i="1"/>
  <c r="AW373" i="1"/>
  <c r="AV259" i="1"/>
  <c r="AW365" i="1"/>
  <c r="AV119" i="1"/>
  <c r="AW214" i="1"/>
  <c r="AW403" i="1"/>
  <c r="AW522" i="1"/>
  <c r="AW186" i="1"/>
  <c r="AW488" i="1"/>
  <c r="AW240" i="1"/>
  <c r="AW503" i="1"/>
  <c r="AV570" i="1"/>
  <c r="AV474" i="1"/>
  <c r="AW477" i="1"/>
  <c r="AW646" i="1"/>
  <c r="AW628" i="1"/>
  <c r="AW564" i="1"/>
  <c r="AV555" i="1"/>
  <c r="AW70" i="1"/>
  <c r="AV202" i="1"/>
  <c r="AV403" i="1"/>
  <c r="AW327" i="1"/>
  <c r="AV362" i="1"/>
  <c r="AV98" i="1"/>
  <c r="AV152" i="1"/>
  <c r="AV528" i="1"/>
  <c r="AV448" i="1"/>
  <c r="AV642" i="1"/>
  <c r="AV459" i="1"/>
  <c r="AW507" i="1"/>
  <c r="AW298" i="1"/>
  <c r="AW580" i="1"/>
  <c r="AW303" i="1"/>
  <c r="AW176" i="1"/>
  <c r="AW459" i="1"/>
  <c r="AW555" i="1"/>
  <c r="AV423" i="1"/>
  <c r="AV598" i="1"/>
  <c r="AV298" i="1"/>
  <c r="AV371" i="1"/>
  <c r="AV545" i="1"/>
  <c r="AV343" i="1"/>
  <c r="AW152" i="1"/>
  <c r="AV222" i="1"/>
  <c r="AV541" i="1"/>
  <c r="AW116" i="1"/>
  <c r="AV250" i="1"/>
  <c r="AV143" i="1"/>
  <c r="AW479" i="1"/>
  <c r="AW119" i="1"/>
  <c r="AV207" i="1"/>
  <c r="AW136" i="1"/>
  <c r="AV190" i="1"/>
  <c r="AW343" i="1"/>
  <c r="AW251" i="1"/>
  <c r="AW95" i="1"/>
  <c r="AW524" i="1"/>
  <c r="AW254" i="1"/>
  <c r="AW523" i="1"/>
  <c r="AV647" i="1"/>
  <c r="AV650" i="1"/>
  <c r="AV319" i="1"/>
  <c r="AW204" i="1"/>
  <c r="AW593" i="1"/>
  <c r="AV183" i="1"/>
  <c r="AW92" i="1"/>
  <c r="AV429" i="1"/>
  <c r="AW532" i="1"/>
  <c r="AW472" i="1"/>
  <c r="AW135" i="1"/>
  <c r="AW427" i="1"/>
  <c r="AW643" i="1"/>
  <c r="AV426" i="1"/>
  <c r="AV385" i="1"/>
  <c r="AV472" i="1"/>
  <c r="AW126" i="1"/>
  <c r="AW604" i="1"/>
  <c r="AV664" i="1"/>
  <c r="AW569" i="1"/>
  <c r="AV532" i="1"/>
  <c r="AV181" i="1"/>
  <c r="AV501" i="1"/>
  <c r="AV569" i="1"/>
  <c r="AW323" i="1"/>
  <c r="AV138" i="1"/>
  <c r="AW572" i="1"/>
  <c r="AV284" i="1"/>
  <c r="AW442" i="1"/>
  <c r="AV601" i="1"/>
  <c r="AV291" i="1"/>
  <c r="AV386" i="1"/>
  <c r="AV191" i="1"/>
  <c r="AV353" i="1"/>
  <c r="AV412" i="1"/>
  <c r="AW559" i="1"/>
  <c r="AV641" i="1"/>
  <c r="AV451" i="1"/>
  <c r="AV72" i="1"/>
  <c r="AV208" i="1"/>
  <c r="AW180" i="1"/>
  <c r="AW306" i="1"/>
  <c r="AW539" i="1"/>
  <c r="AW177" i="1"/>
  <c r="AW248" i="1"/>
  <c r="AV238" i="1"/>
  <c r="AV622" i="1"/>
  <c r="AW151" i="1"/>
  <c r="AW185" i="1"/>
  <c r="AV506" i="1"/>
  <c r="AV553" i="1"/>
  <c r="AW461" i="1"/>
  <c r="AW379" i="1"/>
  <c r="AW641" i="1"/>
  <c r="AW506" i="1"/>
  <c r="AV656" i="1"/>
  <c r="AW537" i="1"/>
  <c r="AW554" i="1"/>
  <c r="AW132" i="1"/>
  <c r="AW141" i="1"/>
  <c r="AW108" i="1"/>
  <c r="AW581" i="1"/>
  <c r="AV407" i="1"/>
  <c r="AW578" i="1"/>
  <c r="AW88" i="1"/>
  <c r="AW606" i="1"/>
  <c r="AV662" i="1"/>
  <c r="AW333" i="1"/>
  <c r="AV317" i="1"/>
  <c r="AV446" i="1"/>
  <c r="AV644" i="1"/>
  <c r="AW144" i="1"/>
  <c r="AV502" i="1"/>
  <c r="AV241" i="1"/>
  <c r="AV132" i="1"/>
  <c r="AV116" i="1"/>
  <c r="AW243" i="1"/>
  <c r="AV410" i="1"/>
  <c r="AW78" i="1"/>
  <c r="AV450" i="1"/>
  <c r="AW649" i="1"/>
  <c r="AV399" i="1"/>
  <c r="AV395" i="1"/>
  <c r="AW269" i="1"/>
  <c r="AW210" i="1"/>
  <c r="AV420" i="1"/>
  <c r="AV131" i="1"/>
  <c r="AW438" i="1"/>
  <c r="AW145" i="1"/>
  <c r="AW610" i="1"/>
  <c r="AW471" i="1"/>
  <c r="AW495" i="1"/>
  <c r="AV352" i="1"/>
  <c r="AW565" i="1"/>
  <c r="AW83" i="1"/>
  <c r="AV491" i="1"/>
  <c r="AV154" i="1"/>
  <c r="AW106" i="1"/>
  <c r="AW223" i="1"/>
  <c r="AW257" i="1"/>
  <c r="AW576" i="1"/>
  <c r="AV83" i="1"/>
  <c r="AW97" i="1"/>
  <c r="AW189" i="1"/>
  <c r="AV120" i="1"/>
  <c r="AV612" i="1"/>
  <c r="AW354" i="1"/>
  <c r="AV430" i="1"/>
  <c r="AV496" i="1"/>
  <c r="AW103" i="1"/>
  <c r="AV86" i="1"/>
  <c r="AV489" i="1"/>
  <c r="AV230" i="1"/>
  <c r="AW120" i="1"/>
  <c r="AV544" i="1"/>
  <c r="AV345" i="1"/>
  <c r="AV218" i="1"/>
  <c r="AV354" i="1"/>
  <c r="AV576" i="1"/>
  <c r="AV145" i="1"/>
  <c r="AV297" i="1"/>
  <c r="AV215" i="1"/>
  <c r="AV626" i="1"/>
  <c r="AV621" i="1"/>
  <c r="AW489" i="1"/>
  <c r="AW347" i="1"/>
  <c r="AV416" i="1"/>
  <c r="AW124" i="1"/>
  <c r="AV118" i="1"/>
  <c r="AW639" i="1"/>
  <c r="AW440" i="1"/>
  <c r="AW266" i="1"/>
  <c r="AV271" i="1"/>
  <c r="AV266" i="1"/>
  <c r="AV571" i="1"/>
  <c r="AV549" i="1"/>
  <c r="AV170" i="1"/>
  <c r="AV137" i="1"/>
  <c r="AV212" i="1"/>
  <c r="AV189" i="1"/>
  <c r="AW89" i="1"/>
  <c r="AV210" i="1"/>
  <c r="AV253" i="1"/>
  <c r="AV322" i="1"/>
  <c r="AV248" i="1"/>
  <c r="AW591" i="1"/>
  <c r="AV108" i="1"/>
  <c r="AW360" i="1"/>
  <c r="AW386" i="1"/>
  <c r="AV611" i="1"/>
  <c r="AV305" i="1"/>
  <c r="AW245" i="1"/>
  <c r="AV180" i="1"/>
  <c r="AW515" i="1"/>
  <c r="AW288" i="1"/>
  <c r="AW208" i="1"/>
  <c r="AV194" i="1"/>
  <c r="AV381" i="1"/>
  <c r="AW640" i="1"/>
  <c r="AV616" i="1"/>
  <c r="AV367" i="1"/>
  <c r="AW321" i="1"/>
  <c r="AV184" i="1"/>
  <c r="AV525" i="1"/>
  <c r="AV588" i="1"/>
  <c r="AV406" i="1"/>
  <c r="AV559" i="1"/>
  <c r="AW464" i="1"/>
  <c r="AW115" i="1"/>
  <c r="AV232" i="1"/>
  <c r="AW666" i="1"/>
  <c r="AV91" i="1"/>
  <c r="AV526" i="1"/>
  <c r="AV408" i="1"/>
  <c r="AV231" i="1"/>
  <c r="AW304" i="1"/>
  <c r="AV270" i="1"/>
  <c r="AW665" i="1"/>
  <c r="AW213" i="1"/>
  <c r="AW363" i="1"/>
  <c r="AV374" i="1"/>
  <c r="AW574" i="1"/>
  <c r="AW570" i="1"/>
  <c r="AV318" i="1"/>
  <c r="AW318" i="1"/>
  <c r="AV469" i="1"/>
  <c r="AV522" i="1"/>
  <c r="AV457" i="1"/>
  <c r="AW525" i="1"/>
  <c r="AV296" i="1"/>
  <c r="AV513" i="1"/>
  <c r="AV84" i="1"/>
  <c r="AW190" i="1"/>
  <c r="AV341" i="1"/>
  <c r="AW423" i="1"/>
  <c r="AV97" i="1"/>
  <c r="AV67" i="1"/>
  <c r="AV237" i="1"/>
  <c r="AW398" i="1"/>
  <c r="AW447" i="1"/>
  <c r="AW316" i="1"/>
  <c r="AV225" i="1"/>
  <c r="AW449" i="1"/>
  <c r="AV529" i="1"/>
  <c r="AV440" i="1"/>
  <c r="AV651" i="1"/>
  <c r="AW137" i="1"/>
  <c r="AV127" i="1"/>
  <c r="AV89" i="1"/>
  <c r="AW305" i="1"/>
  <c r="AV329" i="1"/>
  <c r="AV282" i="1"/>
  <c r="AV615" i="1"/>
  <c r="AW113" i="1"/>
  <c r="AW325" i="1"/>
  <c r="AW205" i="1"/>
  <c r="AW82" i="1"/>
  <c r="AV75" i="1"/>
  <c r="AW154" i="1"/>
  <c r="AV505" i="1"/>
  <c r="AW636" i="1"/>
  <c r="AW627" i="1"/>
  <c r="AW206" i="1"/>
  <c r="AV479" i="1"/>
  <c r="AW160" i="1"/>
  <c r="AW244" i="1"/>
  <c r="AV308" i="1"/>
  <c r="AW277" i="1"/>
  <c r="AW575" i="1"/>
  <c r="AV213" i="1"/>
  <c r="AW139" i="1"/>
  <c r="AW600" i="1"/>
  <c r="AV251" i="1"/>
  <c r="AW194" i="1"/>
  <c r="AV449" i="1"/>
  <c r="AW418" i="1"/>
  <c r="AV485" i="1"/>
  <c r="AV660" i="1"/>
  <c r="AV334" i="1"/>
  <c r="AV179" i="1"/>
  <c r="AV456" i="1"/>
  <c r="AV159" i="1"/>
  <c r="AV636" i="1"/>
  <c r="AV439" i="1"/>
  <c r="AV560" i="1"/>
  <c r="AV488" i="1"/>
  <c r="AV613" i="1"/>
  <c r="AV211" i="1"/>
  <c r="AW336" i="1"/>
  <c r="AV78" i="1"/>
  <c r="AV299" i="1"/>
  <c r="AW308" i="1"/>
  <c r="AW175" i="1"/>
  <c r="AV340" i="1"/>
  <c r="AW153" i="1"/>
  <c r="AV628" i="1"/>
  <c r="AW299" i="1"/>
  <c r="AW179" i="1"/>
  <c r="AV70" i="1"/>
  <c r="AW202" i="1"/>
  <c r="AW114" i="1"/>
  <c r="AV567" i="1"/>
  <c r="AV236" i="1"/>
  <c r="AW98" i="1"/>
  <c r="AW166" i="1"/>
  <c r="AV520" i="1"/>
  <c r="AV563" i="1"/>
  <c r="AW448" i="1"/>
  <c r="AW286" i="1"/>
  <c r="AV220" i="1"/>
  <c r="AW259" i="1"/>
  <c r="AV160" i="1"/>
  <c r="AV346" i="1"/>
  <c r="AW127" i="1"/>
  <c r="AW545" i="1"/>
  <c r="AW480" i="1"/>
  <c r="AW229" i="1"/>
  <c r="AW91" i="1"/>
  <c r="AW222" i="1"/>
  <c r="AW339" i="1"/>
  <c r="AV527" i="1"/>
  <c r="AV249" i="1"/>
  <c r="AW383" i="1"/>
  <c r="AW429" i="1"/>
  <c r="AV593" i="1"/>
  <c r="AV92" i="1"/>
  <c r="AV76" i="1"/>
  <c r="AW234" i="1"/>
  <c r="AV165" i="1"/>
  <c r="AV383" i="1"/>
  <c r="AW596" i="1"/>
  <c r="AW411" i="1"/>
  <c r="AW527" i="1"/>
  <c r="AV604" i="1"/>
  <c r="AW664" i="1"/>
  <c r="AW647" i="1"/>
  <c r="AV411" i="1"/>
  <c r="AW504" i="1"/>
  <c r="AW150" i="1"/>
  <c r="AV466" i="1"/>
  <c r="AW441" i="1"/>
  <c r="AV596" i="1"/>
  <c r="AW183" i="1"/>
  <c r="AV595" i="1"/>
  <c r="AW618" i="1"/>
  <c r="AW94" i="1"/>
  <c r="AW138" i="1"/>
  <c r="AV454" i="1"/>
  <c r="AW599" i="1"/>
  <c r="AV141" i="1"/>
  <c r="AV280" i="1"/>
  <c r="AW526" i="1"/>
  <c r="AW293" i="1"/>
  <c r="AW529" i="1"/>
  <c r="AV556" i="1"/>
  <c r="AV167" i="1"/>
  <c r="AV561" i="1"/>
  <c r="AW653" i="1"/>
  <c r="AV404" i="1"/>
  <c r="AV495" i="1"/>
  <c r="AW435" i="1"/>
  <c r="AW552" i="1"/>
  <c r="AV267" i="1"/>
  <c r="AV264" i="1"/>
  <c r="AW357" i="1"/>
  <c r="AV256" i="1"/>
  <c r="AV269" i="1"/>
  <c r="AV198" i="1"/>
  <c r="AV623" i="1"/>
  <c r="AV157" i="1"/>
  <c r="AV382" i="1"/>
  <c r="AW291" i="1"/>
  <c r="AW561" i="1"/>
  <c r="AW450" i="1"/>
  <c r="AV394" i="1"/>
  <c r="AW455" i="1"/>
  <c r="AW465" i="1"/>
  <c r="AW413" i="1"/>
  <c r="AV494" i="1"/>
  <c r="AW302" i="1"/>
  <c r="AV331" i="1"/>
  <c r="AW284" i="1"/>
  <c r="AW282" i="1"/>
  <c r="AV227" i="1"/>
  <c r="AW231" i="1"/>
  <c r="AW100" i="1"/>
  <c r="AV585" i="1"/>
  <c r="AV205" i="1"/>
  <c r="AW583" i="1"/>
  <c r="AV203" i="1"/>
  <c r="AV224" i="1"/>
  <c r="AV357" i="1"/>
  <c r="AW134" i="1"/>
  <c r="AW619" i="1"/>
  <c r="AW167" i="1"/>
  <c r="AV442" i="1"/>
  <c r="AW637" i="1"/>
  <c r="AV433" i="1"/>
  <c r="AV272" i="1"/>
  <c r="AV320" i="1"/>
  <c r="AW404" i="1"/>
  <c r="AV290" i="1"/>
  <c r="AW467" i="1"/>
  <c r="AW644" i="1"/>
  <c r="AV193" i="1"/>
  <c r="AV216" i="1"/>
  <c r="AV630" i="1"/>
  <c r="AV355" i="1"/>
  <c r="AW71" i="1"/>
  <c r="AW307" i="1"/>
  <c r="AW603" i="1"/>
  <c r="AW579" i="1"/>
  <c r="AV233" i="1"/>
  <c r="AW280" i="1"/>
  <c r="AW384" i="1"/>
  <c r="AV169" i="1"/>
  <c r="AV350" i="1"/>
  <c r="AW620" i="1"/>
  <c r="AV498" i="1"/>
  <c r="AW125" i="1"/>
  <c r="AV392" i="1"/>
  <c r="AW534" i="1"/>
  <c r="AV276" i="1"/>
  <c r="AV665" i="1"/>
  <c r="AW451" i="1"/>
  <c r="AW326" i="1"/>
  <c r="AW469" i="1"/>
  <c r="AW483" i="1"/>
  <c r="AW345" i="1"/>
  <c r="AV182" i="1"/>
  <c r="AW547" i="1"/>
  <c r="AW631" i="1"/>
  <c r="AV163" i="1"/>
  <c r="AW104" i="1"/>
  <c r="AV535" i="1"/>
  <c r="AW434" i="1"/>
  <c r="AW109" i="1"/>
  <c r="AW69" i="1"/>
  <c r="AW452" i="1"/>
  <c r="AV413" i="1"/>
  <c r="AW355" i="1"/>
  <c r="AV293" i="1"/>
  <c r="AW446" i="1"/>
  <c r="AV540" i="1"/>
  <c r="AW473" i="1"/>
  <c r="AW188" i="1"/>
  <c r="AW381" i="1"/>
  <c r="AW215" i="1"/>
  <c r="AV95" i="1"/>
  <c r="AW312" i="1"/>
  <c r="AV461" i="1"/>
  <c r="AV209" i="1"/>
  <c r="AW283" i="1"/>
  <c r="AV110" i="1"/>
  <c r="AW281" i="1"/>
  <c r="AV652" i="1"/>
  <c r="AV283" i="1"/>
  <c r="AV519" i="1"/>
  <c r="AV197" i="1"/>
  <c r="AV471" i="1"/>
  <c r="AV552" i="1"/>
  <c r="AV639" i="1"/>
  <c r="AW430" i="1"/>
  <c r="AW158" i="1"/>
  <c r="AV82" i="1"/>
  <c r="AW322" i="1"/>
  <c r="AW196" i="1"/>
  <c r="AV102" i="1"/>
  <c r="AW582" i="1"/>
  <c r="AW238" i="1"/>
  <c r="AV578" i="1"/>
  <c r="AW79" i="1"/>
  <c r="AW335" i="1"/>
  <c r="AW470" i="1"/>
  <c r="AW585" i="1"/>
  <c r="AW437" i="1"/>
  <c r="AW96" i="1"/>
  <c r="AV71" i="1"/>
  <c r="AV96" i="1"/>
  <c r="AV146" i="1"/>
  <c r="AW622" i="1"/>
  <c r="AW118" i="1"/>
  <c r="AV221" i="1"/>
  <c r="AW601" i="1"/>
  <c r="AV490" i="1"/>
  <c r="AW246" i="1"/>
  <c r="AW541" i="1"/>
  <c r="AV337" i="1"/>
  <c r="AW550" i="1"/>
  <c r="AW274" i="1"/>
  <c r="AW491" i="1"/>
  <c r="AW341" i="1"/>
  <c r="AV649" i="1"/>
  <c r="AW197" i="1"/>
  <c r="AV463" i="1"/>
  <c r="AV418" i="1"/>
  <c r="AV275" i="1"/>
  <c r="AV655" i="1"/>
  <c r="AV79" i="1"/>
  <c r="AV101" i="1"/>
  <c r="AV566" i="1"/>
  <c r="AV315" i="1"/>
  <c r="AV582" i="1"/>
  <c r="AW157" i="1"/>
  <c r="AV534" i="1"/>
  <c r="AW371" i="1"/>
  <c r="AV594" i="1"/>
  <c r="AV533" i="1"/>
  <c r="AW250" i="1"/>
  <c r="AV597" i="1"/>
  <c r="AV634" i="1"/>
  <c r="AV583" i="1"/>
  <c r="AW256" i="1"/>
  <c r="AV581" i="1"/>
  <c r="AW542" i="1"/>
  <c r="AW75" i="1"/>
  <c r="AW485" i="1"/>
  <c r="AV417" i="1"/>
  <c r="AV572" i="1"/>
  <c r="AV624" i="1"/>
  <c r="AW351" i="1"/>
  <c r="AW86" i="1"/>
  <c r="AV565" i="1"/>
  <c r="AW146" i="1"/>
  <c r="AW490" i="1"/>
  <c r="AW219" i="1"/>
  <c r="AW521" i="1"/>
  <c r="AW505" i="1"/>
  <c r="AW566" i="1"/>
  <c r="AW237" i="1"/>
  <c r="AV177" i="1"/>
  <c r="AV542" i="1"/>
  <c r="AW301" i="1"/>
  <c r="AW494" i="1"/>
  <c r="AV199" i="1"/>
  <c r="AW178" i="1"/>
  <c r="AV192" i="1"/>
  <c r="AW201" i="1"/>
  <c r="AW533" i="1"/>
  <c r="AV468" i="1"/>
  <c r="AV564" i="1"/>
  <c r="AW509" i="1"/>
  <c r="AW431" i="1"/>
  <c r="AV424" i="1"/>
  <c r="AW590" i="1"/>
  <c r="AV462" i="1"/>
  <c r="AW362" i="1"/>
  <c r="AV344" i="1"/>
  <c r="AV389" i="1"/>
  <c r="AV229" i="1"/>
  <c r="AW568" i="1"/>
  <c r="AW444" i="1"/>
  <c r="AV93" i="1"/>
  <c r="AV260" i="1"/>
  <c r="AV627" i="1"/>
  <c r="AW659" i="1"/>
  <c r="AV512" i="1"/>
  <c r="AV111" i="1"/>
  <c r="AV244" i="1"/>
  <c r="AW598" i="1"/>
  <c r="AW462" i="1"/>
  <c r="AW258" i="1"/>
  <c r="AV300" i="1"/>
  <c r="AV240" i="1"/>
  <c r="AV235" i="1"/>
  <c r="AW328" i="1"/>
  <c r="AW275" i="1"/>
  <c r="AV307" i="1"/>
  <c r="AV602" i="1"/>
  <c r="AV242" i="1"/>
  <c r="AW567" i="1"/>
  <c r="AV646" i="1"/>
  <c r="AV387" i="1"/>
  <c r="AW334" i="1"/>
  <c r="AW512" i="1"/>
  <c r="AV402" i="1"/>
  <c r="AW602" i="1"/>
  <c r="AV175" i="1"/>
  <c r="AV327" i="1"/>
  <c r="AW560" i="1"/>
  <c r="AW101" i="1"/>
  <c r="AV161" i="1"/>
  <c r="AW235" i="1"/>
  <c r="AW184" i="1"/>
  <c r="AV336" i="1"/>
  <c r="AV289" i="1"/>
  <c r="AV373" i="1"/>
  <c r="AV206" i="1"/>
  <c r="AV509" i="1"/>
  <c r="AW402" i="1"/>
  <c r="AW81" i="1"/>
  <c r="AV139" i="1"/>
  <c r="AW389" i="1"/>
  <c r="AV166" i="1"/>
  <c r="AV432" i="1"/>
  <c r="AW520" i="1"/>
  <c r="AW563" i="1"/>
  <c r="AV633" i="1"/>
  <c r="AW501" i="1"/>
  <c r="AV135" i="1"/>
  <c r="AW405" i="1"/>
  <c r="AV428" i="1"/>
  <c r="AW76" i="1"/>
  <c r="AV171" i="1"/>
  <c r="AV558" i="1"/>
  <c r="AW460" i="1"/>
  <c r="AW181" i="1"/>
  <c r="AV405" i="1"/>
  <c r="AW482" i="1"/>
  <c r="AV504" i="1"/>
  <c r="AW249" i="1"/>
  <c r="AW466" i="1"/>
  <c r="AV441" i="1"/>
  <c r="AV523" i="1"/>
  <c r="AW292" i="1"/>
  <c r="AW356" i="1"/>
  <c r="AW349" i="1"/>
  <c r="AW478" i="1"/>
  <c r="AV278" i="1"/>
  <c r="AV292" i="1"/>
  <c r="AV234" i="1"/>
  <c r="AW156" i="1"/>
  <c r="AV148" i="1"/>
  <c r="AW375" i="1"/>
  <c r="AW171" i="1"/>
  <c r="AW273" i="1"/>
  <c r="AV273" i="1"/>
  <c r="AV309" i="1"/>
  <c r="AV511" i="1"/>
  <c r="AV366" i="1"/>
  <c r="AW332" i="1"/>
  <c r="AW562" i="1"/>
  <c r="AV378" i="1"/>
  <c r="AW279" i="1"/>
  <c r="AV239" i="1"/>
  <c r="AV499" i="1"/>
  <c r="AV592" i="1"/>
  <c r="AV436" i="1"/>
  <c r="AV415" i="1"/>
  <c r="AW492" i="1"/>
  <c r="AW309" i="1"/>
  <c r="AW511" i="1"/>
  <c r="AW390" i="1"/>
  <c r="AW648" i="1"/>
  <c r="AV263" i="1"/>
  <c r="AV548" i="1"/>
  <c r="AV228" i="1"/>
  <c r="AV279" i="1"/>
  <c r="AW239" i="1"/>
  <c r="AW499" i="1"/>
  <c r="AW592" i="1"/>
  <c r="AW436" i="1"/>
  <c r="AW415" i="1"/>
  <c r="AW391" i="1"/>
  <c r="AW330" i="1"/>
  <c r="AV313" i="1"/>
  <c r="AW530" i="1"/>
  <c r="AV390" i="1"/>
  <c r="AV648" i="1"/>
  <c r="AW263" i="1"/>
  <c r="AW548" i="1"/>
  <c r="AW228" i="1"/>
  <c r="AV172" i="1"/>
  <c r="AV500" i="1"/>
  <c r="AV287" i="1"/>
  <c r="AV654" i="1"/>
  <c r="AV105" i="1"/>
  <c r="AW80" i="1"/>
  <c r="AV391" i="1"/>
  <c r="AV330" i="1"/>
  <c r="AW313" i="1"/>
  <c r="AV530" i="1"/>
  <c r="AW366" i="1"/>
  <c r="AV332" i="1"/>
  <c r="AV562" i="1"/>
  <c r="AW378" i="1"/>
  <c r="AW172" i="1"/>
  <c r="AW500" i="1"/>
  <c r="AW287" i="1"/>
  <c r="AW654" i="1"/>
  <c r="AW105" i="1"/>
  <c r="AV80" i="1"/>
  <c r="AV492" i="1"/>
  <c r="AV608" i="1"/>
  <c r="AV147" i="1"/>
  <c r="AW164" i="1"/>
  <c r="AV142" i="1"/>
  <c r="AW128" i="1"/>
  <c r="AV589" i="1"/>
  <c r="AW608" i="1"/>
  <c r="AV226" i="1"/>
  <c r="AV617" i="1"/>
  <c r="AV164" i="1"/>
  <c r="AW226" i="1"/>
  <c r="AW617" i="1"/>
  <c r="AV133" i="1"/>
  <c r="AW147" i="1"/>
  <c r="AW133" i="1"/>
  <c r="AW142" i="1"/>
  <c r="AV128" i="1"/>
  <c r="AW589" i="1"/>
  <c r="AV421" i="1"/>
  <c r="AW421" i="1"/>
  <c r="AV200" i="1"/>
  <c r="AW200" i="1"/>
  <c r="BE319" i="1"/>
  <c r="BE493" i="1"/>
  <c r="BF215" i="1"/>
  <c r="BF562" i="1"/>
  <c r="BE308" i="1"/>
  <c r="BF75" i="1"/>
  <c r="BE136" i="1"/>
  <c r="BE600" i="1"/>
  <c r="BF518" i="1"/>
  <c r="BF374" i="1"/>
  <c r="BE253" i="1"/>
  <c r="BE585" i="1"/>
  <c r="BE499" i="1"/>
  <c r="BE621" i="1"/>
  <c r="BE205" i="1"/>
  <c r="BE596" i="1"/>
  <c r="BE597" i="1"/>
  <c r="BE450" i="1"/>
  <c r="BE547" i="1"/>
  <c r="BF324" i="1"/>
  <c r="BE461" i="1"/>
  <c r="BF579" i="1"/>
  <c r="BF162" i="1"/>
  <c r="BE518" i="1"/>
  <c r="BF333" i="1"/>
  <c r="BF571" i="1"/>
  <c r="BE144" i="1"/>
  <c r="BE309" i="1"/>
  <c r="BE535" i="1"/>
  <c r="BF293" i="1"/>
  <c r="BE314" i="1"/>
  <c r="BE537" i="1"/>
  <c r="BF487" i="1"/>
  <c r="BF629" i="1"/>
  <c r="BF261" i="1"/>
  <c r="BF255" i="1"/>
  <c r="BF359" i="1"/>
  <c r="BE550" i="1"/>
  <c r="BF347" i="1"/>
  <c r="BE206" i="1"/>
  <c r="BE167" i="1"/>
  <c r="BF202" i="1"/>
  <c r="BF207" i="1"/>
  <c r="BF421" i="1"/>
  <c r="BF93" i="1"/>
  <c r="BF543" i="1"/>
  <c r="BF136" i="1"/>
  <c r="BF493" i="1"/>
  <c r="BE394" i="1"/>
  <c r="BF306" i="1"/>
  <c r="BE594" i="1"/>
  <c r="BE506" i="1"/>
  <c r="BF510" i="1"/>
  <c r="BF197" i="1"/>
  <c r="BF452" i="1"/>
  <c r="BF267" i="1"/>
  <c r="BE294" i="1"/>
  <c r="BE333" i="1"/>
  <c r="BF590" i="1"/>
  <c r="BE476" i="1"/>
  <c r="BF439" i="1"/>
  <c r="BF161" i="1"/>
  <c r="BF605" i="1"/>
  <c r="BF254" i="1"/>
  <c r="BE445" i="1"/>
  <c r="BE265" i="1"/>
  <c r="BF459" i="1"/>
  <c r="BF499" i="1"/>
  <c r="BF269" i="1"/>
  <c r="BE324" i="1"/>
  <c r="BE483" i="1"/>
  <c r="BF308" i="1"/>
  <c r="BF483" i="1"/>
  <c r="BF157" i="1"/>
  <c r="BE96" i="1"/>
  <c r="BE582" i="1"/>
  <c r="BF611" i="1"/>
  <c r="BF584" i="1"/>
  <c r="BF404" i="1"/>
  <c r="BE70" i="1"/>
  <c r="BE370" i="1"/>
  <c r="BF246" i="1"/>
  <c r="BF600" i="1"/>
  <c r="BF622" i="1"/>
  <c r="BF601" i="1"/>
  <c r="BF314" i="1"/>
  <c r="BE289" i="1"/>
  <c r="BE312" i="1"/>
  <c r="BE209" i="1"/>
  <c r="BE252" i="1"/>
  <c r="BF597" i="1"/>
  <c r="BE591" i="1"/>
  <c r="BF129" i="1"/>
  <c r="BF477" i="1"/>
  <c r="BF165" i="1"/>
  <c r="BE422" i="1"/>
  <c r="BE165" i="1"/>
  <c r="BF433" i="1"/>
  <c r="BF123" i="1"/>
  <c r="BE339" i="1"/>
  <c r="BE246" i="1"/>
  <c r="BF260" i="1"/>
  <c r="BE472" i="1"/>
  <c r="BF96" i="1"/>
  <c r="BE157" i="1"/>
  <c r="BE599" i="1"/>
  <c r="BF357" i="1"/>
  <c r="BF329" i="1"/>
  <c r="BE98" i="1"/>
  <c r="BF115" i="1"/>
  <c r="BE474" i="1"/>
  <c r="BF591" i="1"/>
  <c r="BE268" i="1"/>
  <c r="BF71" i="1"/>
  <c r="BE187" i="1"/>
  <c r="BE559" i="1"/>
  <c r="BE347" i="1"/>
  <c r="BE133" i="1"/>
  <c r="BE188" i="1"/>
  <c r="BE452" i="1"/>
  <c r="BE514" i="1"/>
  <c r="BF451" i="1"/>
  <c r="BE487" i="1"/>
  <c r="BF594" i="1"/>
  <c r="BE578" i="1"/>
  <c r="BF609" i="1"/>
  <c r="BE634" i="1"/>
  <c r="BE389" i="1"/>
  <c r="BE211" i="1"/>
  <c r="BF646" i="1"/>
  <c r="BF225" i="1"/>
  <c r="BF661" i="1"/>
  <c r="BF620" i="1"/>
  <c r="BF489" i="1"/>
  <c r="BE269" i="1"/>
  <c r="BF402" i="1"/>
  <c r="BF268" i="1"/>
  <c r="BE576" i="1"/>
  <c r="BE199" i="1"/>
  <c r="BE259" i="1"/>
  <c r="BF171" i="1"/>
  <c r="BF530" i="1"/>
  <c r="BF316" i="1"/>
  <c r="BE260" i="1"/>
  <c r="BF446" i="1"/>
  <c r="BE495" i="1"/>
  <c r="BF283" i="1"/>
  <c r="BF241" i="1"/>
  <c r="BF626" i="1"/>
  <c r="BF167" i="1"/>
  <c r="BE629" i="1"/>
  <c r="BE401" i="1"/>
  <c r="BF134" i="1"/>
  <c r="BE112" i="1"/>
  <c r="BE353" i="1"/>
  <c r="BE415" i="1"/>
  <c r="BE115" i="1"/>
  <c r="BF356" i="1"/>
  <c r="BF251" i="1"/>
  <c r="BE239" i="1"/>
  <c r="BE117" i="1"/>
  <c r="BF392" i="1"/>
  <c r="BE666" i="1"/>
  <c r="BE567" i="1"/>
  <c r="BE286" i="1"/>
  <c r="BF405" i="1"/>
  <c r="BF514" i="1"/>
  <c r="BF589" i="1"/>
  <c r="BF436" i="1"/>
  <c r="BE360" i="1"/>
  <c r="BF83" i="1"/>
  <c r="BE221" i="1"/>
  <c r="BF398" i="1"/>
  <c r="BE300" i="1"/>
  <c r="BF118" i="1"/>
  <c r="BF303" i="1"/>
  <c r="BE447" i="1"/>
  <c r="BF625" i="1"/>
  <c r="BE130" i="1"/>
  <c r="BF248" i="1"/>
  <c r="BE417" i="1"/>
  <c r="BF90" i="1"/>
  <c r="BF332" i="1"/>
  <c r="BE331" i="1"/>
  <c r="BF89" i="1"/>
  <c r="BE504" i="1"/>
  <c r="BF295" i="1"/>
  <c r="BF229" i="1"/>
  <c r="BE249" i="1"/>
  <c r="BE496" i="1"/>
  <c r="BF97" i="1"/>
  <c r="BE602" i="1"/>
  <c r="BF80" i="1"/>
  <c r="BE86" i="1"/>
  <c r="BF444" i="1"/>
  <c r="BE125" i="1"/>
  <c r="BF449" i="1"/>
  <c r="BE127" i="1"/>
  <c r="BE109" i="1"/>
  <c r="BE519" i="1"/>
  <c r="BE278" i="1"/>
  <c r="BE398" i="1"/>
  <c r="BF343" i="1"/>
  <c r="BE423" i="1"/>
  <c r="BE118" i="1"/>
  <c r="BF365" i="1"/>
  <c r="BF330" i="1"/>
  <c r="BF323" i="1"/>
  <c r="BE193" i="1"/>
  <c r="BE78" i="1"/>
  <c r="BE527" i="1"/>
  <c r="BE282" i="1"/>
  <c r="BF127" i="1"/>
  <c r="BF109" i="1"/>
  <c r="BF519" i="1"/>
  <c r="BF278" i="1"/>
  <c r="BF654" i="1"/>
  <c r="BF456" i="1"/>
  <c r="BF423" i="1"/>
  <c r="BF352" i="1"/>
  <c r="BE365" i="1"/>
  <c r="BE330" i="1"/>
  <c r="BF386" i="1"/>
  <c r="BF471" i="1"/>
  <c r="BE393" i="1"/>
  <c r="BE295" i="1"/>
  <c r="BE155" i="1"/>
  <c r="BF142" i="1"/>
  <c r="BF496" i="1"/>
  <c r="BF438" i="1"/>
  <c r="BE663" i="1"/>
  <c r="BE539" i="1"/>
  <c r="BE262" i="1"/>
  <c r="BE177" i="1"/>
  <c r="BE546" i="1"/>
  <c r="BF124" i="1"/>
  <c r="BE81" i="1"/>
  <c r="BE388" i="1"/>
  <c r="BE418" i="1"/>
  <c r="BE428" i="1"/>
  <c r="BF635" i="1"/>
  <c r="BE169" i="1"/>
  <c r="BF184" i="1"/>
  <c r="BE620" i="1"/>
  <c r="BE601" i="1"/>
  <c r="BE569" i="1"/>
  <c r="BE382" i="1"/>
  <c r="BF472" i="1"/>
  <c r="BE350" i="1"/>
  <c r="BE254" i="1"/>
  <c r="BE579" i="1"/>
  <c r="BF462" i="1"/>
  <c r="BE355" i="1"/>
  <c r="BE264" i="1"/>
  <c r="BF376" i="1"/>
  <c r="BF289" i="1"/>
  <c r="BF461" i="1"/>
  <c r="BF624" i="1"/>
  <c r="BE439" i="1"/>
  <c r="BF325" i="1"/>
  <c r="BE425" i="1"/>
  <c r="BF559" i="1"/>
  <c r="BF285" i="1"/>
  <c r="BE517" i="1"/>
  <c r="BF479" i="1"/>
  <c r="BE531" i="1"/>
  <c r="BF621" i="1"/>
  <c r="BF582" i="1"/>
  <c r="BF569" i="1"/>
  <c r="BE255" i="1"/>
  <c r="BE416" i="1"/>
  <c r="BE182" i="1"/>
  <c r="BE606" i="1"/>
  <c r="BF498" i="1"/>
  <c r="BE374" i="1"/>
  <c r="BF315" i="1"/>
  <c r="BE284" i="1"/>
  <c r="BF205" i="1"/>
  <c r="BF264" i="1"/>
  <c r="BF578" i="1"/>
  <c r="BE120" i="1"/>
  <c r="BE459" i="1"/>
  <c r="BE129" i="1"/>
  <c r="BE529" i="1"/>
  <c r="BE349" i="1"/>
  <c r="BE215" i="1"/>
  <c r="BE598" i="1"/>
  <c r="BF529" i="1"/>
  <c r="BE322" i="1"/>
  <c r="BE402" i="1"/>
  <c r="BF476" i="1"/>
  <c r="BE325" i="1"/>
  <c r="BF575" i="1"/>
  <c r="BF397" i="1"/>
  <c r="BE526" i="1"/>
  <c r="BF577" i="1"/>
  <c r="BF233" i="1"/>
  <c r="BE609" i="1"/>
  <c r="BE207" i="1"/>
  <c r="BE329" i="1"/>
  <c r="BF401" i="1"/>
  <c r="BF350" i="1"/>
  <c r="BE622" i="1"/>
  <c r="BF468" i="1"/>
  <c r="BE267" i="1"/>
  <c r="BF618" i="1"/>
  <c r="BE376" i="1"/>
  <c r="BF474" i="1"/>
  <c r="BF523" i="1"/>
  <c r="BF551" i="1"/>
  <c r="BE251" i="1"/>
  <c r="BE581" i="1"/>
  <c r="BF112" i="1"/>
  <c r="BE359" i="1"/>
  <c r="BF526" i="1"/>
  <c r="BF319" i="1"/>
  <c r="BE421" i="1"/>
  <c r="BE430" i="1"/>
  <c r="BF299" i="1"/>
  <c r="BE624" i="1"/>
  <c r="BF159" i="1"/>
  <c r="BE530" i="1"/>
  <c r="BE548" i="1"/>
  <c r="BF211" i="1"/>
  <c r="BF187" i="1"/>
  <c r="BF531" i="1"/>
  <c r="BF535" i="1"/>
  <c r="BE91" i="1"/>
  <c r="BE158" i="1"/>
  <c r="BE489" i="1"/>
  <c r="BF122" i="1"/>
  <c r="BF113" i="1"/>
  <c r="BE122" i="1"/>
  <c r="BF581" i="1"/>
  <c r="BF513" i="1"/>
  <c r="BF450" i="1"/>
  <c r="BF243" i="1"/>
  <c r="BE285" i="1"/>
  <c r="BE611" i="1"/>
  <c r="BF416" i="1"/>
  <c r="BE584" i="1"/>
  <c r="BF182" i="1"/>
  <c r="BF153" i="1"/>
  <c r="BE301" i="1"/>
  <c r="BF370" i="1"/>
  <c r="BF585" i="1"/>
  <c r="BE571" i="1"/>
  <c r="BF576" i="1"/>
  <c r="BE306" i="1"/>
  <c r="BE462" i="1"/>
  <c r="BE563" i="1"/>
  <c r="BE588" i="1"/>
  <c r="BF265" i="1"/>
  <c r="BF445" i="1"/>
  <c r="BE657" i="1"/>
  <c r="BF588" i="1"/>
  <c r="BF517" i="1"/>
  <c r="BF537" i="1"/>
  <c r="BE551" i="1"/>
  <c r="BF355" i="1"/>
  <c r="BF506" i="1"/>
  <c r="BE605" i="1"/>
  <c r="BF120" i="1"/>
  <c r="BE543" i="1"/>
  <c r="BE590" i="1"/>
  <c r="BE243" i="1"/>
  <c r="BE397" i="1"/>
  <c r="BF144" i="1"/>
  <c r="BE315" i="1"/>
  <c r="BF453" i="1"/>
  <c r="BE486" i="1"/>
  <c r="BF606" i="1"/>
  <c r="BE523" i="1"/>
  <c r="BF309" i="1"/>
  <c r="BF403" i="1"/>
  <c r="BF382" i="1"/>
  <c r="BE186" i="1"/>
  <c r="BF486" i="1"/>
  <c r="BE153" i="1"/>
  <c r="BF384" i="1"/>
  <c r="BE646" i="1"/>
  <c r="BE200" i="1"/>
  <c r="BF91" i="1"/>
  <c r="BF596" i="1"/>
  <c r="BE75" i="1"/>
  <c r="BE661" i="1"/>
  <c r="BE197" i="1"/>
  <c r="BF186" i="1"/>
  <c r="BE93" i="1"/>
  <c r="BE293" i="1"/>
  <c r="BE272" i="1"/>
  <c r="BF252" i="1"/>
  <c r="BF394" i="1"/>
  <c r="BF294" i="1"/>
  <c r="BE477" i="1"/>
  <c r="BE577" i="1"/>
  <c r="BF563" i="1"/>
  <c r="BF455" i="1"/>
  <c r="BE123" i="1"/>
  <c r="BF425" i="1"/>
  <c r="BE453" i="1"/>
  <c r="BE316" i="1"/>
  <c r="BF426" i="1"/>
  <c r="BE498" i="1"/>
  <c r="BE562" i="1"/>
  <c r="BE433" i="1"/>
  <c r="BF235" i="1"/>
  <c r="BE404" i="1"/>
  <c r="BF552" i="1"/>
  <c r="BE161" i="1"/>
  <c r="BE574" i="1"/>
  <c r="BF239" i="1"/>
  <c r="BF284" i="1"/>
  <c r="BF548" i="1"/>
  <c r="BF209" i="1"/>
  <c r="BE235" i="1"/>
  <c r="BF574" i="1"/>
  <c r="BF566" i="1"/>
  <c r="BE552" i="1"/>
  <c r="BE566" i="1"/>
  <c r="BE618" i="1"/>
  <c r="BE283" i="1"/>
  <c r="BF353" i="1"/>
  <c r="BF223" i="1"/>
  <c r="BF549" i="1"/>
  <c r="BE480" i="1"/>
  <c r="BE297" i="1"/>
  <c r="BE139" i="1"/>
  <c r="BF133" i="1"/>
  <c r="BE392" i="1"/>
  <c r="BE442" i="1"/>
  <c r="BF466" i="1"/>
  <c r="BF297" i="1"/>
  <c r="BF174" i="1"/>
  <c r="BF217" i="1"/>
  <c r="BE659" i="1"/>
  <c r="BE513" i="1"/>
  <c r="BE516" i="1"/>
  <c r="BE626" i="1"/>
  <c r="BE174" i="1"/>
  <c r="BE455" i="1"/>
  <c r="BE356" i="1"/>
  <c r="BE357" i="1"/>
  <c r="BE466" i="1"/>
  <c r="BE558" i="1"/>
  <c r="BF422" i="1"/>
  <c r="BE446" i="1"/>
  <c r="BE385" i="1"/>
  <c r="BF663" i="1"/>
  <c r="BE95" i="1"/>
  <c r="BF539" i="1"/>
  <c r="BE194" i="1"/>
  <c r="BE302" i="1"/>
  <c r="BF595" i="1"/>
  <c r="BE358" i="1"/>
  <c r="BF190" i="1"/>
  <c r="BF72" i="1"/>
  <c r="BE326" i="1"/>
  <c r="BE156" i="1"/>
  <c r="BF81" i="1"/>
  <c r="BF504" i="1"/>
  <c r="BF86" i="1"/>
  <c r="BE250" i="1"/>
  <c r="BF125" i="1"/>
  <c r="BF428" i="1"/>
  <c r="BE568" i="1"/>
  <c r="BE449" i="1"/>
  <c r="BE212" i="1"/>
  <c r="BE248" i="1"/>
  <c r="BF417" i="1"/>
  <c r="BE419" i="1"/>
  <c r="BE274" i="1"/>
  <c r="BF342" i="1"/>
  <c r="BE303" i="1"/>
  <c r="BF287" i="1"/>
  <c r="BE525" i="1"/>
  <c r="BE175" i="1"/>
  <c r="BF212" i="1"/>
  <c r="BF296" i="1"/>
  <c r="BE664" i="1"/>
  <c r="BE643" i="1"/>
  <c r="BF95" i="1"/>
  <c r="BF194" i="1"/>
  <c r="BE100" i="1"/>
  <c r="BE399" i="1"/>
  <c r="BE593" i="1"/>
  <c r="BF400" i="1"/>
  <c r="BF271" i="1"/>
  <c r="BF447" i="1"/>
  <c r="BE128" i="1"/>
  <c r="BF393" i="1"/>
  <c r="BF637" i="1"/>
  <c r="BF191" i="1"/>
  <c r="BE288" i="1"/>
  <c r="BF276" i="1"/>
  <c r="BE296" i="1"/>
  <c r="BF664" i="1"/>
  <c r="BF643" i="1"/>
  <c r="BF262" i="1"/>
  <c r="BF177" i="1"/>
  <c r="BE367" i="1"/>
  <c r="BF399" i="1"/>
  <c r="BF593" i="1"/>
  <c r="BE400" i="1"/>
  <c r="BE271" i="1"/>
  <c r="BF128" i="1"/>
  <c r="BE180" i="1"/>
  <c r="BE162" i="1"/>
  <c r="BF259" i="1"/>
  <c r="BE171" i="1"/>
  <c r="BF547" i="1"/>
  <c r="BE234" i="1"/>
  <c r="BF345" i="1"/>
  <c r="BF634" i="1"/>
  <c r="BE217" i="1"/>
  <c r="BE405" i="1"/>
  <c r="BF203" i="1"/>
  <c r="BF599" i="1"/>
  <c r="BF604" i="1"/>
  <c r="BE223" i="1"/>
  <c r="BF448" i="1"/>
  <c r="BF480" i="1"/>
  <c r="BE549" i="1"/>
  <c r="BE202" i="1"/>
  <c r="BE225" i="1"/>
  <c r="BF82" i="1"/>
  <c r="BE134" i="1"/>
  <c r="BF312" i="1"/>
  <c r="BF389" i="1"/>
  <c r="BF206" i="1"/>
  <c r="BE468" i="1"/>
  <c r="BF99" i="1"/>
  <c r="BE213" i="1"/>
  <c r="BF540" i="1"/>
  <c r="BE485" i="1"/>
  <c r="BE124" i="1"/>
  <c r="BE317" i="1"/>
  <c r="BF527" i="1"/>
  <c r="BF288" i="1"/>
  <c r="BF418" i="1"/>
  <c r="BF484" i="1"/>
  <c r="BF638" i="1"/>
  <c r="BF429" i="1"/>
  <c r="BE332" i="1"/>
  <c r="BF331" i="1"/>
  <c r="BE119" i="1"/>
  <c r="BF230" i="1"/>
  <c r="BF502" i="1"/>
  <c r="BE89" i="1"/>
  <c r="BF560" i="1"/>
  <c r="BF204" i="1"/>
  <c r="BE540" i="1"/>
  <c r="BF485" i="1"/>
  <c r="BF396" i="1"/>
  <c r="BE190" i="1"/>
  <c r="BE244" i="1"/>
  <c r="BF130" i="1"/>
  <c r="BE352" i="1"/>
  <c r="BE313" i="1"/>
  <c r="BE560" i="1"/>
  <c r="BE204" i="1"/>
  <c r="BF491" i="1"/>
  <c r="BF100" i="1"/>
  <c r="BE396" i="1"/>
  <c r="BE230" i="1"/>
  <c r="BF244" i="1"/>
  <c r="BE361" i="1"/>
  <c r="BF388" i="1"/>
  <c r="BF565" i="1"/>
  <c r="BE276" i="1"/>
  <c r="BE229" i="1"/>
  <c r="BF175" i="1"/>
  <c r="BE637" i="1"/>
  <c r="BF327" i="1"/>
  <c r="BE152" i="1"/>
  <c r="BF221" i="1"/>
  <c r="BE556" i="1"/>
  <c r="BF300" i="1"/>
  <c r="BE72" i="1"/>
  <c r="BE247" i="1"/>
  <c r="BF431" i="1"/>
  <c r="BF218" i="1"/>
  <c r="BE638" i="1"/>
  <c r="BF183" i="1"/>
  <c r="BE545" i="1"/>
  <c r="BF320" i="1"/>
  <c r="BE150" i="1"/>
  <c r="BF407" i="1"/>
  <c r="BE196" i="1"/>
  <c r="BF341" i="1"/>
  <c r="BE114" i="1"/>
  <c r="BF169" i="1"/>
  <c r="BF545" i="1"/>
  <c r="BE371" i="1"/>
  <c r="BE542" i="1"/>
  <c r="BF665" i="1"/>
  <c r="BE77" i="1"/>
  <c r="BF196" i="1"/>
  <c r="BF662" i="1"/>
  <c r="BE427" i="1"/>
  <c r="BF542" i="1"/>
  <c r="BF460" i="1"/>
  <c r="BE226" i="1"/>
  <c r="BE408" i="1"/>
  <c r="BF554" i="1"/>
  <c r="BE184" i="1"/>
  <c r="BE534" i="1"/>
  <c r="BF150" i="1"/>
  <c r="BE241" i="1"/>
  <c r="BF495" i="1"/>
  <c r="BE384" i="1"/>
  <c r="BF659" i="1"/>
  <c r="BE113" i="1"/>
  <c r="BF180" i="1"/>
  <c r="BE479" i="1"/>
  <c r="BF188" i="1"/>
  <c r="BE451" i="1"/>
  <c r="BF272" i="1"/>
  <c r="BF567" i="1"/>
  <c r="BF286" i="1"/>
  <c r="BF339" i="1"/>
  <c r="BF558" i="1"/>
  <c r="BE604" i="1"/>
  <c r="BF199" i="1"/>
  <c r="BF442" i="1"/>
  <c r="BE369" i="1"/>
  <c r="BE497" i="1"/>
  <c r="BE410" i="1"/>
  <c r="BF291" i="1"/>
  <c r="BF628" i="1"/>
  <c r="BF193" i="1"/>
  <c r="BE287" i="1"/>
  <c r="BF313" i="1"/>
  <c r="BE218" i="1"/>
  <c r="BE97" i="1"/>
  <c r="BE142" i="1"/>
  <c r="BF568" i="1"/>
  <c r="BF358" i="1"/>
  <c r="BE625" i="1"/>
  <c r="BE366" i="1"/>
  <c r="BE387" i="1"/>
  <c r="BF377" i="1"/>
  <c r="BE628" i="1"/>
  <c r="BE649" i="1"/>
  <c r="BF441" i="1"/>
  <c r="BF361" i="1"/>
  <c r="BE90" i="1"/>
  <c r="BF366" i="1"/>
  <c r="BF387" i="1"/>
  <c r="BE377" i="1"/>
  <c r="BE185" i="1"/>
  <c r="BF649" i="1"/>
  <c r="BE191" i="1"/>
  <c r="BE536" i="1"/>
  <c r="BF644" i="1"/>
  <c r="BE256" i="1"/>
  <c r="BE140" i="1"/>
  <c r="BF249" i="1"/>
  <c r="BE342" i="1"/>
  <c r="BF410" i="1"/>
  <c r="BE436" i="1"/>
  <c r="BF213" i="1"/>
  <c r="BE456" i="1"/>
  <c r="BF536" i="1"/>
  <c r="BE644" i="1"/>
  <c r="BF140" i="1"/>
  <c r="BE438" i="1"/>
  <c r="BF337" i="1"/>
  <c r="BF172" i="1"/>
  <c r="BF534" i="1"/>
  <c r="BE619" i="1"/>
  <c r="BF103" i="1"/>
  <c r="BE92" i="1"/>
  <c r="BE662" i="1"/>
  <c r="BF383" i="1"/>
  <c r="BE337" i="1"/>
  <c r="BF106" i="1"/>
  <c r="BF164" i="1"/>
  <c r="BF592" i="1"/>
  <c r="BF435" i="1"/>
  <c r="BF351" i="1"/>
  <c r="BE440" i="1"/>
  <c r="BF371" i="1"/>
  <c r="BF340" i="1"/>
  <c r="BE490" i="1"/>
  <c r="BE104" i="1"/>
  <c r="BF490" i="1"/>
  <c r="BF440" i="1"/>
  <c r="BF334" i="1"/>
  <c r="BF619" i="1"/>
  <c r="BE299" i="1"/>
  <c r="BE71" i="1"/>
  <c r="BE101" i="1"/>
  <c r="BF301" i="1"/>
  <c r="BF369" i="1"/>
  <c r="BF70" i="1"/>
  <c r="BF322" i="1"/>
  <c r="BF430" i="1"/>
  <c r="BF158" i="1"/>
  <c r="BE575" i="1"/>
  <c r="BF304" i="1"/>
  <c r="BE411" i="1"/>
  <c r="BE403" i="1"/>
  <c r="BE261" i="1"/>
  <c r="BE82" i="1"/>
  <c r="BF98" i="1"/>
  <c r="BE238" i="1"/>
  <c r="BF385" i="1"/>
  <c r="BE515" i="1"/>
  <c r="BF349" i="1"/>
  <c r="BE273" i="1"/>
  <c r="BE327" i="1"/>
  <c r="BF338" i="1"/>
  <c r="BF78" i="1"/>
  <c r="BE441" i="1"/>
  <c r="BF247" i="1"/>
  <c r="BE216" i="1"/>
  <c r="BF525" i="1"/>
  <c r="BF274" i="1"/>
  <c r="BE111" i="1"/>
  <c r="BF256" i="1"/>
  <c r="BE457" i="1"/>
  <c r="BF302" i="1"/>
  <c r="BF326" i="1"/>
  <c r="BF500" i="1"/>
  <c r="BF572" i="1"/>
  <c r="BF168" i="1"/>
  <c r="BF633" i="1"/>
  <c r="BF143" i="1"/>
  <c r="BE522" i="1"/>
  <c r="BE639" i="1"/>
  <c r="BE386" i="1"/>
  <c r="BF631" i="1"/>
  <c r="BE168" i="1"/>
  <c r="BE633" i="1"/>
  <c r="BF556" i="1"/>
  <c r="BE143" i="1"/>
  <c r="BF522" i="1"/>
  <c r="BE80" i="1"/>
  <c r="BE502" i="1"/>
  <c r="BF282" i="1"/>
  <c r="BE444" i="1"/>
  <c r="BE572" i="1"/>
  <c r="BE631" i="1"/>
  <c r="BF273" i="1"/>
  <c r="BE149" i="1"/>
  <c r="BF360" i="1"/>
  <c r="BF553" i="1"/>
  <c r="BE654" i="1"/>
  <c r="BE595" i="1"/>
  <c r="BF156" i="1"/>
  <c r="BE641" i="1"/>
  <c r="BE106" i="1"/>
  <c r="BE555" i="1"/>
  <c r="BE383" i="1"/>
  <c r="BF660" i="1"/>
  <c r="BF640" i="1"/>
  <c r="BE592" i="1"/>
  <c r="BF408" i="1"/>
  <c r="BE277" i="1"/>
  <c r="BF583" i="1"/>
  <c r="BF258" i="1"/>
  <c r="BF105" i="1"/>
  <c r="BE172" i="1"/>
  <c r="BF492" i="1"/>
  <c r="BE640" i="1"/>
  <c r="BE164" i="1"/>
  <c r="BE665" i="1"/>
  <c r="BE407" i="1"/>
  <c r="BE379" i="1"/>
  <c r="BE351" i="1"/>
  <c r="BF104" i="1"/>
  <c r="BE660" i="1"/>
  <c r="BE460" i="1"/>
  <c r="BE510" i="1"/>
  <c r="BF253" i="1"/>
  <c r="BF550" i="1"/>
  <c r="BE203" i="1"/>
  <c r="BF657" i="1"/>
  <c r="BF117" i="1"/>
  <c r="BF200" i="1"/>
  <c r="BE345" i="1"/>
  <c r="BF101" i="1"/>
  <c r="BF139" i="1"/>
  <c r="BF415" i="1"/>
  <c r="BE448" i="1"/>
  <c r="BF497" i="1"/>
  <c r="BF516" i="1"/>
  <c r="BE233" i="1"/>
  <c r="BF666" i="1"/>
  <c r="BE470" i="1"/>
  <c r="BE426" i="1"/>
  <c r="BF234" i="1"/>
  <c r="BF515" i="1"/>
  <c r="BF411" i="1"/>
  <c r="BE159" i="1"/>
  <c r="BE589" i="1"/>
  <c r="BF470" i="1"/>
  <c r="BF598" i="1"/>
  <c r="BF238" i="1"/>
  <c r="BF149" i="1"/>
  <c r="BE432" i="1"/>
  <c r="BE465" i="1"/>
  <c r="BF546" i="1"/>
  <c r="BF602" i="1"/>
  <c r="BF639" i="1"/>
  <c r="BE429" i="1"/>
  <c r="BE500" i="1"/>
  <c r="BF457" i="1"/>
  <c r="BE635" i="1"/>
  <c r="BF216" i="1"/>
  <c r="BF155" i="1"/>
  <c r="BE290" i="1"/>
  <c r="BE565" i="1"/>
  <c r="BE102" i="1"/>
  <c r="BF494" i="1"/>
  <c r="BF432" i="1"/>
  <c r="BF465" i="1"/>
  <c r="BF367" i="1"/>
  <c r="BE76" i="1"/>
  <c r="BF67" i="1"/>
  <c r="BF116" i="1"/>
  <c r="BF102" i="1"/>
  <c r="BE494" i="1"/>
  <c r="BF152" i="1"/>
  <c r="BE553" i="1"/>
  <c r="BE343" i="1"/>
  <c r="BF76" i="1"/>
  <c r="BE67" i="1"/>
  <c r="BE323" i="1"/>
  <c r="BF641" i="1"/>
  <c r="BE431" i="1"/>
  <c r="BF419" i="1"/>
  <c r="BF290" i="1"/>
  <c r="BF119" i="1"/>
  <c r="BE354" i="1"/>
  <c r="BE99" i="1"/>
  <c r="BE291" i="1"/>
  <c r="BE83" i="1"/>
  <c r="BE491" i="1"/>
  <c r="BF185" i="1"/>
  <c r="BE338" i="1"/>
  <c r="BE471" i="1"/>
  <c r="BF250" i="1"/>
  <c r="BE484" i="1"/>
  <c r="BF111" i="1"/>
  <c r="BE583" i="1"/>
  <c r="BF236" i="1"/>
  <c r="BE334" i="1"/>
  <c r="BE151" i="1"/>
  <c r="BE435" i="1"/>
  <c r="BE492" i="1"/>
  <c r="BF226" i="1"/>
  <c r="BF151" i="1"/>
  <c r="BE183" i="1"/>
  <c r="BE236" i="1"/>
  <c r="BF555" i="1"/>
  <c r="BF92" i="1"/>
  <c r="BF279" i="1"/>
  <c r="BE258" i="1"/>
  <c r="BE105" i="1"/>
  <c r="BE341" i="1"/>
  <c r="BE103" i="1"/>
  <c r="BE554" i="1"/>
  <c r="BE279" i="1"/>
  <c r="BF379" i="1"/>
  <c r="BF427" i="1"/>
  <c r="BE320" i="1"/>
  <c r="BE340" i="1"/>
  <c r="BE623" i="1"/>
  <c r="BF538" i="1"/>
  <c r="BF434" i="1"/>
  <c r="BF77" i="1"/>
  <c r="BF266" i="1"/>
  <c r="BF178" i="1"/>
  <c r="BE642" i="1"/>
  <c r="BF214" i="1"/>
  <c r="BF623" i="1"/>
  <c r="BF317" i="1"/>
  <c r="BE266" i="1"/>
  <c r="BE178" i="1"/>
  <c r="BF642" i="1"/>
  <c r="BF277" i="1"/>
  <c r="BE512" i="1"/>
  <c r="BE227" i="1"/>
  <c r="BF354" i="1"/>
  <c r="BE116" i="1"/>
  <c r="BF632" i="1"/>
  <c r="BF454" i="1"/>
  <c r="BE328" i="1"/>
  <c r="BF512" i="1"/>
  <c r="BF227" i="1"/>
  <c r="BF114" i="1"/>
  <c r="BE538" i="1"/>
  <c r="BE434" i="1"/>
  <c r="BE304" i="1"/>
  <c r="BE632" i="1"/>
  <c r="BE454" i="1"/>
  <c r="BF328" i="1"/>
  <c r="BE214" i="1"/>
  <c r="BE391" i="1"/>
  <c r="BE464" i="1"/>
  <c r="BE544" i="1"/>
  <c r="BE524" i="1"/>
  <c r="BE170" i="1"/>
  <c r="BE346" i="1"/>
  <c r="BF481" i="1"/>
  <c r="BF615" i="1"/>
  <c r="BF482" i="1"/>
  <c r="BF630" i="1"/>
  <c r="BE107" i="1"/>
  <c r="BF311" i="1"/>
  <c r="BE263" i="1"/>
  <c r="BE520" i="1"/>
  <c r="BF603" i="1"/>
  <c r="BE372" i="1"/>
  <c r="BF344" i="1"/>
  <c r="BE181" i="1"/>
  <c r="BF146" i="1"/>
  <c r="BF586" i="1"/>
  <c r="BE655" i="1"/>
  <c r="BF210" i="1"/>
  <c r="BE647" i="1"/>
  <c r="BE375" i="1"/>
  <c r="BF163" i="1"/>
  <c r="BE507" i="1"/>
  <c r="BF245" i="1"/>
  <c r="BE613" i="1"/>
  <c r="BE648" i="1"/>
  <c r="BF73" i="1"/>
  <c r="BF321" i="1"/>
  <c r="BF381" i="1"/>
  <c r="BE587" i="1"/>
  <c r="BE532" i="1"/>
  <c r="BF503" i="1"/>
  <c r="BF166" i="1"/>
  <c r="BF650" i="1"/>
  <c r="BF69" i="1"/>
  <c r="BE380" i="1"/>
  <c r="BE608" i="1"/>
  <c r="BF224" i="1"/>
  <c r="BE173" i="1"/>
  <c r="BE79" i="1"/>
  <c r="BE467" i="1"/>
  <c r="BF208" i="1"/>
  <c r="BE85" i="1"/>
  <c r="BF473" i="1"/>
  <c r="BF192" i="1"/>
  <c r="BE364" i="1"/>
  <c r="BE87" i="1"/>
  <c r="BF237" i="1"/>
  <c r="BE179" i="1"/>
  <c r="BE298" i="1"/>
  <c r="BF475" i="1"/>
  <c r="BF395" i="1"/>
  <c r="BF257" i="1"/>
  <c r="BE219" i="1"/>
  <c r="BF391" i="1"/>
  <c r="BF464" i="1"/>
  <c r="BF544" i="1"/>
  <c r="BF524" i="1"/>
  <c r="BF170" i="1"/>
  <c r="BF346" i="1"/>
  <c r="BE481" i="1"/>
  <c r="BE368" i="1"/>
  <c r="BF305" i="1"/>
  <c r="BE409" i="1"/>
  <c r="BE88" i="1"/>
  <c r="BF541" i="1"/>
  <c r="BE68" i="1"/>
  <c r="BE521" i="1"/>
  <c r="BE195" i="1"/>
  <c r="BE458" i="1"/>
  <c r="BE335" i="1"/>
  <c r="BF658" i="1"/>
  <c r="BF181" i="1"/>
  <c r="BF655" i="1"/>
  <c r="BE210" i="1"/>
  <c r="BF647" i="1"/>
  <c r="BF375" i="1"/>
  <c r="BE163" i="1"/>
  <c r="BF507" i="1"/>
  <c r="BE245" i="1"/>
  <c r="BF613" i="1"/>
  <c r="BF648" i="1"/>
  <c r="BE73" i="1"/>
  <c r="BE443" i="1"/>
  <c r="BF469" i="1"/>
  <c r="BE275" i="1"/>
  <c r="BF141" i="1"/>
  <c r="BF627" i="1"/>
  <c r="BF94" i="1"/>
  <c r="BF198" i="1"/>
  <c r="BF607" i="1"/>
  <c r="BF616" i="1"/>
  <c r="BF478" i="1"/>
  <c r="BF137" i="1"/>
  <c r="BE645" i="1"/>
  <c r="BF414" i="1"/>
  <c r="BE147" i="1"/>
  <c r="BE74" i="1"/>
  <c r="BF160" i="1"/>
  <c r="BF533" i="1"/>
  <c r="BE138" i="1"/>
  <c r="BE580" i="1"/>
  <c r="BE132" i="1"/>
  <c r="BE84" i="1"/>
  <c r="BE437" i="1"/>
  <c r="BE617" i="1"/>
  <c r="BE528" i="1"/>
  <c r="BF636" i="1"/>
  <c r="BE656" i="1"/>
  <c r="BE280" i="1"/>
  <c r="BE348" i="1"/>
  <c r="BF110" i="1"/>
  <c r="BF488" i="1"/>
  <c r="BE508" i="1"/>
  <c r="BE148" i="1"/>
  <c r="BF232" i="1"/>
  <c r="BF310" i="1"/>
  <c r="BF378" i="1"/>
  <c r="BE420" i="1"/>
  <c r="BF362" i="1"/>
  <c r="BE412" i="1"/>
  <c r="BF564" i="1"/>
  <c r="BF368" i="1"/>
  <c r="BE305" i="1"/>
  <c r="BF409" i="1"/>
  <c r="BF88" i="1"/>
  <c r="BE541" i="1"/>
  <c r="BF68" i="1"/>
  <c r="BF521" i="1"/>
  <c r="BF195" i="1"/>
  <c r="BF458" i="1"/>
  <c r="BF335" i="1"/>
  <c r="BE658" i="1"/>
  <c r="BF561" i="1"/>
  <c r="BE231" i="1"/>
  <c r="BE242" i="1"/>
  <c r="BE413" i="1"/>
  <c r="BE240" i="1"/>
  <c r="BF220" i="1"/>
  <c r="BE610" i="1"/>
  <c r="BE424" i="1"/>
  <c r="BE573" i="1"/>
  <c r="BF126" i="1"/>
  <c r="BE511" i="1"/>
  <c r="BE509" i="1"/>
  <c r="BF614" i="1"/>
  <c r="BE390" i="1"/>
  <c r="BF443" i="1"/>
  <c r="BE469" i="1"/>
  <c r="BF275" i="1"/>
  <c r="BE141" i="1"/>
  <c r="BE627" i="1"/>
  <c r="BE94" i="1"/>
  <c r="BE198" i="1"/>
  <c r="BE607" i="1"/>
  <c r="BE616" i="1"/>
  <c r="BE478" i="1"/>
  <c r="BE137" i="1"/>
  <c r="BF645" i="1"/>
  <c r="BE414" i="1"/>
  <c r="BF147" i="1"/>
  <c r="BF74" i="1"/>
  <c r="BE160" i="1"/>
  <c r="BE533" i="1"/>
  <c r="BF138" i="1"/>
  <c r="BF580" i="1"/>
  <c r="BF132" i="1"/>
  <c r="BF84" i="1"/>
  <c r="BF437" i="1"/>
  <c r="BF617" i="1"/>
  <c r="BF528" i="1"/>
  <c r="BE636" i="1"/>
  <c r="BF656" i="1"/>
  <c r="BF280" i="1"/>
  <c r="BF348" i="1"/>
  <c r="BE110" i="1"/>
  <c r="BE488" i="1"/>
  <c r="BF508" i="1"/>
  <c r="BF148" i="1"/>
  <c r="BE232" i="1"/>
  <c r="BE310" i="1"/>
  <c r="BE378" i="1"/>
  <c r="BF420" i="1"/>
  <c r="BE362" i="1"/>
  <c r="BF412" i="1"/>
  <c r="BE564" i="1"/>
  <c r="BE615" i="1"/>
  <c r="BE482" i="1"/>
  <c r="BE630" i="1"/>
  <c r="BF107" i="1"/>
  <c r="BE311" i="1"/>
  <c r="BF263" i="1"/>
  <c r="BF520" i="1"/>
  <c r="BE603" i="1"/>
  <c r="BF372" i="1"/>
  <c r="BE344" i="1"/>
  <c r="BE146" i="1"/>
  <c r="BE586" i="1"/>
  <c r="BE561" i="1"/>
  <c r="BF231" i="1"/>
  <c r="BF242" i="1"/>
  <c r="BF413" i="1"/>
  <c r="BF240" i="1"/>
  <c r="BE220" i="1"/>
  <c r="BF610" i="1"/>
  <c r="BF424" i="1"/>
  <c r="BF573" i="1"/>
  <c r="BE126" i="1"/>
  <c r="BF511" i="1"/>
  <c r="BF509" i="1"/>
  <c r="BE614" i="1"/>
  <c r="BF390" i="1"/>
  <c r="BE321" i="1"/>
  <c r="BE381" i="1"/>
  <c r="BF587" i="1"/>
  <c r="BF532" i="1"/>
  <c r="BE503" i="1"/>
  <c r="BE166" i="1"/>
  <c r="BE650" i="1"/>
  <c r="BE69" i="1"/>
  <c r="BF380" i="1"/>
  <c r="BF608" i="1"/>
  <c r="BE224" i="1"/>
  <c r="BF173" i="1"/>
  <c r="BF79" i="1"/>
  <c r="BF467" i="1"/>
  <c r="BE208" i="1"/>
  <c r="BF85" i="1"/>
  <c r="BE473" i="1"/>
  <c r="BE192" i="1"/>
  <c r="BF364" i="1"/>
  <c r="BF87" i="1"/>
  <c r="BE237" i="1"/>
  <c r="BF179" i="1"/>
  <c r="BF298" i="1"/>
  <c r="BE475" i="1"/>
  <c r="BE395" i="1"/>
  <c r="BE257" i="1"/>
  <c r="BF219" i="1"/>
  <c r="BF222" i="1"/>
  <c r="BF292" i="1"/>
  <c r="BF651" i="1"/>
  <c r="BF505" i="1"/>
  <c r="BF154" i="1"/>
  <c r="BF131" i="1"/>
  <c r="BE557" i="1"/>
  <c r="BE373" i="1"/>
  <c r="BF501" i="1"/>
  <c r="BE176" i="1"/>
  <c r="BF281" i="1"/>
  <c r="BF318" i="1"/>
  <c r="BE135" i="1"/>
  <c r="BF570" i="1"/>
  <c r="BE307" i="1"/>
  <c r="BE222" i="1"/>
  <c r="BE292" i="1"/>
  <c r="BE651" i="1"/>
  <c r="BE505" i="1"/>
  <c r="BE154" i="1"/>
  <c r="BE131" i="1"/>
  <c r="BF557" i="1"/>
  <c r="BF373" i="1"/>
  <c r="BE501" i="1"/>
  <c r="BF176" i="1"/>
  <c r="BE281" i="1"/>
  <c r="BE318" i="1"/>
  <c r="BF135" i="1"/>
  <c r="BE570" i="1"/>
  <c r="BF307" i="1"/>
  <c r="BE270" i="1"/>
  <c r="BF463" i="1"/>
  <c r="BE612" i="1"/>
  <c r="BF201" i="1"/>
  <c r="BE121" i="1"/>
  <c r="BE652" i="1"/>
  <c r="BF406" i="1"/>
  <c r="BF108" i="1"/>
  <c r="BF363" i="1"/>
  <c r="BE336" i="1"/>
  <c r="BE653" i="1"/>
  <c r="BE228" i="1"/>
  <c r="BF145" i="1"/>
  <c r="BF270" i="1"/>
  <c r="BE463" i="1"/>
  <c r="BF612" i="1"/>
  <c r="BE201" i="1"/>
  <c r="BF121" i="1"/>
  <c r="BF652" i="1"/>
  <c r="BE406" i="1"/>
  <c r="BE108" i="1"/>
  <c r="BE363" i="1"/>
  <c r="BF336" i="1"/>
  <c r="BF653" i="1"/>
  <c r="BF228" i="1"/>
  <c r="BE145" i="1"/>
  <c r="BE189" i="1"/>
  <c r="BF189" i="1"/>
  <c r="E2" i="1" l="1"/>
  <c r="DK2" i="1" s="1"/>
  <c r="E4" i="1"/>
  <c r="E3" i="1"/>
  <c r="F2" i="1"/>
  <c r="DK3" i="1" s="1"/>
  <c r="F3" i="1"/>
  <c r="DL3" i="1" s="1"/>
  <c r="F4" i="1"/>
  <c r="DM3" i="1" s="1"/>
  <c r="DM2" i="1" l="1"/>
  <c r="DL2" i="1"/>
</calcChain>
</file>

<file path=xl/sharedStrings.xml><?xml version="1.0" encoding="utf-8"?>
<sst xmlns="http://schemas.openxmlformats.org/spreadsheetml/2006/main" count="178" uniqueCount="106">
  <si>
    <t>Constants</t>
  </si>
  <si>
    <t>Data selection</t>
  </si>
  <si>
    <t>Offset values</t>
  </si>
  <si>
    <t>Graph data</t>
  </si>
  <si>
    <t>Background start</t>
  </si>
  <si>
    <t>average</t>
  </si>
  <si>
    <t># Bg cycles</t>
  </si>
  <si>
    <t>+2σ</t>
  </si>
  <si>
    <t>Analysis start</t>
  </si>
  <si>
    <t>-2σ</t>
  </si>
  <si>
    <t>n</t>
  </si>
  <si>
    <t># Analysis cycles</t>
  </si>
  <si>
    <t>Neptune Analysis Data Report</t>
  </si>
  <si>
    <t>Run-Number-View</t>
  </si>
  <si>
    <t xml:space="preserve">Sample ID: </t>
  </si>
  <si>
    <t>Method Name: C:\Neptune\User\MIN12\Methods\laserSr200.met</t>
  </si>
  <si>
    <t xml:space="preserve">Wheel ID: </t>
  </si>
  <si>
    <t>Run number: 0</t>
  </si>
  <si>
    <t xml:space="preserve">Operator: </t>
  </si>
  <si>
    <t xml:space="preserve">Instrument: </t>
  </si>
  <si>
    <t xml:space="preserve">Comment: </t>
  </si>
  <si>
    <t>Data Version: 3.2.1.14 Preview_19</t>
  </si>
  <si>
    <t>Export Version: 3.2.1.14 Preview_19</t>
  </si>
  <si>
    <t>Cycle</t>
  </si>
  <si>
    <t>Time</t>
  </si>
  <si>
    <t>82Kr</t>
  </si>
  <si>
    <t>83Kr</t>
  </si>
  <si>
    <t>84Sr</t>
  </si>
  <si>
    <t>85Rb</t>
  </si>
  <si>
    <t>86Sr</t>
  </si>
  <si>
    <t>87Sr</t>
  </si>
  <si>
    <t>88Sr</t>
  </si>
  <si>
    <t>Date: 6/29/2017</t>
  </si>
  <si>
    <t>Analysis date: 6/29/2017</t>
  </si>
  <si>
    <t xml:space="preserve">Results </t>
  </si>
  <si>
    <t>168Yb</t>
  </si>
  <si>
    <t>170Yb</t>
  </si>
  <si>
    <t>171Yb</t>
  </si>
  <si>
    <t>172Yb</t>
  </si>
  <si>
    <t>173Yb</t>
  </si>
  <si>
    <t>174Yb</t>
  </si>
  <si>
    <t>176Yb</t>
  </si>
  <si>
    <t>Yb correction</t>
  </si>
  <si>
    <t>Er correction</t>
  </si>
  <si>
    <t>162Er</t>
  </si>
  <si>
    <t>164Er</t>
  </si>
  <si>
    <t>166Er</t>
  </si>
  <si>
    <t>167Er</t>
  </si>
  <si>
    <t>168Er</t>
  </si>
  <si>
    <t>170Er</t>
  </si>
  <si>
    <t>Rb and Mass Bias correction (NO REE)</t>
  </si>
  <si>
    <t>Rb and Mass Bias correction (REE)</t>
  </si>
  <si>
    <t>2sigma filter (NO REE)</t>
  </si>
  <si>
    <t>2sigma filter (REE)</t>
  </si>
  <si>
    <t>REE</t>
  </si>
  <si>
    <t>m/z 82* (V)</t>
  </si>
  <si>
    <t>m/z 83** (V)</t>
  </si>
  <si>
    <r>
      <t xml:space="preserve">mass </t>
    </r>
    <r>
      <rPr>
        <b/>
        <vertAlign val="superscript"/>
        <sz val="10"/>
        <rFont val="Calibri"/>
        <family val="2"/>
      </rPr>
      <t>85</t>
    </r>
    <r>
      <rPr>
        <b/>
        <sz val="10"/>
        <rFont val="Calibri"/>
        <family val="2"/>
      </rPr>
      <t>Rb</t>
    </r>
  </si>
  <si>
    <r>
      <t>87</t>
    </r>
    <r>
      <rPr>
        <b/>
        <sz val="10"/>
        <rFont val="Calibri"/>
        <family val="2"/>
      </rPr>
      <t>Sr/</t>
    </r>
    <r>
      <rPr>
        <b/>
        <vertAlign val="superscript"/>
        <sz val="10"/>
        <rFont val="Calibri"/>
        <family val="2"/>
      </rPr>
      <t>86</t>
    </r>
    <r>
      <rPr>
        <b/>
        <sz val="10"/>
        <rFont val="Calibri"/>
        <family val="2"/>
      </rPr>
      <t>Sr corr</t>
    </r>
  </si>
  <si>
    <r>
      <t xml:space="preserve">mass </t>
    </r>
    <r>
      <rPr>
        <b/>
        <vertAlign val="superscript"/>
        <sz val="10"/>
        <rFont val="Calibri"/>
        <family val="2"/>
      </rPr>
      <t>87</t>
    </r>
    <r>
      <rPr>
        <b/>
        <sz val="10"/>
        <rFont val="Calibri"/>
        <family val="2"/>
      </rPr>
      <t>Rb</t>
    </r>
  </si>
  <si>
    <r>
      <t>87</t>
    </r>
    <r>
      <rPr>
        <b/>
        <sz val="10"/>
        <rFont val="Calibri"/>
        <family val="2"/>
      </rPr>
      <t>Sr/</t>
    </r>
    <r>
      <rPr>
        <b/>
        <vertAlign val="superscript"/>
        <sz val="10"/>
        <rFont val="Calibri"/>
        <family val="2"/>
      </rPr>
      <t>86</t>
    </r>
    <r>
      <rPr>
        <b/>
        <sz val="10"/>
        <rFont val="Calibri"/>
        <family val="2"/>
      </rPr>
      <t>Sr 2se</t>
    </r>
  </si>
  <si>
    <r>
      <t xml:space="preserve">mass </t>
    </r>
    <r>
      <rPr>
        <b/>
        <vertAlign val="superscript"/>
        <sz val="10"/>
        <rFont val="Calibri"/>
        <family val="2"/>
      </rPr>
      <t>84</t>
    </r>
    <r>
      <rPr>
        <b/>
        <sz val="10"/>
        <rFont val="Calibri"/>
        <family val="2"/>
      </rPr>
      <t>Sr</t>
    </r>
  </si>
  <si>
    <r>
      <t xml:space="preserve">mass </t>
    </r>
    <r>
      <rPr>
        <b/>
        <vertAlign val="superscript"/>
        <sz val="10"/>
        <rFont val="Calibri"/>
        <family val="2"/>
      </rPr>
      <t>86</t>
    </r>
    <r>
      <rPr>
        <b/>
        <sz val="10"/>
        <rFont val="Calibri"/>
        <family val="2"/>
      </rPr>
      <t>Sr</t>
    </r>
  </si>
  <si>
    <r>
      <t>88</t>
    </r>
    <r>
      <rPr>
        <b/>
        <sz val="10"/>
        <rFont val="Calibri"/>
        <family val="2"/>
      </rPr>
      <t>Sr (V)</t>
    </r>
  </si>
  <si>
    <r>
      <t xml:space="preserve">mass </t>
    </r>
    <r>
      <rPr>
        <b/>
        <vertAlign val="superscript"/>
        <sz val="10"/>
        <rFont val="Calibri"/>
        <family val="2"/>
      </rPr>
      <t>87</t>
    </r>
    <r>
      <rPr>
        <b/>
        <sz val="10"/>
        <rFont val="Calibri"/>
        <family val="2"/>
      </rPr>
      <t>Sr</t>
    </r>
  </si>
  <si>
    <r>
      <t>84</t>
    </r>
    <r>
      <rPr>
        <b/>
        <sz val="10"/>
        <rFont val="Calibri"/>
        <family val="2"/>
      </rPr>
      <t>Sr/</t>
    </r>
    <r>
      <rPr>
        <b/>
        <vertAlign val="superscript"/>
        <sz val="10"/>
        <rFont val="Calibri"/>
        <family val="2"/>
      </rPr>
      <t>86</t>
    </r>
    <r>
      <rPr>
        <b/>
        <sz val="10"/>
        <rFont val="Calibri"/>
        <family val="2"/>
      </rPr>
      <t>Sr corr</t>
    </r>
  </si>
  <si>
    <r>
      <t xml:space="preserve">mass </t>
    </r>
    <r>
      <rPr>
        <b/>
        <vertAlign val="superscript"/>
        <sz val="10"/>
        <rFont val="Calibri"/>
        <family val="2"/>
      </rPr>
      <t>88</t>
    </r>
    <r>
      <rPr>
        <b/>
        <sz val="10"/>
        <rFont val="Calibri"/>
        <family val="2"/>
      </rPr>
      <t>Sr</t>
    </r>
  </si>
  <si>
    <r>
      <t>84</t>
    </r>
    <r>
      <rPr>
        <b/>
        <sz val="10"/>
        <rFont val="Calibri"/>
        <family val="2"/>
      </rPr>
      <t>Sr/</t>
    </r>
    <r>
      <rPr>
        <b/>
        <vertAlign val="superscript"/>
        <sz val="10"/>
        <rFont val="Calibri"/>
        <family val="2"/>
      </rPr>
      <t>86</t>
    </r>
    <r>
      <rPr>
        <b/>
        <sz val="10"/>
        <rFont val="Calibri"/>
        <family val="2"/>
      </rPr>
      <t>Sr 2se</t>
    </r>
  </si>
  <si>
    <r>
      <t>87</t>
    </r>
    <r>
      <rPr>
        <b/>
        <sz val="10"/>
        <rFont val="Calibri"/>
        <family val="2"/>
      </rPr>
      <t>Rb/</t>
    </r>
    <r>
      <rPr>
        <b/>
        <vertAlign val="superscript"/>
        <sz val="10"/>
        <rFont val="Calibri"/>
        <family val="2"/>
      </rPr>
      <t>85</t>
    </r>
    <r>
      <rPr>
        <b/>
        <sz val="10"/>
        <rFont val="Calibri"/>
        <family val="2"/>
      </rPr>
      <t>Rb true</t>
    </r>
  </si>
  <si>
    <r>
      <rPr>
        <b/>
        <vertAlign val="superscript"/>
        <sz val="10"/>
        <rFont val="Calibri"/>
        <family val="2"/>
      </rPr>
      <t>85</t>
    </r>
    <r>
      <rPr>
        <b/>
        <sz val="10"/>
        <rFont val="Calibri"/>
        <family val="2"/>
      </rPr>
      <t>Rb/</t>
    </r>
    <r>
      <rPr>
        <b/>
        <vertAlign val="superscript"/>
        <sz val="10"/>
        <rFont val="Calibri"/>
        <family val="2"/>
      </rPr>
      <t>88</t>
    </r>
    <r>
      <rPr>
        <b/>
        <sz val="10"/>
        <rFont val="Calibri"/>
        <family val="2"/>
      </rPr>
      <t>Sr</t>
    </r>
  </si>
  <si>
    <r>
      <t>86</t>
    </r>
    <r>
      <rPr>
        <b/>
        <sz val="10"/>
        <rFont val="Calibri"/>
        <family val="2"/>
      </rPr>
      <t>Kr/</t>
    </r>
    <r>
      <rPr>
        <b/>
        <vertAlign val="superscript"/>
        <sz val="10"/>
        <rFont val="Calibri"/>
        <family val="2"/>
      </rPr>
      <t>83</t>
    </r>
    <r>
      <rPr>
        <b/>
        <sz val="10"/>
        <rFont val="Calibri"/>
        <family val="2"/>
      </rPr>
      <t>Kr_true</t>
    </r>
  </si>
  <si>
    <r>
      <t>88</t>
    </r>
    <r>
      <rPr>
        <b/>
        <sz val="10"/>
        <rFont val="Calibri"/>
        <family val="2"/>
      </rPr>
      <t>Sr/</t>
    </r>
    <r>
      <rPr>
        <b/>
        <vertAlign val="superscript"/>
        <sz val="10"/>
        <rFont val="Calibri"/>
        <family val="2"/>
      </rPr>
      <t>86</t>
    </r>
    <r>
      <rPr>
        <b/>
        <sz val="10"/>
        <rFont val="Calibri"/>
        <family val="2"/>
      </rPr>
      <t>Sr_true</t>
    </r>
  </si>
  <si>
    <r>
      <rPr>
        <b/>
        <vertAlign val="superscript"/>
        <sz val="10"/>
        <rFont val="Calibri"/>
        <family val="2"/>
      </rPr>
      <t>173</t>
    </r>
    <r>
      <rPr>
        <b/>
        <sz val="10"/>
        <rFont val="Calibri"/>
        <family val="2"/>
      </rPr>
      <t>Yb</t>
    </r>
    <r>
      <rPr>
        <b/>
        <vertAlign val="superscript"/>
        <sz val="10"/>
        <rFont val="Calibri"/>
        <family val="2"/>
      </rPr>
      <t>++</t>
    </r>
    <r>
      <rPr>
        <b/>
        <sz val="10"/>
        <rFont val="Calibri"/>
        <family val="2"/>
      </rPr>
      <t xml:space="preserve"> (V)</t>
    </r>
  </si>
  <si>
    <r>
      <t xml:space="preserve">exp1 </t>
    </r>
    <r>
      <rPr>
        <sz val="6"/>
        <rFont val="Calibri"/>
        <family val="2"/>
      </rPr>
      <t>ln(mass87Rb/mass85Rb)/ ln(mass88Sr/mass86Sr)</t>
    </r>
  </si>
  <si>
    <r>
      <t xml:space="preserve">exp2 </t>
    </r>
    <r>
      <rPr>
        <sz val="6"/>
        <rFont val="Calibri"/>
        <family val="2"/>
      </rPr>
      <t>ln(mass87Sr/mass86Sr)/ ln(mass88Sr/mass86Sr)</t>
    </r>
  </si>
  <si>
    <r>
      <t xml:space="preserve">exp3 </t>
    </r>
    <r>
      <rPr>
        <sz val="6"/>
        <rFont val="Calibri"/>
        <family val="2"/>
      </rPr>
      <t>ln(mass84Sr/mass86Sr)/ ln(mass88Sr/mass86Sr)</t>
    </r>
  </si>
  <si>
    <r>
      <t xml:space="preserve">Background stripped masses </t>
    </r>
    <r>
      <rPr>
        <i/>
        <sz val="10"/>
        <rFont val="Calibri"/>
        <family val="2"/>
      </rPr>
      <t>(select the background interval)</t>
    </r>
  </si>
  <si>
    <r>
      <t>82</t>
    </r>
    <r>
      <rPr>
        <b/>
        <sz val="10"/>
        <rFont val="Calibri"/>
        <family val="2"/>
      </rPr>
      <t>Kr</t>
    </r>
  </si>
  <si>
    <r>
      <t>83</t>
    </r>
    <r>
      <rPr>
        <b/>
        <sz val="10"/>
        <rFont val="Calibri"/>
        <family val="2"/>
      </rPr>
      <t>Kr</t>
    </r>
  </si>
  <si>
    <r>
      <t>84</t>
    </r>
    <r>
      <rPr>
        <b/>
        <sz val="10"/>
        <rFont val="Calibri"/>
        <family val="2"/>
      </rPr>
      <t>Sr</t>
    </r>
  </si>
  <si>
    <r>
      <t>85</t>
    </r>
    <r>
      <rPr>
        <b/>
        <sz val="10"/>
        <rFont val="Calibri"/>
        <family val="2"/>
      </rPr>
      <t>Rb</t>
    </r>
  </si>
  <si>
    <r>
      <t>86</t>
    </r>
    <r>
      <rPr>
        <b/>
        <sz val="10"/>
        <rFont val="Calibri"/>
        <family val="2"/>
      </rPr>
      <t>Sr</t>
    </r>
  </si>
  <si>
    <r>
      <t>173</t>
    </r>
    <r>
      <rPr>
        <b/>
        <sz val="10"/>
        <rFont val="Calibri"/>
        <family val="2"/>
      </rPr>
      <t>Yb</t>
    </r>
  </si>
  <si>
    <r>
      <t>87</t>
    </r>
    <r>
      <rPr>
        <b/>
        <sz val="10"/>
        <rFont val="Calibri"/>
        <family val="2"/>
      </rPr>
      <t>Sr</t>
    </r>
  </si>
  <si>
    <r>
      <t>88</t>
    </r>
    <r>
      <rPr>
        <b/>
        <sz val="10"/>
        <rFont val="Calibri"/>
        <family val="2"/>
      </rPr>
      <t>Sr</t>
    </r>
  </si>
  <si>
    <r>
      <t>88</t>
    </r>
    <r>
      <rPr>
        <b/>
        <sz val="10"/>
        <rFont val="Calibri"/>
        <family val="2"/>
      </rPr>
      <t>Sr/</t>
    </r>
    <r>
      <rPr>
        <b/>
        <vertAlign val="superscript"/>
        <sz val="10"/>
        <rFont val="Calibri"/>
        <family val="2"/>
      </rPr>
      <t>86</t>
    </r>
    <r>
      <rPr>
        <b/>
        <sz val="10"/>
        <rFont val="Calibri"/>
        <family val="2"/>
      </rPr>
      <t>Sr</t>
    </r>
  </si>
  <si>
    <r>
      <t>87</t>
    </r>
    <r>
      <rPr>
        <b/>
        <sz val="10"/>
        <rFont val="Calibri"/>
        <family val="2"/>
      </rPr>
      <t>Rb/</t>
    </r>
    <r>
      <rPr>
        <b/>
        <vertAlign val="superscript"/>
        <sz val="10"/>
        <rFont val="Calibri"/>
        <family val="2"/>
      </rPr>
      <t>85</t>
    </r>
    <r>
      <rPr>
        <b/>
        <sz val="10"/>
        <rFont val="Calibri"/>
        <family val="2"/>
      </rPr>
      <t>Rb</t>
    </r>
  </si>
  <si>
    <r>
      <t>87</t>
    </r>
    <r>
      <rPr>
        <b/>
        <sz val="10"/>
        <rFont val="Calibri"/>
        <family val="2"/>
      </rPr>
      <t>Rb</t>
    </r>
  </si>
  <si>
    <r>
      <t>87</t>
    </r>
    <r>
      <rPr>
        <b/>
        <sz val="10"/>
        <rFont val="Calibri"/>
        <family val="2"/>
      </rPr>
      <t>Sr/</t>
    </r>
    <r>
      <rPr>
        <b/>
        <vertAlign val="superscript"/>
        <sz val="10"/>
        <rFont val="Calibri"/>
        <family val="2"/>
      </rPr>
      <t>86</t>
    </r>
    <r>
      <rPr>
        <b/>
        <sz val="10"/>
        <rFont val="Calibri"/>
        <family val="2"/>
      </rPr>
      <t>Sr filtered</t>
    </r>
  </si>
  <si>
    <r>
      <t>87</t>
    </r>
    <r>
      <rPr>
        <b/>
        <sz val="10"/>
        <rFont val="Calibri"/>
        <family val="2"/>
      </rPr>
      <t>Sr/</t>
    </r>
    <r>
      <rPr>
        <b/>
        <vertAlign val="superscript"/>
        <sz val="10"/>
        <rFont val="Calibri"/>
        <family val="2"/>
      </rPr>
      <t>86</t>
    </r>
    <r>
      <rPr>
        <b/>
        <sz val="10"/>
        <rFont val="Calibri"/>
        <family val="2"/>
      </rPr>
      <t>Sr filtered (graph)</t>
    </r>
  </si>
  <si>
    <r>
      <t>84</t>
    </r>
    <r>
      <rPr>
        <b/>
        <sz val="10"/>
        <rFont val="Calibri"/>
        <family val="2"/>
      </rPr>
      <t>Sr (V)</t>
    </r>
  </si>
  <si>
    <r>
      <t>85</t>
    </r>
    <r>
      <rPr>
        <b/>
        <sz val="10"/>
        <rFont val="Calibri"/>
        <family val="2"/>
      </rPr>
      <t>Rb (V)</t>
    </r>
  </si>
  <si>
    <r>
      <t>86</t>
    </r>
    <r>
      <rPr>
        <b/>
        <sz val="10"/>
        <rFont val="Calibri"/>
        <family val="2"/>
      </rPr>
      <t>Sr (V)</t>
    </r>
  </si>
  <si>
    <r>
      <t>87</t>
    </r>
    <r>
      <rPr>
        <b/>
        <sz val="10"/>
        <rFont val="Calibri"/>
        <family val="2"/>
      </rPr>
      <t>Sr (V)</t>
    </r>
  </si>
  <si>
    <t>Sr (V)</t>
  </si>
  <si>
    <r>
      <t xml:space="preserve">* m/z 82 = </t>
    </r>
    <r>
      <rPr>
        <vertAlign val="superscript"/>
        <sz val="9"/>
        <rFont val="Calibri"/>
        <family val="2"/>
      </rPr>
      <t>164</t>
    </r>
    <r>
      <rPr>
        <sz val="9"/>
        <rFont val="Calibri"/>
        <family val="2"/>
      </rPr>
      <t>Er</t>
    </r>
    <r>
      <rPr>
        <vertAlign val="superscript"/>
        <sz val="9"/>
        <rFont val="Calibri"/>
        <family val="2"/>
      </rPr>
      <t>++</t>
    </r>
    <r>
      <rPr>
        <vertAlign val="subscript"/>
        <sz val="9"/>
        <rFont val="Calibri"/>
        <family val="2"/>
      </rPr>
      <t xml:space="preserve">(1.61%) </t>
    </r>
    <r>
      <rPr>
        <sz val="9"/>
        <rFont val="Calibri"/>
        <family val="2"/>
      </rPr>
      <t xml:space="preserve">+ </t>
    </r>
    <r>
      <rPr>
        <vertAlign val="superscript"/>
        <sz val="9"/>
        <rFont val="Calibri"/>
        <family val="2"/>
      </rPr>
      <t>164</t>
    </r>
    <r>
      <rPr>
        <sz val="9"/>
        <rFont val="Calibri"/>
        <family val="2"/>
      </rPr>
      <t>Dy</t>
    </r>
    <r>
      <rPr>
        <vertAlign val="superscript"/>
        <sz val="9"/>
        <rFont val="Calibri"/>
        <family val="2"/>
      </rPr>
      <t>++</t>
    </r>
    <r>
      <rPr>
        <vertAlign val="subscript"/>
        <sz val="9"/>
        <rFont val="Calibri"/>
        <family val="2"/>
      </rPr>
      <t>(28.2%)</t>
    </r>
    <r>
      <rPr>
        <sz val="9"/>
        <rFont val="Calibri"/>
        <family val="2"/>
      </rPr>
      <t xml:space="preserve"> + </t>
    </r>
    <r>
      <rPr>
        <vertAlign val="superscript"/>
        <sz val="9"/>
        <rFont val="Calibri"/>
        <family val="2"/>
      </rPr>
      <t>40</t>
    </r>
    <r>
      <rPr>
        <sz val="9"/>
        <rFont val="Calibri"/>
        <family val="2"/>
      </rPr>
      <t>Ar</t>
    </r>
    <r>
      <rPr>
        <vertAlign val="superscript"/>
        <sz val="9"/>
        <rFont val="Calibri"/>
        <family val="2"/>
      </rPr>
      <t>42</t>
    </r>
    <r>
      <rPr>
        <sz val="9"/>
        <rFont val="Calibri"/>
        <family val="2"/>
      </rPr>
      <t>Ca +</t>
    </r>
    <r>
      <rPr>
        <vertAlign val="superscript"/>
        <sz val="9"/>
        <rFont val="Calibri"/>
        <family val="2"/>
      </rPr>
      <t xml:space="preserve"> 40</t>
    </r>
    <r>
      <rPr>
        <sz val="9"/>
        <rFont val="Calibri"/>
        <family val="2"/>
      </rPr>
      <t>Ca</t>
    </r>
    <r>
      <rPr>
        <vertAlign val="superscript"/>
        <sz val="9"/>
        <rFont val="Calibri"/>
        <family val="2"/>
      </rPr>
      <t>42</t>
    </r>
    <r>
      <rPr>
        <sz val="9"/>
        <rFont val="Calibri"/>
        <family val="2"/>
      </rPr>
      <t>Ca</t>
    </r>
  </si>
  <si>
    <r>
      <t xml:space="preserve">** m/z 83 = </t>
    </r>
    <r>
      <rPr>
        <vertAlign val="superscript"/>
        <sz val="9"/>
        <rFont val="Calibri"/>
        <family val="2"/>
      </rPr>
      <t>166</t>
    </r>
    <r>
      <rPr>
        <sz val="9"/>
        <rFont val="Calibri"/>
        <family val="2"/>
      </rPr>
      <t>Er</t>
    </r>
    <r>
      <rPr>
        <vertAlign val="superscript"/>
        <sz val="9"/>
        <rFont val="Calibri"/>
        <family val="2"/>
      </rPr>
      <t>++</t>
    </r>
    <r>
      <rPr>
        <vertAlign val="subscript"/>
        <sz val="9"/>
        <rFont val="Calibri"/>
        <family val="2"/>
      </rPr>
      <t>(33.6%)</t>
    </r>
    <r>
      <rPr>
        <sz val="9"/>
        <rFont val="Calibri"/>
        <family val="2"/>
      </rPr>
      <t xml:space="preserve"> + </t>
    </r>
    <r>
      <rPr>
        <vertAlign val="superscript"/>
        <sz val="9"/>
        <rFont val="Calibri"/>
        <family val="2"/>
      </rPr>
      <t>40</t>
    </r>
    <r>
      <rPr>
        <sz val="9"/>
        <rFont val="Calibri"/>
        <family val="2"/>
      </rPr>
      <t>Ar</t>
    </r>
    <r>
      <rPr>
        <vertAlign val="superscript"/>
        <sz val="9"/>
        <rFont val="Calibri"/>
        <family val="2"/>
      </rPr>
      <t>43</t>
    </r>
    <r>
      <rPr>
        <sz val="9"/>
        <rFont val="Calibri"/>
        <family val="2"/>
      </rPr>
      <t>Ca +</t>
    </r>
    <r>
      <rPr>
        <vertAlign val="superscript"/>
        <sz val="9"/>
        <rFont val="Calibri"/>
        <family val="2"/>
      </rPr>
      <t xml:space="preserve"> 40</t>
    </r>
    <r>
      <rPr>
        <sz val="9"/>
        <rFont val="Calibri"/>
        <family val="2"/>
      </rPr>
      <t>Ca</t>
    </r>
    <r>
      <rPr>
        <vertAlign val="superscript"/>
        <sz val="9"/>
        <rFont val="Calibri"/>
        <family val="2"/>
      </rPr>
      <t>43</t>
    </r>
    <r>
      <rPr>
        <sz val="9"/>
        <rFont val="Calibri"/>
        <family val="2"/>
      </rPr>
      <t>Ca</t>
    </r>
  </si>
  <si>
    <r>
      <rPr>
        <b/>
        <i/>
        <sz val="10"/>
        <rFont val="Calibri"/>
        <family val="2"/>
      </rPr>
      <t>r</t>
    </r>
    <r>
      <rPr>
        <b/>
        <vertAlign val="superscript"/>
        <sz val="10"/>
        <rFont val="Calibri"/>
        <family val="2"/>
      </rPr>
      <t>2</t>
    </r>
    <r>
      <rPr>
        <sz val="10"/>
        <rFont val="Calibri"/>
        <family val="2"/>
      </rPr>
      <t xml:space="preserve"> </t>
    </r>
    <r>
      <rPr>
        <i/>
        <sz val="10"/>
        <rFont val="Calibri"/>
        <family val="2"/>
      </rPr>
      <t>(m/z 82 vs. m/z 86.5)</t>
    </r>
  </si>
  <si>
    <t>Filename: C:\Neptune\User\MIN12\Data\29-6-17\Line17-roan.dat</t>
  </si>
  <si>
    <t>Analysis time: 11:54:57 AM</t>
  </si>
  <si>
    <r>
      <rPr>
        <b/>
        <i/>
        <sz val="10"/>
        <rFont val="Calibri"/>
        <family val="2"/>
      </rPr>
      <t>r</t>
    </r>
    <r>
      <rPr>
        <b/>
        <vertAlign val="superscript"/>
        <sz val="10"/>
        <rFont val="Calibri"/>
        <family val="2"/>
      </rPr>
      <t>2</t>
    </r>
    <r>
      <rPr>
        <sz val="10"/>
        <rFont val="Calibri"/>
        <family val="2"/>
      </rPr>
      <t xml:space="preserve"> </t>
    </r>
    <r>
      <rPr>
        <i/>
        <sz val="10"/>
        <rFont val="Calibri"/>
        <family val="2"/>
      </rPr>
      <t xml:space="preserve">(m/z </t>
    </r>
    <r>
      <rPr>
        <b/>
        <i/>
        <sz val="10"/>
        <rFont val="Calibri"/>
        <family val="2"/>
      </rPr>
      <t xml:space="preserve">82 </t>
    </r>
    <r>
      <rPr>
        <i/>
        <sz val="10"/>
        <rFont val="Calibri"/>
        <family val="2"/>
      </rPr>
      <t xml:space="preserve">vs. m/z </t>
    </r>
    <r>
      <rPr>
        <b/>
        <i/>
        <sz val="10"/>
        <rFont val="Calibri"/>
        <family val="2"/>
      </rPr>
      <t>88</t>
    </r>
    <r>
      <rPr>
        <i/>
        <sz val="10"/>
        <rFont val="Calibri"/>
        <family val="2"/>
      </rPr>
      <t>)</t>
    </r>
  </si>
  <si>
    <r>
      <t>Unc.</t>
    </r>
    <r>
      <rPr>
        <b/>
        <sz val="10"/>
        <rFont val="Calibri"/>
        <family val="2"/>
      </rPr>
      <t>†</t>
    </r>
  </si>
  <si>
    <t>†Corrected for background (and Kr), Rb and Sr. Not corrected for REE and ArCa+CaCa.</t>
  </si>
  <si>
    <t>Neptune - Version 4</t>
  </si>
  <si>
    <t>Name</t>
  </si>
  <si>
    <t>Type of correction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</si>
</sst>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0000"/>
    <numFmt numFmtId="165" formatCode="#"/>
    <numFmt numFmtId="166" formatCode="0.0"/>
    <numFmt numFmtId="167" formatCode="0.0000"/>
    <numFmt numFmtId="168" formatCode="0.000000"/>
    <numFmt numFmtId="169" formatCode="0.000000000000000%"/>
  </numFmts>
  <fonts count="28" x14ac:knownFonts="1">
    <font>
      <sz val="10"/>
      <name val="Arial"/>
      <family val="2"/>
      <charset val="1"/>
    </font>
    <font>
      <sz val="10"/>
      <name val="Arial"/>
      <family val="2"/>
      <charset val="1"/>
    </font>
    <font>
      <b/>
      <sz val="10"/>
      <name val="Calibri"/>
      <family val="2"/>
    </font>
    <font>
      <b/>
      <vertAlign val="superscript"/>
      <sz val="10"/>
      <name val="Calibri"/>
      <family val="2"/>
    </font>
    <font>
      <sz val="6"/>
      <name val="Calibri"/>
      <family val="2"/>
    </font>
    <font>
      <i/>
      <sz val="10"/>
      <name val="Calibri"/>
      <family val="2"/>
    </font>
    <font>
      <sz val="10"/>
      <name val="Calibri"/>
      <family val="2"/>
    </font>
    <font>
      <b/>
      <i/>
      <sz val="10"/>
      <name val="Calibri"/>
      <family val="2"/>
    </font>
    <font>
      <sz val="9"/>
      <name val="Calibri"/>
      <family val="2"/>
    </font>
    <font>
      <b/>
      <sz val="12"/>
      <name val="Calibri"/>
      <family val="2"/>
    </font>
    <font>
      <vertAlign val="superscript"/>
      <sz val="9"/>
      <name val="Calibri"/>
      <family val="2"/>
    </font>
    <font>
      <vertAlign val="subscript"/>
      <sz val="9"/>
      <name val="Calibri"/>
      <family val="2"/>
    </font>
    <font>
      <b/>
      <sz val="11"/>
      <name val="Arial"/>
      <family val="2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6"/>
      <name val="Calibri"/>
      <family val="2"/>
      <scheme val="minor"/>
    </font>
    <font>
      <sz val="10"/>
      <color indexed="8"/>
      <name val="Calibri"/>
      <family val="2"/>
      <scheme val="minor"/>
    </font>
    <font>
      <sz val="11"/>
      <name val="Calibri"/>
      <family val="2"/>
      <scheme val="minor"/>
    </font>
    <font>
      <b/>
      <vertAlign val="superscript"/>
      <sz val="10"/>
      <name val="Calibri"/>
      <family val="2"/>
      <scheme val="minor"/>
    </font>
    <font>
      <b/>
      <sz val="8"/>
      <name val="Calibri"/>
      <family val="2"/>
      <scheme val="minor"/>
    </font>
    <font>
      <i/>
      <sz val="8"/>
      <name val="Calibri"/>
      <family val="2"/>
      <scheme val="minor"/>
    </font>
    <font>
      <sz val="6"/>
      <name val="Calibri"/>
      <family val="2"/>
      <scheme val="minor"/>
    </font>
    <font>
      <sz val="9"/>
      <name val="Calibri"/>
      <family val="2"/>
      <scheme val="minor"/>
    </font>
    <font>
      <i/>
      <sz val="10"/>
      <name val="Calibri"/>
      <family val="2"/>
      <scheme val="minor"/>
    </font>
    <font>
      <b/>
      <i/>
      <sz val="1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13"/>
        <bgColor indexed="34"/>
      </patternFill>
    </fill>
    <fill>
      <patternFill patternType="solid">
        <fgColor indexed="51"/>
        <bgColor indexed="13"/>
      </patternFill>
    </fill>
    <fill>
      <patternFill patternType="solid">
        <fgColor indexed="11"/>
        <bgColor indexed="49"/>
      </patternFill>
    </fill>
    <fill>
      <patternFill patternType="solid">
        <fgColor indexed="49"/>
        <bgColor indexed="11"/>
      </patternFill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11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6">
    <xf numFmtId="0" fontId="0" fillId="0" borderId="0"/>
    <xf numFmtId="0" fontId="1" fillId="0" borderId="0"/>
    <xf numFmtId="0" fontId="14" fillId="7" borderId="9" applyNumberFormat="0" applyAlignment="0" applyProtection="0"/>
    <xf numFmtId="0" fontId="13" fillId="0" borderId="0"/>
    <xf numFmtId="0" fontId="13" fillId="8" borderId="10" applyNumberFormat="0" applyFont="0" applyAlignment="0" applyProtection="0"/>
    <xf numFmtId="0" fontId="15" fillId="6" borderId="11" applyNumberFormat="0" applyAlignment="0" applyProtection="0"/>
  </cellStyleXfs>
  <cellXfs count="100">
    <xf numFmtId="0" fontId="0" fillId="0" borderId="0" xfId="0"/>
    <xf numFmtId="0" fontId="0" fillId="0" borderId="0" xfId="0" applyFill="1"/>
    <xf numFmtId="0" fontId="16" fillId="0" borderId="0" xfId="1" applyFont="1" applyFill="1" applyBorder="1" applyAlignment="1">
      <alignment horizontal="center"/>
    </xf>
    <xf numFmtId="0" fontId="17" fillId="0" borderId="0" xfId="0" applyFont="1"/>
    <xf numFmtId="0" fontId="18" fillId="2" borderId="1" xfId="0" applyFont="1" applyFill="1" applyBorder="1" applyAlignment="1">
      <alignment horizontal="center" vertical="center"/>
    </xf>
    <xf numFmtId="0" fontId="17" fillId="0" borderId="0" xfId="0" applyFont="1" applyBorder="1" applyAlignment="1"/>
    <xf numFmtId="0" fontId="16" fillId="3" borderId="2" xfId="0" applyFont="1" applyFill="1" applyBorder="1" applyAlignment="1">
      <alignment horizontal="center"/>
    </xf>
    <xf numFmtId="165" fontId="19" fillId="3" borderId="2" xfId="0" applyNumberFormat="1" applyFont="1" applyFill="1" applyBorder="1" applyAlignment="1">
      <alignment horizontal="center"/>
    </xf>
    <xf numFmtId="0" fontId="16" fillId="4" borderId="2" xfId="0" applyFont="1" applyFill="1" applyBorder="1" applyAlignment="1">
      <alignment horizontal="center"/>
    </xf>
    <xf numFmtId="165" fontId="19" fillId="4" borderId="2" xfId="0" applyNumberFormat="1" applyFont="1" applyFill="1" applyBorder="1" applyAlignment="1">
      <alignment horizontal="center"/>
    </xf>
    <xf numFmtId="164" fontId="17" fillId="0" borderId="0" xfId="0" applyNumberFormat="1" applyFont="1"/>
    <xf numFmtId="0" fontId="13" fillId="0" borderId="0" xfId="3" applyFont="1"/>
    <xf numFmtId="0" fontId="17" fillId="0" borderId="0" xfId="0" applyFont="1" applyAlignment="1">
      <alignment horizontal="center"/>
    </xf>
    <xf numFmtId="11" fontId="17" fillId="0" borderId="0" xfId="0" applyNumberFormat="1" applyFont="1"/>
    <xf numFmtId="0" fontId="20" fillId="0" borderId="0" xfId="1" applyFont="1" applyBorder="1" applyAlignment="1">
      <alignment horizontal="left"/>
    </xf>
    <xf numFmtId="0" fontId="16" fillId="0" borderId="0" xfId="0" applyFont="1"/>
    <xf numFmtId="0" fontId="21" fillId="0" borderId="0" xfId="0" applyFont="1" applyAlignment="1">
      <alignment horizontal="center"/>
    </xf>
    <xf numFmtId="0" fontId="21" fillId="2" borderId="0" xfId="0" applyFont="1" applyFill="1" applyAlignment="1">
      <alignment horizontal="center"/>
    </xf>
    <xf numFmtId="0" fontId="21" fillId="5" borderId="0" xfId="0" applyFont="1" applyFill="1" applyAlignment="1">
      <alignment horizontal="center"/>
    </xf>
    <xf numFmtId="11" fontId="13" fillId="0" borderId="0" xfId="3" applyNumberFormat="1" applyFont="1"/>
    <xf numFmtId="2" fontId="17" fillId="0" borderId="0" xfId="0" applyNumberFormat="1" applyFont="1"/>
    <xf numFmtId="0" fontId="21" fillId="0" borderId="0" xfId="0" applyFont="1" applyFill="1" applyAlignment="1">
      <alignment horizontal="center"/>
    </xf>
    <xf numFmtId="0" fontId="17" fillId="9" borderId="0" xfId="0" applyFont="1" applyFill="1"/>
    <xf numFmtId="0" fontId="17" fillId="9" borderId="0" xfId="1" applyFont="1" applyFill="1" applyBorder="1" applyAlignment="1">
      <alignment horizontal="center"/>
    </xf>
    <xf numFmtId="0" fontId="16" fillId="9" borderId="2" xfId="0" applyFont="1" applyFill="1" applyBorder="1" applyAlignment="1">
      <alignment horizontal="center"/>
    </xf>
    <xf numFmtId="167" fontId="17" fillId="9" borderId="0" xfId="0" applyNumberFormat="1" applyFont="1" applyFill="1" applyBorder="1" applyAlignment="1">
      <alignment horizontal="right"/>
    </xf>
    <xf numFmtId="168" fontId="17" fillId="9" borderId="0" xfId="1" applyNumberFormat="1" applyFont="1" applyFill="1" applyBorder="1" applyAlignment="1">
      <alignment horizontal="center" vertical="center"/>
    </xf>
    <xf numFmtId="0" fontId="22" fillId="9" borderId="0" xfId="0" applyFont="1" applyFill="1" applyBorder="1" applyAlignment="1">
      <alignment horizontal="center" vertical="center" wrapText="1"/>
    </xf>
    <xf numFmtId="164" fontId="16" fillId="9" borderId="0" xfId="0" applyNumberFormat="1" applyFont="1" applyFill="1" applyBorder="1" applyAlignment="1">
      <alignment horizontal="right"/>
    </xf>
    <xf numFmtId="0" fontId="16" fillId="9" borderId="0" xfId="0" applyFont="1" applyFill="1" applyBorder="1" applyAlignment="1">
      <alignment horizontal="left"/>
    </xf>
    <xf numFmtId="164" fontId="17" fillId="9" borderId="0" xfId="0" applyNumberFormat="1" applyFont="1" applyFill="1" applyBorder="1"/>
    <xf numFmtId="0" fontId="16" fillId="9" borderId="3" xfId="0" applyFont="1" applyFill="1" applyBorder="1" applyAlignment="1">
      <alignment vertical="center" textRotation="180"/>
    </xf>
    <xf numFmtId="1" fontId="17" fillId="9" borderId="0" xfId="0" applyNumberFormat="1" applyFont="1" applyFill="1" applyBorder="1" applyAlignment="1">
      <alignment horizontal="right"/>
    </xf>
    <xf numFmtId="0" fontId="17" fillId="9" borderId="0" xfId="0" applyFont="1" applyFill="1" applyBorder="1"/>
    <xf numFmtId="2" fontId="17" fillId="9" borderId="0" xfId="0" applyNumberFormat="1" applyFont="1" applyFill="1" applyBorder="1"/>
    <xf numFmtId="0" fontId="17" fillId="9" borderId="0" xfId="0" applyFont="1" applyFill="1" applyBorder="1" applyAlignment="1">
      <alignment horizontal="left"/>
    </xf>
    <xf numFmtId="164" fontId="17" fillId="9" borderId="0" xfId="0" applyNumberFormat="1" applyFont="1" applyFill="1"/>
    <xf numFmtId="1" fontId="17" fillId="9" borderId="0" xfId="0" applyNumberFormat="1" applyFont="1" applyFill="1"/>
    <xf numFmtId="166" fontId="17" fillId="9" borderId="0" xfId="0" applyNumberFormat="1" applyFont="1" applyFill="1"/>
    <xf numFmtId="167" fontId="17" fillId="9" borderId="0" xfId="0" applyNumberFormat="1" applyFont="1" applyFill="1"/>
    <xf numFmtId="0" fontId="22" fillId="9" borderId="0" xfId="0" applyFont="1" applyFill="1" applyBorder="1" applyAlignment="1">
      <alignment horizontal="center" vertical="center"/>
    </xf>
    <xf numFmtId="164" fontId="16" fillId="9" borderId="0" xfId="0" applyNumberFormat="1" applyFont="1" applyFill="1" applyBorder="1"/>
    <xf numFmtId="1" fontId="16" fillId="9" borderId="0" xfId="0" applyNumberFormat="1" applyFont="1" applyFill="1" applyBorder="1"/>
    <xf numFmtId="0" fontId="16" fillId="9" borderId="0" xfId="0" applyFont="1" applyFill="1" applyBorder="1"/>
    <xf numFmtId="166" fontId="16" fillId="9" borderId="0" xfId="0" applyNumberFormat="1" applyFont="1" applyFill="1" applyBorder="1"/>
    <xf numFmtId="167" fontId="16" fillId="9" borderId="0" xfId="0" applyNumberFormat="1" applyFont="1" applyFill="1" applyBorder="1"/>
    <xf numFmtId="0" fontId="23" fillId="9" borderId="0" xfId="0" applyFont="1" applyFill="1" applyBorder="1" applyAlignment="1">
      <alignment horizontal="center" vertical="center"/>
    </xf>
    <xf numFmtId="0" fontId="16" fillId="9" borderId="0" xfId="0" applyFont="1" applyFill="1" applyBorder="1" applyAlignment="1">
      <alignment horizontal="center" vertical="center" wrapText="1"/>
    </xf>
    <xf numFmtId="0" fontId="24" fillId="9" borderId="4" xfId="0" applyFont="1" applyFill="1" applyBorder="1" applyAlignment="1">
      <alignment horizontal="center" vertical="center"/>
    </xf>
    <xf numFmtId="0" fontId="24" fillId="9" borderId="1" xfId="0" applyFont="1" applyFill="1" applyBorder="1" applyAlignment="1">
      <alignment horizontal="center" vertical="center"/>
    </xf>
    <xf numFmtId="164" fontId="17" fillId="9" borderId="2" xfId="0" applyNumberFormat="1" applyFont="1" applyFill="1" applyBorder="1"/>
    <xf numFmtId="0" fontId="17" fillId="9" borderId="2" xfId="0" applyFont="1" applyFill="1" applyBorder="1" applyAlignment="1">
      <alignment horizontal="center"/>
    </xf>
    <xf numFmtId="0" fontId="16" fillId="9" borderId="0" xfId="0" applyFont="1" applyFill="1" applyAlignment="1">
      <alignment horizontal="center"/>
    </xf>
    <xf numFmtId="165" fontId="24" fillId="9" borderId="4" xfId="0" applyNumberFormat="1" applyFont="1" applyFill="1" applyBorder="1" applyAlignment="1">
      <alignment horizontal="center" vertical="center"/>
    </xf>
    <xf numFmtId="0" fontId="17" fillId="9" borderId="0" xfId="0" applyFont="1" applyFill="1" applyBorder="1" applyAlignment="1">
      <alignment horizontal="center"/>
    </xf>
    <xf numFmtId="0" fontId="16" fillId="9" borderId="2" xfId="1" applyFont="1" applyFill="1" applyBorder="1" applyAlignment="1">
      <alignment horizontal="center"/>
    </xf>
    <xf numFmtId="0" fontId="17" fillId="9" borderId="2" xfId="1" applyFont="1" applyFill="1" applyBorder="1" applyAlignment="1">
      <alignment horizontal="center"/>
    </xf>
    <xf numFmtId="0" fontId="21" fillId="9" borderId="2" xfId="1" applyFont="1" applyFill="1" applyBorder="1" applyAlignment="1">
      <alignment horizontal="center"/>
    </xf>
    <xf numFmtId="0" fontId="16" fillId="9" borderId="2" xfId="1" applyFont="1" applyFill="1" applyBorder="1" applyAlignment="1">
      <alignment horizontal="center" wrapText="1"/>
    </xf>
    <xf numFmtId="168" fontId="17" fillId="9" borderId="2" xfId="1" applyNumberFormat="1" applyFont="1" applyFill="1" applyBorder="1" applyAlignment="1">
      <alignment horizontal="center" vertical="center"/>
    </xf>
    <xf numFmtId="0" fontId="16" fillId="9" borderId="0" xfId="0" applyFont="1" applyFill="1" applyBorder="1" applyAlignment="1">
      <alignment horizontal="center"/>
    </xf>
    <xf numFmtId="0" fontId="13" fillId="9" borderId="0" xfId="3" applyFont="1" applyFill="1"/>
    <xf numFmtId="0" fontId="16" fillId="2" borderId="2" xfId="0" applyFont="1" applyFill="1" applyBorder="1" applyAlignment="1">
      <alignment horizontal="center" vertical="center"/>
    </xf>
    <xf numFmtId="0" fontId="17" fillId="9" borderId="0" xfId="0" applyFont="1" applyFill="1" applyBorder="1" applyAlignment="1"/>
    <xf numFmtId="169" fontId="17" fillId="9" borderId="0" xfId="0" applyNumberFormat="1" applyFont="1" applyFill="1"/>
    <xf numFmtId="0" fontId="25" fillId="9" borderId="0" xfId="0" applyFont="1" applyFill="1" applyBorder="1" applyAlignment="1">
      <alignment horizontal="left"/>
    </xf>
    <xf numFmtId="0" fontId="16" fillId="2" borderId="5" xfId="0" applyFont="1" applyFill="1" applyBorder="1" applyAlignment="1">
      <alignment horizontal="center" vertical="center"/>
    </xf>
    <xf numFmtId="0" fontId="16" fillId="2" borderId="6" xfId="0" applyFont="1" applyFill="1" applyBorder="1" applyAlignment="1">
      <alignment horizontal="center" vertical="center"/>
    </xf>
    <xf numFmtId="2" fontId="17" fillId="10" borderId="6" xfId="0" applyNumberFormat="1" applyFont="1" applyFill="1" applyBorder="1" applyAlignment="1">
      <alignment horizontal="center"/>
    </xf>
    <xf numFmtId="0" fontId="17" fillId="10" borderId="7" xfId="0" applyFont="1" applyFill="1" applyBorder="1" applyAlignment="1">
      <alignment horizontal="center"/>
    </xf>
    <xf numFmtId="0" fontId="13" fillId="0" borderId="0" xfId="3"/>
    <xf numFmtId="11" fontId="13" fillId="0" borderId="0" xfId="3" applyNumberFormat="1"/>
    <xf numFmtId="0" fontId="13" fillId="0" borderId="0" xfId="3"/>
    <xf numFmtId="11" fontId="13" fillId="0" borderId="0" xfId="3" applyNumberFormat="1"/>
    <xf numFmtId="0" fontId="6" fillId="10" borderId="7" xfId="0" applyFont="1" applyFill="1" applyBorder="1" applyAlignment="1">
      <alignment horizontal="center"/>
    </xf>
    <xf numFmtId="0" fontId="17" fillId="0" borderId="0" xfId="0" applyFont="1" applyFill="1"/>
    <xf numFmtId="168" fontId="25" fillId="9" borderId="0" xfId="0" applyNumberFormat="1" applyFont="1" applyFill="1"/>
    <xf numFmtId="0" fontId="26" fillId="0" borderId="0" xfId="0" applyFont="1" applyFill="1"/>
    <xf numFmtId="0" fontId="21" fillId="11" borderId="2" xfId="0" applyFont="1" applyFill="1" applyBorder="1" applyAlignment="1">
      <alignment horizontal="center" vertical="center"/>
    </xf>
    <xf numFmtId="164" fontId="16" fillId="11" borderId="5" xfId="0" applyNumberFormat="1" applyFont="1" applyFill="1" applyBorder="1" applyAlignment="1">
      <alignment horizontal="center" vertical="center"/>
    </xf>
    <xf numFmtId="164" fontId="16" fillId="11" borderId="2" xfId="0" applyNumberFormat="1" applyFont="1" applyFill="1" applyBorder="1" applyAlignment="1">
      <alignment horizontal="center" vertical="center"/>
    </xf>
    <xf numFmtId="0" fontId="21" fillId="12" borderId="2" xfId="0" applyFont="1" applyFill="1" applyBorder="1" applyAlignment="1">
      <alignment horizontal="center" vertical="center"/>
    </xf>
    <xf numFmtId="164" fontId="17" fillId="12" borderId="5" xfId="0" applyNumberFormat="1" applyFont="1" applyFill="1" applyBorder="1" applyAlignment="1">
      <alignment horizontal="center" vertical="center"/>
    </xf>
    <xf numFmtId="164" fontId="17" fillId="12" borderId="2" xfId="0" applyNumberFormat="1" applyFont="1" applyFill="1" applyBorder="1" applyAlignment="1">
      <alignment horizontal="center" vertical="center"/>
    </xf>
    <xf numFmtId="0" fontId="27" fillId="12" borderId="2" xfId="0" applyFont="1" applyFill="1" applyBorder="1" applyAlignment="1">
      <alignment horizontal="center" vertical="center"/>
    </xf>
    <xf numFmtId="0" fontId="17" fillId="12" borderId="5" xfId="0" applyFont="1" applyFill="1" applyBorder="1" applyAlignment="1">
      <alignment horizontal="center" vertical="center"/>
    </xf>
    <xf numFmtId="0" fontId="17" fillId="12" borderId="2" xfId="0" applyFont="1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/>
    </xf>
    <xf numFmtId="166" fontId="17" fillId="12" borderId="5" xfId="0" applyNumberFormat="1" applyFont="1" applyFill="1" applyBorder="1" applyAlignment="1">
      <alignment horizontal="center" vertical="center"/>
    </xf>
    <xf numFmtId="166" fontId="17" fillId="12" borderId="2" xfId="0" applyNumberFormat="1" applyFont="1" applyFill="1" applyBorder="1" applyAlignment="1">
      <alignment horizontal="center" vertical="center"/>
    </xf>
    <xf numFmtId="0" fontId="16" fillId="12" borderId="2" xfId="0" applyFont="1" applyFill="1" applyBorder="1" applyAlignment="1">
      <alignment horizontal="center" vertical="center"/>
    </xf>
    <xf numFmtId="167" fontId="17" fillId="12" borderId="5" xfId="0" applyNumberFormat="1" applyFont="1" applyFill="1" applyBorder="1" applyAlignment="1">
      <alignment horizontal="center" vertical="center"/>
    </xf>
    <xf numFmtId="167" fontId="17" fillId="12" borderId="2" xfId="0" applyNumberFormat="1" applyFont="1" applyFill="1" applyBorder="1" applyAlignment="1">
      <alignment horizontal="center" vertical="center"/>
    </xf>
    <xf numFmtId="167" fontId="17" fillId="12" borderId="2" xfId="0" applyNumberFormat="1" applyFont="1" applyFill="1" applyBorder="1" applyAlignment="1">
      <alignment horizontal="center" vertical="center" wrapText="1"/>
    </xf>
    <xf numFmtId="167" fontId="17" fillId="0" borderId="0" xfId="0" applyNumberFormat="1" applyFont="1"/>
    <xf numFmtId="165" fontId="17" fillId="0" borderId="0" xfId="0" applyNumberFormat="1" applyFont="1"/>
    <xf numFmtId="166" fontId="17" fillId="0" borderId="0" xfId="0" applyNumberFormat="1" applyFont="1"/>
    <xf numFmtId="0" fontId="16" fillId="2" borderId="2" xfId="1" applyFont="1" applyFill="1" applyBorder="1" applyAlignment="1">
      <alignment horizontal="center"/>
    </xf>
    <xf numFmtId="0" fontId="16" fillId="2" borderId="8" xfId="0" applyFont="1" applyFill="1" applyBorder="1" applyAlignment="1">
      <alignment horizontal="center"/>
    </xf>
    <xf numFmtId="0" fontId="16" fillId="13" borderId="2" xfId="0" applyFont="1" applyFill="1" applyBorder="1" applyAlignment="1">
      <alignment horizontal="center"/>
    </xf>
  </cellXfs>
  <cellStyles count="6">
    <cellStyle name="Excel Built-in Explanatory Text" xfId="1"/>
    <cellStyle name="Input" xfId="2" builtinId="20" customBuiltin="1"/>
    <cellStyle name="Normale" xfId="0" builtinId="0"/>
    <cellStyle name="Normale 2" xfId="3"/>
    <cellStyle name="Nota 2" xfId="4"/>
    <cellStyle name="Output" xfId="5" builtinId="2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66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B3B3B3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83CAFF"/>
      <rgbColor rgb="00FF99CC"/>
      <rgbColor rgb="00CC99FF"/>
      <rgbColor rgb="00FFCC99"/>
      <rgbColor rgb="003366FF"/>
      <rgbColor rgb="0033FF99"/>
      <rgbColor rgb="0099CC00"/>
      <rgbColor rgb="00FFCC00"/>
      <rgbColor rgb="00FF950E"/>
      <rgbColor rgb="00FF420E"/>
      <rgbColor rgb="00666699"/>
      <rgbColor rgb="00969696"/>
      <rgbColor rgb="00004586"/>
      <rgbColor rgb="00579D1C"/>
      <rgbColor rgb="00003300"/>
      <rgbColor rgb="00333300"/>
      <rgbColor rgb="00993300"/>
      <rgbColor rgb="00993366"/>
      <rgbColor rgb="004B1F6F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84053778991919"/>
          <c:y val="8.6669622061317397E-2"/>
          <c:w val="0.7740095345224709"/>
          <c:h val="0.68668948553113562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Data!$H$2</c:f>
              <c:strCache>
                <c:ptCount val="1"/>
                <c:pt idx="0">
                  <c:v>Background start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FF950E"/>
              </a:solidFill>
              <a:ln>
                <a:solidFill>
                  <a:schemeClr val="tx1"/>
                </a:solidFill>
                <a:prstDash val="solid"/>
              </a:ln>
            </c:spPr>
          </c:marker>
          <c:xVal>
            <c:numRef>
              <c:f>Data!$I$2</c:f>
              <c:numCache>
                <c:formatCode>#</c:formatCode>
                <c:ptCount val="1"/>
                <c:pt idx="0">
                  <c:v>1</c:v>
                </c:pt>
              </c:numCache>
            </c:numRef>
          </c:xVal>
          <c:yVal>
            <c:numRef>
              <c:f>Data!$K$2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Data!$H$3</c:f>
              <c:strCache>
                <c:ptCount val="1"/>
                <c:pt idx="0">
                  <c:v># Bg cycles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FF950E"/>
              </a:solidFill>
              <a:ln>
                <a:solidFill>
                  <a:schemeClr val="tx1"/>
                </a:solidFill>
                <a:prstDash val="solid"/>
              </a:ln>
            </c:spPr>
          </c:marker>
          <c:xVal>
            <c:numRef>
              <c:f>Data!$K$3</c:f>
              <c:numCache>
                <c:formatCode>General</c:formatCode>
                <c:ptCount val="1"/>
                <c:pt idx="0">
                  <c:v>51</c:v>
                </c:pt>
              </c:numCache>
            </c:numRef>
          </c:xVal>
          <c:yVal>
            <c:numRef>
              <c:f>Data!$K$2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Data!$H$4</c:f>
              <c:strCache>
                <c:ptCount val="1"/>
                <c:pt idx="0">
                  <c:v>Analysis start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00FF66"/>
              </a:solidFill>
              <a:ln>
                <a:solidFill>
                  <a:srgbClr val="00FF66"/>
                </a:solidFill>
                <a:prstDash val="solid"/>
              </a:ln>
            </c:spPr>
          </c:marker>
          <c:dPt>
            <c:idx val="0"/>
            <c:marker>
              <c:symbol val="triangle"/>
              <c:size val="7"/>
              <c:spPr>
                <a:solidFill>
                  <a:srgbClr val="00FF66"/>
                </a:solidFill>
                <a:ln>
                  <a:solidFill>
                    <a:schemeClr val="tx1"/>
                  </a:solidFill>
                  <a:prstDash val="solid"/>
                </a:ln>
              </c:spPr>
            </c:marker>
            <c:bubble3D val="0"/>
          </c:dPt>
          <c:xVal>
            <c:numRef>
              <c:f>Data!$I$4</c:f>
              <c:numCache>
                <c:formatCode>#</c:formatCode>
                <c:ptCount val="1"/>
                <c:pt idx="0">
                  <c:v>113</c:v>
                </c:pt>
              </c:numCache>
            </c:numRef>
          </c:xVal>
          <c:yVal>
            <c:numRef>
              <c:f>Data!$K$4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Data!$H$5</c:f>
              <c:strCache>
                <c:ptCount val="1"/>
                <c:pt idx="0">
                  <c:v># Analysis cycles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00FF66"/>
              </a:solidFill>
              <a:ln>
                <a:solidFill>
                  <a:schemeClr val="tx1"/>
                </a:solidFill>
                <a:prstDash val="solid"/>
              </a:ln>
            </c:spPr>
          </c:marker>
          <c:xVal>
            <c:numRef>
              <c:f>Data!$K$5</c:f>
              <c:numCache>
                <c:formatCode>General</c:formatCode>
                <c:ptCount val="1"/>
                <c:pt idx="0">
                  <c:v>513</c:v>
                </c:pt>
              </c:numCache>
            </c:numRef>
          </c:xVal>
          <c:yVal>
            <c:numRef>
              <c:f>Data!$K$4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</c:ser>
        <c:ser>
          <c:idx val="4"/>
          <c:order val="4"/>
          <c:spPr>
            <a:ln w="15875">
              <a:solidFill>
                <a:srgbClr val="00B050"/>
              </a:solidFill>
              <a:prstDash val="solid"/>
            </a:ln>
          </c:spPr>
          <c:marker>
            <c:symbol val="none"/>
          </c:marker>
          <c:yVal>
            <c:numRef>
              <c:f>Data!$J$67:$J$1067</c:f>
              <c:numCache>
                <c:formatCode>0.00E+00</c:formatCode>
                <c:ptCount val="1001"/>
                <c:pt idx="0">
                  <c:v>7.2755430393622103E-3</c:v>
                </c:pt>
                <c:pt idx="1">
                  <c:v>7.2633622645115496E-3</c:v>
                </c:pt>
                <c:pt idx="2">
                  <c:v>7.2597797118233703E-3</c:v>
                </c:pt>
                <c:pt idx="3">
                  <c:v>7.2048488395096604E-3</c:v>
                </c:pt>
                <c:pt idx="4">
                  <c:v>7.1487269247098896E-3</c:v>
                </c:pt>
                <c:pt idx="5">
                  <c:v>7.1972065217418401E-3</c:v>
                </c:pt>
                <c:pt idx="6">
                  <c:v>7.1575629327999797E-3</c:v>
                </c:pt>
                <c:pt idx="7">
                  <c:v>7.2280149710170502E-3</c:v>
                </c:pt>
                <c:pt idx="8">
                  <c:v>7.2270596560480502E-3</c:v>
                </c:pt>
                <c:pt idx="9">
                  <c:v>7.24616612830274E-3</c:v>
                </c:pt>
                <c:pt idx="10">
                  <c:v>7.1176821080810096E-3</c:v>
                </c:pt>
                <c:pt idx="11">
                  <c:v>7.1107568569947601E-3</c:v>
                </c:pt>
                <c:pt idx="12">
                  <c:v>7.0866382523307198E-3</c:v>
                </c:pt>
                <c:pt idx="13">
                  <c:v>7.2227607499468598E-3</c:v>
                </c:pt>
                <c:pt idx="14">
                  <c:v>7.2024606089523E-3</c:v>
                </c:pt>
                <c:pt idx="15">
                  <c:v>7.2361351849891996E-3</c:v>
                </c:pt>
                <c:pt idx="16">
                  <c:v>7.1680707194213596E-3</c:v>
                </c:pt>
                <c:pt idx="17">
                  <c:v>7.2657506400788099E-3</c:v>
                </c:pt>
                <c:pt idx="18">
                  <c:v>7.2628845900805598E-3</c:v>
                </c:pt>
                <c:pt idx="19">
                  <c:v>7.0821011538913896E-3</c:v>
                </c:pt>
                <c:pt idx="20">
                  <c:v>7.1859819730869402E-3</c:v>
                </c:pt>
                <c:pt idx="21">
                  <c:v>7.1816832430369503E-3</c:v>
                </c:pt>
                <c:pt idx="22">
                  <c:v>7.08520548218519E-3</c:v>
                </c:pt>
                <c:pt idx="23">
                  <c:v>7.14633882777736E-3</c:v>
                </c:pt>
                <c:pt idx="24">
                  <c:v>7.2791256483513596E-3</c:v>
                </c:pt>
                <c:pt idx="25">
                  <c:v>7.1269954521753298E-3</c:v>
                </c:pt>
                <c:pt idx="26">
                  <c:v>7.1511150273284802E-3</c:v>
                </c:pt>
                <c:pt idx="27">
                  <c:v>7.2755430393622103E-3</c:v>
                </c:pt>
                <c:pt idx="28">
                  <c:v>7.0969064982695203E-3</c:v>
                </c:pt>
                <c:pt idx="29">
                  <c:v>6.9486241260927903E-3</c:v>
                </c:pt>
                <c:pt idx="30">
                  <c:v>7.1066972492784004E-3</c:v>
                </c:pt>
                <c:pt idx="31">
                  <c:v>7.1150552830748E-3</c:v>
                </c:pt>
                <c:pt idx="32">
                  <c:v>7.1176821080810096E-3</c:v>
                </c:pt>
                <c:pt idx="33">
                  <c:v>7.1499209753085498E-3</c:v>
                </c:pt>
                <c:pt idx="34">
                  <c:v>7.0959513081661502E-3</c:v>
                </c:pt>
                <c:pt idx="35">
                  <c:v>7.1100404544391102E-3</c:v>
                </c:pt>
                <c:pt idx="36">
                  <c:v>7.0071226045782097E-3</c:v>
                </c:pt>
                <c:pt idx="37">
                  <c:v>7.1195925305886998E-3</c:v>
                </c:pt>
                <c:pt idx="38">
                  <c:v>7.0935633368875003E-3</c:v>
                </c:pt>
                <c:pt idx="39">
                  <c:v>7.1367864969056199E-3</c:v>
                </c:pt>
                <c:pt idx="40">
                  <c:v>7.0553565696386197E-3</c:v>
                </c:pt>
                <c:pt idx="41">
                  <c:v>7.0942797276740896E-3</c:v>
                </c:pt>
                <c:pt idx="42">
                  <c:v>7.1064584493361E-3</c:v>
                </c:pt>
                <c:pt idx="43">
                  <c:v>7.0510583994006304E-3</c:v>
                </c:pt>
                <c:pt idx="44">
                  <c:v>7.1386969558019696E-3</c:v>
                </c:pt>
                <c:pt idx="45">
                  <c:v>7.0821011538913896E-3</c:v>
                </c:pt>
                <c:pt idx="46">
                  <c:v>7.0064062760433702E-3</c:v>
                </c:pt>
                <c:pt idx="47">
                  <c:v>7.1021600600988301E-3</c:v>
                </c:pt>
                <c:pt idx="48">
                  <c:v>7.1468164467088403E-3</c:v>
                </c:pt>
                <c:pt idx="49">
                  <c:v>7.0443723934204101E-3</c:v>
                </c:pt>
                <c:pt idx="50">
                  <c:v>7.03625373179316E-3</c:v>
                </c:pt>
                <c:pt idx="51">
                  <c:v>7.1205477432070398E-3</c:v>
                </c:pt>
                <c:pt idx="52">
                  <c:v>7.0314780791818996E-3</c:v>
                </c:pt>
                <c:pt idx="53">
                  <c:v>6.9450426974392802E-3</c:v>
                </c:pt>
                <c:pt idx="54">
                  <c:v>6.9782310928353302E-3</c:v>
                </c:pt>
                <c:pt idx="55">
                  <c:v>7.0591771808694E-3</c:v>
                </c:pt>
                <c:pt idx="56">
                  <c:v>6.9696354318050501E-3</c:v>
                </c:pt>
                <c:pt idx="57">
                  <c:v>6.9920798127882204E-3</c:v>
                </c:pt>
                <c:pt idx="58">
                  <c:v>7.0419845449433E-3</c:v>
                </c:pt>
                <c:pt idx="59">
                  <c:v>7.01022670080756E-3</c:v>
                </c:pt>
                <c:pt idx="60">
                  <c:v>6.99613895659965E-3</c:v>
                </c:pt>
                <c:pt idx="61">
                  <c:v>7.0195390471400002E-3</c:v>
                </c:pt>
                <c:pt idx="62">
                  <c:v>6.99995934225327E-3</c:v>
                </c:pt>
                <c:pt idx="63">
                  <c:v>6.8490651736350001E-3</c:v>
                </c:pt>
                <c:pt idx="64">
                  <c:v>7.0044960691185596E-3</c:v>
                </c:pt>
                <c:pt idx="65">
                  <c:v>6.8944265401708303E-3</c:v>
                </c:pt>
                <c:pt idx="66">
                  <c:v>6.9810963295500001E-3</c:v>
                </c:pt>
                <c:pt idx="67">
                  <c:v>7.0415069759299804E-3</c:v>
                </c:pt>
                <c:pt idx="68">
                  <c:v>6.9123329075680001E-3</c:v>
                </c:pt>
                <c:pt idx="69">
                  <c:v>6.9779923234786403E-3</c:v>
                </c:pt>
                <c:pt idx="70">
                  <c:v>6.9371635994204296E-3</c:v>
                </c:pt>
                <c:pt idx="71">
                  <c:v>6.9966165040105501E-3</c:v>
                </c:pt>
                <c:pt idx="72">
                  <c:v>7.0419845449433E-3</c:v>
                </c:pt>
                <c:pt idx="73">
                  <c:v>7.1420402676270296E-3</c:v>
                </c:pt>
                <c:pt idx="74">
                  <c:v>6.9913634949974497E-3</c:v>
                </c:pt>
                <c:pt idx="75">
                  <c:v>6.9462365055692398E-3</c:v>
                </c:pt>
                <c:pt idx="76">
                  <c:v>6.9335822116928002E-3</c:v>
                </c:pt>
                <c:pt idx="77">
                  <c:v>6.9672477612597698E-3</c:v>
                </c:pt>
                <c:pt idx="78">
                  <c:v>6.8519300413477802E-3</c:v>
                </c:pt>
                <c:pt idx="79">
                  <c:v>6.8832053795561303E-3</c:v>
                </c:pt>
                <c:pt idx="80">
                  <c:v>6.9369248398406403E-3</c:v>
                </c:pt>
                <c:pt idx="81">
                  <c:v>6.9300008367546703E-3</c:v>
                </c:pt>
                <c:pt idx="82">
                  <c:v>6.9600847837299699E-3</c:v>
                </c:pt>
                <c:pt idx="83">
                  <c:v>6.9125716612930699E-3</c:v>
                </c:pt>
                <c:pt idx="84">
                  <c:v>7.02407586257378E-3</c:v>
                </c:pt>
                <c:pt idx="85">
                  <c:v>6.8877415783028702E-3</c:v>
                </c:pt>
                <c:pt idx="86">
                  <c:v>7.01213691864717E-3</c:v>
                </c:pt>
                <c:pt idx="87">
                  <c:v>6.8602859522561696E-3</c:v>
                </c:pt>
                <c:pt idx="88">
                  <c:v>6.9247481766460898E-3</c:v>
                </c:pt>
                <c:pt idx="89">
                  <c:v>6.9942287692302497E-3</c:v>
                </c:pt>
                <c:pt idx="90">
                  <c:v>6.8547949172445503E-3</c:v>
                </c:pt>
                <c:pt idx="91">
                  <c:v>6.9039765629956701E-3</c:v>
                </c:pt>
                <c:pt idx="92">
                  <c:v>6.9252256900645404E-3</c:v>
                </c:pt>
                <c:pt idx="93">
                  <c:v>6.8268627263499198E-3</c:v>
                </c:pt>
                <c:pt idx="94">
                  <c:v>6.8046607706048999E-3</c:v>
                </c:pt>
                <c:pt idx="95">
                  <c:v>6.9428938463860102E-3</c:v>
                </c:pt>
                <c:pt idx="96">
                  <c:v>6.8022734928031396E-3</c:v>
                </c:pt>
                <c:pt idx="97">
                  <c:v>6.8247141285053201E-3</c:v>
                </c:pt>
                <c:pt idx="98">
                  <c:v>6.7760138120587197E-3</c:v>
                </c:pt>
                <c:pt idx="99">
                  <c:v>6.7958278711254304E-3</c:v>
                </c:pt>
                <c:pt idx="100">
                  <c:v>6.90875160851105E-3</c:v>
                </c:pt>
                <c:pt idx="101">
                  <c:v>6.7853239838252402E-3</c:v>
                </c:pt>
                <c:pt idx="102">
                  <c:v>6.8953815383610197E-3</c:v>
                </c:pt>
                <c:pt idx="103">
                  <c:v>6.8213718743413698E-3</c:v>
                </c:pt>
                <c:pt idx="104">
                  <c:v>6.9562645499657303E-3</c:v>
                </c:pt>
                <c:pt idx="105">
                  <c:v>2.4336663843899198E-2</c:v>
                </c:pt>
                <c:pt idx="106">
                  <c:v>9.66136893123343E-2</c:v>
                </c:pt>
                <c:pt idx="107">
                  <c:v>0.13763983685638201</c:v>
                </c:pt>
                <c:pt idx="108">
                  <c:v>0.43302679167533198</c:v>
                </c:pt>
                <c:pt idx="109">
                  <c:v>1.25258501022776</c:v>
                </c:pt>
                <c:pt idx="110">
                  <c:v>2.0075674523867701</c:v>
                </c:pt>
                <c:pt idx="111">
                  <c:v>2.2979797942313001</c:v>
                </c:pt>
                <c:pt idx="112">
                  <c:v>2.4237531036446902</c:v>
                </c:pt>
                <c:pt idx="113">
                  <c:v>2.6405922579020999</c:v>
                </c:pt>
                <c:pt idx="114">
                  <c:v>2.6145485909523898</c:v>
                </c:pt>
                <c:pt idx="115">
                  <c:v>2.5789127301950701</c:v>
                </c:pt>
                <c:pt idx="116">
                  <c:v>2.6190806681018799</c:v>
                </c:pt>
                <c:pt idx="117">
                  <c:v>2.6092578631737</c:v>
                </c:pt>
                <c:pt idx="118">
                  <c:v>2.7072712453707699</c:v>
                </c:pt>
                <c:pt idx="119">
                  <c:v>2.8709921721614702</c:v>
                </c:pt>
                <c:pt idx="120">
                  <c:v>2.8756414255552198</c:v>
                </c:pt>
                <c:pt idx="121">
                  <c:v>2.9488293553915002</c:v>
                </c:pt>
                <c:pt idx="122">
                  <c:v>2.9405318209695301</c:v>
                </c:pt>
                <c:pt idx="123">
                  <c:v>2.9322177113524601</c:v>
                </c:pt>
                <c:pt idx="124">
                  <c:v>2.8831617117714798</c:v>
                </c:pt>
                <c:pt idx="125">
                  <c:v>2.8957291437707302</c:v>
                </c:pt>
                <c:pt idx="126">
                  <c:v>3.0069831477893998</c:v>
                </c:pt>
                <c:pt idx="127">
                  <c:v>3.12665792834976</c:v>
                </c:pt>
                <c:pt idx="128">
                  <c:v>3.1044199758756399</c:v>
                </c:pt>
                <c:pt idx="129">
                  <c:v>3.09628277776268</c:v>
                </c:pt>
                <c:pt idx="130">
                  <c:v>2.99861380733604</c:v>
                </c:pt>
                <c:pt idx="131">
                  <c:v>2.88773220220722</c:v>
                </c:pt>
                <c:pt idx="132">
                  <c:v>2.9058268170271999</c:v>
                </c:pt>
                <c:pt idx="133">
                  <c:v>2.94158084387501</c:v>
                </c:pt>
                <c:pt idx="134">
                  <c:v>2.9627069629634799</c:v>
                </c:pt>
                <c:pt idx="135">
                  <c:v>3.02568377664049</c:v>
                </c:pt>
                <c:pt idx="136">
                  <c:v>3.0081183134302401</c:v>
                </c:pt>
                <c:pt idx="137">
                  <c:v>2.9981909874800801</c:v>
                </c:pt>
                <c:pt idx="138">
                  <c:v>3.0463798330104899</c:v>
                </c:pt>
                <c:pt idx="139">
                  <c:v>3.0177840180448401</c:v>
                </c:pt>
                <c:pt idx="140">
                  <c:v>2.91991401507611</c:v>
                </c:pt>
                <c:pt idx="141">
                  <c:v>2.9179458693105702</c:v>
                </c:pt>
                <c:pt idx="142">
                  <c:v>2.7963045876572599</c:v>
                </c:pt>
                <c:pt idx="143">
                  <c:v>2.6798706759945201</c:v>
                </c:pt>
                <c:pt idx="144">
                  <c:v>2.6700031445812198</c:v>
                </c:pt>
                <c:pt idx="145">
                  <c:v>2.6762716229506101</c:v>
                </c:pt>
                <c:pt idx="146">
                  <c:v>2.6852644144865598</c:v>
                </c:pt>
                <c:pt idx="147">
                  <c:v>2.60425619751945</c:v>
                </c:pt>
                <c:pt idx="148">
                  <c:v>2.64533902151158</c:v>
                </c:pt>
                <c:pt idx="149">
                  <c:v>2.5899833297340402</c:v>
                </c:pt>
                <c:pt idx="150">
                  <c:v>2.5578975489109199</c:v>
                </c:pt>
                <c:pt idx="151">
                  <c:v>2.5163019577165899</c:v>
                </c:pt>
                <c:pt idx="152">
                  <c:v>2.5165671779969299</c:v>
                </c:pt>
                <c:pt idx="153">
                  <c:v>2.6008470879037402</c:v>
                </c:pt>
                <c:pt idx="154">
                  <c:v>2.6072860638263702</c:v>
                </c:pt>
                <c:pt idx="155">
                  <c:v>2.6150772975813199</c:v>
                </c:pt>
                <c:pt idx="156">
                  <c:v>2.6892378255115101</c:v>
                </c:pt>
                <c:pt idx="157">
                  <c:v>2.6610675058745699</c:v>
                </c:pt>
                <c:pt idx="158">
                  <c:v>2.6911808878749701</c:v>
                </c:pt>
                <c:pt idx="159">
                  <c:v>2.8110461579267301</c:v>
                </c:pt>
                <c:pt idx="160">
                  <c:v>2.85326695072012</c:v>
                </c:pt>
                <c:pt idx="161">
                  <c:v>3.2047491467314502</c:v>
                </c:pt>
                <c:pt idx="162">
                  <c:v>3.4247218399605401</c:v>
                </c:pt>
                <c:pt idx="163">
                  <c:v>3.4496755169953701</c:v>
                </c:pt>
                <c:pt idx="164">
                  <c:v>3.1171546178118299</c:v>
                </c:pt>
                <c:pt idx="165">
                  <c:v>2.9441999570775401</c:v>
                </c:pt>
                <c:pt idx="166">
                  <c:v>2.7326455722863399</c:v>
                </c:pt>
                <c:pt idx="167">
                  <c:v>2.5194360812379202</c:v>
                </c:pt>
                <c:pt idx="168">
                  <c:v>2.6806845672713999</c:v>
                </c:pt>
                <c:pt idx="169">
                  <c:v>2.7997095036784598</c:v>
                </c:pt>
                <c:pt idx="170">
                  <c:v>2.7149447492548999</c:v>
                </c:pt>
                <c:pt idx="171">
                  <c:v>2.7963948808546801</c:v>
                </c:pt>
                <c:pt idx="172">
                  <c:v>2.74544334540749</c:v>
                </c:pt>
                <c:pt idx="173">
                  <c:v>2.7322075791223202</c:v>
                </c:pt>
                <c:pt idx="174">
                  <c:v>2.7771500974273899</c:v>
                </c:pt>
                <c:pt idx="175">
                  <c:v>2.8295387408964201</c:v>
                </c:pt>
                <c:pt idx="176">
                  <c:v>2.78375112672457</c:v>
                </c:pt>
                <c:pt idx="177">
                  <c:v>2.7267286039081502</c:v>
                </c:pt>
                <c:pt idx="178">
                  <c:v>2.6835893173117702</c:v>
                </c:pt>
                <c:pt idx="179">
                  <c:v>2.7021401321254599</c:v>
                </c:pt>
                <c:pt idx="180">
                  <c:v>2.6664908148361901</c:v>
                </c:pt>
                <c:pt idx="181">
                  <c:v>2.4683629026368901</c:v>
                </c:pt>
                <c:pt idx="182">
                  <c:v>2.4481384931607799</c:v>
                </c:pt>
                <c:pt idx="183">
                  <c:v>2.45931960467591</c:v>
                </c:pt>
                <c:pt idx="184">
                  <c:v>2.5225675347281502</c:v>
                </c:pt>
                <c:pt idx="185">
                  <c:v>2.4351711899027202</c:v>
                </c:pt>
                <c:pt idx="186">
                  <c:v>2.4352937259109102</c:v>
                </c:pt>
                <c:pt idx="187">
                  <c:v>2.3776736433201102</c:v>
                </c:pt>
                <c:pt idx="188">
                  <c:v>2.4037945510976102</c:v>
                </c:pt>
                <c:pt idx="189">
                  <c:v>2.6297101488424399</c:v>
                </c:pt>
                <c:pt idx="190">
                  <c:v>2.6273022390026002</c:v>
                </c:pt>
                <c:pt idx="191">
                  <c:v>2.6083046892718902</c:v>
                </c:pt>
                <c:pt idx="192">
                  <c:v>2.6503718836400401</c:v>
                </c:pt>
                <c:pt idx="193">
                  <c:v>2.59143022455173</c:v>
                </c:pt>
                <c:pt idx="194">
                  <c:v>2.5869023250403198</c:v>
                </c:pt>
                <c:pt idx="195">
                  <c:v>2.4224166469531601</c:v>
                </c:pt>
                <c:pt idx="196">
                  <c:v>2.3129608757709001</c:v>
                </c:pt>
                <c:pt idx="197">
                  <c:v>2.4605289064954201</c:v>
                </c:pt>
                <c:pt idx="198">
                  <c:v>2.4816996448379798</c:v>
                </c:pt>
                <c:pt idx="199">
                  <c:v>2.5681930207397499</c:v>
                </c:pt>
                <c:pt idx="200">
                  <c:v>2.52446458163887</c:v>
                </c:pt>
                <c:pt idx="201">
                  <c:v>2.48617922906086</c:v>
                </c:pt>
                <c:pt idx="202">
                  <c:v>2.54576353055882</c:v>
                </c:pt>
                <c:pt idx="203">
                  <c:v>2.4588532742564602</c:v>
                </c:pt>
                <c:pt idx="204">
                  <c:v>2.4449863883448901</c:v>
                </c:pt>
                <c:pt idx="205">
                  <c:v>2.3492574180817098</c:v>
                </c:pt>
                <c:pt idx="206">
                  <c:v>2.5073869807581799</c:v>
                </c:pt>
                <c:pt idx="207">
                  <c:v>2.48611296435499</c:v>
                </c:pt>
                <c:pt idx="208">
                  <c:v>2.4123007114152299</c:v>
                </c:pt>
                <c:pt idx="209">
                  <c:v>2.4798755067608198</c:v>
                </c:pt>
                <c:pt idx="210">
                  <c:v>2.7915756218592098</c:v>
                </c:pt>
                <c:pt idx="211">
                  <c:v>2.4968590257225101</c:v>
                </c:pt>
                <c:pt idx="212">
                  <c:v>2.3507932262823199</c:v>
                </c:pt>
                <c:pt idx="213">
                  <c:v>2.2315247816394002</c:v>
                </c:pt>
                <c:pt idx="214">
                  <c:v>2.1773978225912098</c:v>
                </c:pt>
                <c:pt idx="215">
                  <c:v>2.15342502343313</c:v>
                </c:pt>
                <c:pt idx="216">
                  <c:v>2.2450428210214501</c:v>
                </c:pt>
                <c:pt idx="217">
                  <c:v>2.3840248013736698</c:v>
                </c:pt>
                <c:pt idx="218">
                  <c:v>2.4313547998879801</c:v>
                </c:pt>
                <c:pt idx="219">
                  <c:v>2.5157355773492198</c:v>
                </c:pt>
                <c:pt idx="220">
                  <c:v>2.4833624775677601</c:v>
                </c:pt>
                <c:pt idx="221">
                  <c:v>2.54088375412503</c:v>
                </c:pt>
                <c:pt idx="222">
                  <c:v>2.4297866854857602</c:v>
                </c:pt>
                <c:pt idx="223">
                  <c:v>2.5426049753378202</c:v>
                </c:pt>
                <c:pt idx="224">
                  <c:v>2.42107599735886</c:v>
                </c:pt>
                <c:pt idx="225">
                  <c:v>2.2956217094359199</c:v>
                </c:pt>
                <c:pt idx="226">
                  <c:v>2.46478948416806</c:v>
                </c:pt>
                <c:pt idx="227">
                  <c:v>2.45549152410682</c:v>
                </c:pt>
                <c:pt idx="228">
                  <c:v>2.33762409015918</c:v>
                </c:pt>
                <c:pt idx="229">
                  <c:v>2.2250059445404</c:v>
                </c:pt>
                <c:pt idx="230">
                  <c:v>2.3294932646837099</c:v>
                </c:pt>
                <c:pt idx="231">
                  <c:v>2.4297977689836499</c:v>
                </c:pt>
                <c:pt idx="232">
                  <c:v>2.27022871296536</c:v>
                </c:pt>
                <c:pt idx="233">
                  <c:v>2.2808654703053501</c:v>
                </c:pt>
                <c:pt idx="234">
                  <c:v>2.30733022572629</c:v>
                </c:pt>
                <c:pt idx="235">
                  <c:v>2.3862617707794498</c:v>
                </c:pt>
                <c:pt idx="236">
                  <c:v>2.3806521671795</c:v>
                </c:pt>
                <c:pt idx="237">
                  <c:v>2.34993784873642</c:v>
                </c:pt>
                <c:pt idx="238">
                  <c:v>2.2834298532108099</c:v>
                </c:pt>
                <c:pt idx="239">
                  <c:v>2.3763906764256602</c:v>
                </c:pt>
                <c:pt idx="240">
                  <c:v>2.3355586430806698</c:v>
                </c:pt>
                <c:pt idx="241">
                  <c:v>2.29646264743619</c:v>
                </c:pt>
                <c:pt idx="242">
                  <c:v>2.4914253382454699</c:v>
                </c:pt>
                <c:pt idx="243">
                  <c:v>2.4089594626297401</c:v>
                </c:pt>
                <c:pt idx="244">
                  <c:v>2.2884218264629301</c:v>
                </c:pt>
                <c:pt idx="245">
                  <c:v>2.24409909442261</c:v>
                </c:pt>
                <c:pt idx="246">
                  <c:v>2.1697336726238099</c:v>
                </c:pt>
                <c:pt idx="247">
                  <c:v>2.3860152047454402</c:v>
                </c:pt>
                <c:pt idx="248">
                  <c:v>2.5220674175609998</c:v>
                </c:pt>
                <c:pt idx="249">
                  <c:v>2.4220673149157101</c:v>
                </c:pt>
                <c:pt idx="250">
                  <c:v>2.4411157376047701</c:v>
                </c:pt>
                <c:pt idx="251">
                  <c:v>2.4071639607957298</c:v>
                </c:pt>
                <c:pt idx="252">
                  <c:v>2.3331315700972701</c:v>
                </c:pt>
                <c:pt idx="253">
                  <c:v>2.3306797205696701</c:v>
                </c:pt>
                <c:pt idx="254">
                  <c:v>2.27579959219341</c:v>
                </c:pt>
                <c:pt idx="255">
                  <c:v>2.3246579561930201</c:v>
                </c:pt>
                <c:pt idx="256">
                  <c:v>2.4742979440867598</c:v>
                </c:pt>
                <c:pt idx="257">
                  <c:v>2.41847384520951</c:v>
                </c:pt>
                <c:pt idx="258">
                  <c:v>2.4132209428132398</c:v>
                </c:pt>
                <c:pt idx="259">
                  <c:v>2.3368930305529201</c:v>
                </c:pt>
                <c:pt idx="260">
                  <c:v>2.4714601665658402</c:v>
                </c:pt>
                <c:pt idx="261">
                  <c:v>2.3528249548266902</c:v>
                </c:pt>
                <c:pt idx="262">
                  <c:v>2.1286025616200401</c:v>
                </c:pt>
                <c:pt idx="263">
                  <c:v>2.2305811525251298</c:v>
                </c:pt>
                <c:pt idx="264">
                  <c:v>2.2733780794454099</c:v>
                </c:pt>
                <c:pt idx="265">
                  <c:v>2.2238554904825198</c:v>
                </c:pt>
                <c:pt idx="266">
                  <c:v>2.1774595329081601</c:v>
                </c:pt>
                <c:pt idx="267">
                  <c:v>2.1847529877199001</c:v>
                </c:pt>
                <c:pt idx="268">
                  <c:v>2.2818010760116998</c:v>
                </c:pt>
                <c:pt idx="269">
                  <c:v>2.2869263614551101</c:v>
                </c:pt>
                <c:pt idx="270">
                  <c:v>2.24020623306488</c:v>
                </c:pt>
                <c:pt idx="271">
                  <c:v>2.1696457515485901</c:v>
                </c:pt>
                <c:pt idx="272">
                  <c:v>2.15681272668989</c:v>
                </c:pt>
                <c:pt idx="273">
                  <c:v>2.14871621873215</c:v>
                </c:pt>
                <c:pt idx="274">
                  <c:v>2.0350447647901602</c:v>
                </c:pt>
                <c:pt idx="275">
                  <c:v>2.02991688069676</c:v>
                </c:pt>
                <c:pt idx="276">
                  <c:v>2.0795270416893898</c:v>
                </c:pt>
                <c:pt idx="277">
                  <c:v>2.0684768124493602</c:v>
                </c:pt>
                <c:pt idx="278">
                  <c:v>2.1031711357203702</c:v>
                </c:pt>
                <c:pt idx="279">
                  <c:v>2.1106045776592199</c:v>
                </c:pt>
                <c:pt idx="280">
                  <c:v>2.11122874827208</c:v>
                </c:pt>
                <c:pt idx="281">
                  <c:v>2.0702957098518402</c:v>
                </c:pt>
                <c:pt idx="282">
                  <c:v>1.99602487422555</c:v>
                </c:pt>
                <c:pt idx="283">
                  <c:v>1.99405978855726</c:v>
                </c:pt>
                <c:pt idx="284">
                  <c:v>2.1043847118388799</c:v>
                </c:pt>
                <c:pt idx="285">
                  <c:v>2.2714426260084202</c:v>
                </c:pt>
                <c:pt idx="286">
                  <c:v>2.2515966651278401</c:v>
                </c:pt>
                <c:pt idx="287">
                  <c:v>2.2669698989892901</c:v>
                </c:pt>
                <c:pt idx="288">
                  <c:v>2.1966309128105999</c:v>
                </c:pt>
                <c:pt idx="289">
                  <c:v>2.17313097970223</c:v>
                </c:pt>
                <c:pt idx="290">
                  <c:v>2.19397904178423</c:v>
                </c:pt>
                <c:pt idx="291">
                  <c:v>2.1629672635908102</c:v>
                </c:pt>
                <c:pt idx="292">
                  <c:v>2.1075602423636002</c:v>
                </c:pt>
                <c:pt idx="293">
                  <c:v>2.0719395924269799</c:v>
                </c:pt>
                <c:pt idx="294">
                  <c:v>2.10759986798791</c:v>
                </c:pt>
                <c:pt idx="295">
                  <c:v>2.11515084624821</c:v>
                </c:pt>
                <c:pt idx="296">
                  <c:v>2.0448732442317801</c:v>
                </c:pt>
                <c:pt idx="297">
                  <c:v>2.0327811749357698</c:v>
                </c:pt>
                <c:pt idx="298">
                  <c:v>1.87818783276289</c:v>
                </c:pt>
                <c:pt idx="299">
                  <c:v>1.92369705980789</c:v>
                </c:pt>
                <c:pt idx="300">
                  <c:v>1.9002105652285199</c:v>
                </c:pt>
                <c:pt idx="301">
                  <c:v>2.0289734126197798</c:v>
                </c:pt>
                <c:pt idx="302">
                  <c:v>2.2330862501511399</c:v>
                </c:pt>
                <c:pt idx="303">
                  <c:v>2.1463699285603601</c:v>
                </c:pt>
                <c:pt idx="304">
                  <c:v>2.3050333775140102</c:v>
                </c:pt>
                <c:pt idx="305">
                  <c:v>2.2798201572582801</c:v>
                </c:pt>
                <c:pt idx="306">
                  <c:v>2.2222159708784601</c:v>
                </c:pt>
                <c:pt idx="307">
                  <c:v>2.1912819188952199</c:v>
                </c:pt>
                <c:pt idx="308">
                  <c:v>2.4175006483707899</c:v>
                </c:pt>
                <c:pt idx="309">
                  <c:v>2.3477925980814902</c:v>
                </c:pt>
                <c:pt idx="310">
                  <c:v>2.10587639456595</c:v>
                </c:pt>
                <c:pt idx="311">
                  <c:v>2.0967429588617601</c:v>
                </c:pt>
                <c:pt idx="312">
                  <c:v>1.8856041943926101</c:v>
                </c:pt>
                <c:pt idx="313">
                  <c:v>2.2704750169069001</c:v>
                </c:pt>
                <c:pt idx="314">
                  <c:v>2.1900226147314998</c:v>
                </c:pt>
                <c:pt idx="315">
                  <c:v>1.8754817630348899</c:v>
                </c:pt>
                <c:pt idx="316">
                  <c:v>1.9703328786437899</c:v>
                </c:pt>
                <c:pt idx="317">
                  <c:v>2.0614502825825198</c:v>
                </c:pt>
                <c:pt idx="318">
                  <c:v>2.0852083655384299</c:v>
                </c:pt>
                <c:pt idx="319">
                  <c:v>2.06054234208825</c:v>
                </c:pt>
                <c:pt idx="320">
                  <c:v>2.4285288051121499</c:v>
                </c:pt>
                <c:pt idx="321">
                  <c:v>2.2260445760479799</c:v>
                </c:pt>
                <c:pt idx="322">
                  <c:v>1.9963075258113501</c:v>
                </c:pt>
                <c:pt idx="323">
                  <c:v>1.8768459239395101</c:v>
                </c:pt>
                <c:pt idx="324">
                  <c:v>1.9534340588782899</c:v>
                </c:pt>
                <c:pt idx="325">
                  <c:v>1.8823496442929799</c:v>
                </c:pt>
                <c:pt idx="326">
                  <c:v>1.77594111581943</c:v>
                </c:pt>
                <c:pt idx="327">
                  <c:v>1.8673873768976701</c:v>
                </c:pt>
                <c:pt idx="328">
                  <c:v>1.93309974243592</c:v>
                </c:pt>
                <c:pt idx="329">
                  <c:v>1.87526988245474</c:v>
                </c:pt>
                <c:pt idx="330">
                  <c:v>1.9066736735947301</c:v>
                </c:pt>
                <c:pt idx="331">
                  <c:v>1.9137435344357201</c:v>
                </c:pt>
                <c:pt idx="332">
                  <c:v>1.8899753607854</c:v>
                </c:pt>
                <c:pt idx="333">
                  <c:v>1.8967104903135401</c:v>
                </c:pt>
                <c:pt idx="334">
                  <c:v>2.0268628935601498</c:v>
                </c:pt>
                <c:pt idx="335">
                  <c:v>2.06136515843458</c:v>
                </c:pt>
                <c:pt idx="336">
                  <c:v>2.0539629523143499</c:v>
                </c:pt>
                <c:pt idx="337">
                  <c:v>1.98526485408502</c:v>
                </c:pt>
                <c:pt idx="338">
                  <c:v>1.8959385396075299</c:v>
                </c:pt>
                <c:pt idx="339">
                  <c:v>1.90625622446121</c:v>
                </c:pt>
                <c:pt idx="340">
                  <c:v>2.0062982768395998</c:v>
                </c:pt>
                <c:pt idx="341">
                  <c:v>2.0529281032325501</c:v>
                </c:pt>
                <c:pt idx="342">
                  <c:v>2.05370950056815</c:v>
                </c:pt>
                <c:pt idx="343">
                  <c:v>2.0175959637929899</c:v>
                </c:pt>
                <c:pt idx="344">
                  <c:v>2.0419794978799302</c:v>
                </c:pt>
                <c:pt idx="345">
                  <c:v>2.04768314066557</c:v>
                </c:pt>
                <c:pt idx="346">
                  <c:v>2.5050117462355201</c:v>
                </c:pt>
                <c:pt idx="347">
                  <c:v>2.4086628038451598</c:v>
                </c:pt>
                <c:pt idx="348">
                  <c:v>2.2282710001544701</c:v>
                </c:pt>
                <c:pt idx="349">
                  <c:v>2.1051582951942498</c:v>
                </c:pt>
                <c:pt idx="350">
                  <c:v>2.3539779751044501</c:v>
                </c:pt>
                <c:pt idx="351">
                  <c:v>2.2471283929388601</c:v>
                </c:pt>
                <c:pt idx="352">
                  <c:v>2.2945048920686899</c:v>
                </c:pt>
                <c:pt idx="353">
                  <c:v>2.4672211341618402</c:v>
                </c:pt>
                <c:pt idx="354">
                  <c:v>2.4927258525388001</c:v>
                </c:pt>
                <c:pt idx="355">
                  <c:v>2.5771707978936398</c:v>
                </c:pt>
                <c:pt idx="356">
                  <c:v>2.5706499105498501</c:v>
                </c:pt>
                <c:pt idx="357">
                  <c:v>2.57986908278244</c:v>
                </c:pt>
                <c:pt idx="358">
                  <c:v>2.30595232880572</c:v>
                </c:pt>
                <c:pt idx="359">
                  <c:v>2.2219213042877501</c:v>
                </c:pt>
                <c:pt idx="360">
                  <c:v>1.97033713449508</c:v>
                </c:pt>
                <c:pt idx="361">
                  <c:v>2.1465670043889702</c:v>
                </c:pt>
                <c:pt idx="362">
                  <c:v>2.1283767730709</c:v>
                </c:pt>
                <c:pt idx="363">
                  <c:v>2.0615470189015102</c:v>
                </c:pt>
                <c:pt idx="364">
                  <c:v>1.9403224772221801</c:v>
                </c:pt>
                <c:pt idx="365">
                  <c:v>1.73831513135007</c:v>
                </c:pt>
                <c:pt idx="366">
                  <c:v>1.92493744352583</c:v>
                </c:pt>
                <c:pt idx="367">
                  <c:v>1.94069330552805</c:v>
                </c:pt>
                <c:pt idx="368">
                  <c:v>1.87528926925698</c:v>
                </c:pt>
                <c:pt idx="369">
                  <c:v>1.87289181484533</c:v>
                </c:pt>
                <c:pt idx="370">
                  <c:v>1.9310977232353801</c:v>
                </c:pt>
                <c:pt idx="371">
                  <c:v>2.0692399406474302</c:v>
                </c:pt>
                <c:pt idx="372">
                  <c:v>2.1950451210496</c:v>
                </c:pt>
                <c:pt idx="373">
                  <c:v>2.2442264502636702</c:v>
                </c:pt>
                <c:pt idx="374">
                  <c:v>2.0553113656174902</c:v>
                </c:pt>
                <c:pt idx="375">
                  <c:v>2.3263932114296302</c:v>
                </c:pt>
                <c:pt idx="376">
                  <c:v>2.28148933205448</c:v>
                </c:pt>
                <c:pt idx="377">
                  <c:v>1.82015638714826</c:v>
                </c:pt>
                <c:pt idx="378">
                  <c:v>1.7564334774425401</c:v>
                </c:pt>
                <c:pt idx="379">
                  <c:v>1.8464676101914099</c:v>
                </c:pt>
                <c:pt idx="380">
                  <c:v>1.8314706163752199</c:v>
                </c:pt>
                <c:pt idx="381">
                  <c:v>1.8169724060764501</c:v>
                </c:pt>
                <c:pt idx="382">
                  <c:v>1.96477328581939</c:v>
                </c:pt>
                <c:pt idx="383">
                  <c:v>1.7631295227582799</c:v>
                </c:pt>
                <c:pt idx="384">
                  <c:v>1.8029213371820501</c:v>
                </c:pt>
                <c:pt idx="385">
                  <c:v>1.98118076143708</c:v>
                </c:pt>
                <c:pt idx="386">
                  <c:v>1.9275782525646801</c:v>
                </c:pt>
                <c:pt idx="387">
                  <c:v>1.96159337091911</c:v>
                </c:pt>
                <c:pt idx="388">
                  <c:v>1.9241390960750999</c:v>
                </c:pt>
                <c:pt idx="389">
                  <c:v>1.87251113426972</c:v>
                </c:pt>
                <c:pt idx="390">
                  <c:v>1.87378367716065</c:v>
                </c:pt>
                <c:pt idx="391">
                  <c:v>1.8927351374966299</c:v>
                </c:pt>
                <c:pt idx="392">
                  <c:v>1.84704967524839</c:v>
                </c:pt>
                <c:pt idx="393">
                  <c:v>1.87332195860893</c:v>
                </c:pt>
                <c:pt idx="394">
                  <c:v>1.9043158160510101</c:v>
                </c:pt>
                <c:pt idx="395">
                  <c:v>1.92006385433106</c:v>
                </c:pt>
                <c:pt idx="396">
                  <c:v>1.93452484843602</c:v>
                </c:pt>
                <c:pt idx="397">
                  <c:v>1.6989427683528699</c:v>
                </c:pt>
                <c:pt idx="398">
                  <c:v>1.63755374340754</c:v>
                </c:pt>
                <c:pt idx="399">
                  <c:v>1.7318358430049501</c:v>
                </c:pt>
                <c:pt idx="400">
                  <c:v>1.6512296229706001</c:v>
                </c:pt>
                <c:pt idx="401">
                  <c:v>1.66581230744196</c:v>
                </c:pt>
                <c:pt idx="402">
                  <c:v>1.7691587229805299</c:v>
                </c:pt>
                <c:pt idx="403">
                  <c:v>1.77001253423768</c:v>
                </c:pt>
                <c:pt idx="404">
                  <c:v>1.78629019248535</c:v>
                </c:pt>
                <c:pt idx="405">
                  <c:v>1.7961902532124401</c:v>
                </c:pt>
                <c:pt idx="406">
                  <c:v>1.8531635261410699</c:v>
                </c:pt>
                <c:pt idx="407">
                  <c:v>1.8702332303503799</c:v>
                </c:pt>
                <c:pt idx="408">
                  <c:v>1.8440292906348801</c:v>
                </c:pt>
                <c:pt idx="409">
                  <c:v>1.86898085530999</c:v>
                </c:pt>
                <c:pt idx="410">
                  <c:v>1.91727839842023</c:v>
                </c:pt>
                <c:pt idx="411">
                  <c:v>2.02363637989929</c:v>
                </c:pt>
                <c:pt idx="412">
                  <c:v>2.05343049892431</c:v>
                </c:pt>
                <c:pt idx="413">
                  <c:v>2.0698753724427799</c:v>
                </c:pt>
                <c:pt idx="414">
                  <c:v>2.0759258440864601</c:v>
                </c:pt>
                <c:pt idx="415">
                  <c:v>2.0737184003411202</c:v>
                </c:pt>
                <c:pt idx="416">
                  <c:v>2.0483776401134</c:v>
                </c:pt>
                <c:pt idx="417">
                  <c:v>2.0496610751366302</c:v>
                </c:pt>
                <c:pt idx="418">
                  <c:v>2.0350466870358299</c:v>
                </c:pt>
                <c:pt idx="419">
                  <c:v>2.0145256395220001</c:v>
                </c:pt>
                <c:pt idx="420">
                  <c:v>2.0658289951627702</c:v>
                </c:pt>
                <c:pt idx="421">
                  <c:v>2.10430453403993</c:v>
                </c:pt>
                <c:pt idx="422">
                  <c:v>2.0409406770374501</c:v>
                </c:pt>
                <c:pt idx="423">
                  <c:v>1.9613262558914299</c:v>
                </c:pt>
                <c:pt idx="424">
                  <c:v>1.84308237312657</c:v>
                </c:pt>
                <c:pt idx="425">
                  <c:v>1.86975078806546</c:v>
                </c:pt>
                <c:pt idx="426">
                  <c:v>1.92355689997709</c:v>
                </c:pt>
                <c:pt idx="427">
                  <c:v>1.83698182322542</c:v>
                </c:pt>
                <c:pt idx="428">
                  <c:v>1.8402862875400301</c:v>
                </c:pt>
                <c:pt idx="429">
                  <c:v>1.8679867356537601</c:v>
                </c:pt>
                <c:pt idx="430">
                  <c:v>1.81908845065664</c:v>
                </c:pt>
                <c:pt idx="431">
                  <c:v>1.7255401365593801</c:v>
                </c:pt>
                <c:pt idx="432">
                  <c:v>1.67919584694318</c:v>
                </c:pt>
                <c:pt idx="433">
                  <c:v>1.6455429431785999</c:v>
                </c:pt>
                <c:pt idx="434">
                  <c:v>1.6969233238358601</c:v>
                </c:pt>
                <c:pt idx="435">
                  <c:v>1.8109971321306999</c:v>
                </c:pt>
                <c:pt idx="436">
                  <c:v>1.8558235890196499</c:v>
                </c:pt>
                <c:pt idx="437">
                  <c:v>1.92432556619196</c:v>
                </c:pt>
                <c:pt idx="438">
                  <c:v>1.893219994114</c:v>
                </c:pt>
                <c:pt idx="439">
                  <c:v>1.9062394725124501</c:v>
                </c:pt>
                <c:pt idx="440">
                  <c:v>1.96923706429233</c:v>
                </c:pt>
                <c:pt idx="441">
                  <c:v>2.0275247414283002</c:v>
                </c:pt>
                <c:pt idx="442">
                  <c:v>1.9636968494918701</c:v>
                </c:pt>
                <c:pt idx="443">
                  <c:v>1.82902313196789</c:v>
                </c:pt>
                <c:pt idx="444">
                  <c:v>1.8511525644897999</c:v>
                </c:pt>
                <c:pt idx="445">
                  <c:v>2.0297473599712998</c:v>
                </c:pt>
                <c:pt idx="446">
                  <c:v>1.9785900112345201</c:v>
                </c:pt>
                <c:pt idx="447">
                  <c:v>1.8644263806111001</c:v>
                </c:pt>
                <c:pt idx="448">
                  <c:v>1.7769114605193099</c:v>
                </c:pt>
                <c:pt idx="449">
                  <c:v>1.77244424950516</c:v>
                </c:pt>
                <c:pt idx="450">
                  <c:v>1.82126328957838</c:v>
                </c:pt>
                <c:pt idx="451">
                  <c:v>1.94689497306229</c:v>
                </c:pt>
                <c:pt idx="452">
                  <c:v>2.08169534361513</c:v>
                </c:pt>
                <c:pt idx="453">
                  <c:v>1.9263956866276299</c:v>
                </c:pt>
                <c:pt idx="454">
                  <c:v>1.68470689102612</c:v>
                </c:pt>
                <c:pt idx="455">
                  <c:v>1.71634564451696</c:v>
                </c:pt>
                <c:pt idx="456">
                  <c:v>1.85994903982832</c:v>
                </c:pt>
                <c:pt idx="457">
                  <c:v>2.0432784740115602</c:v>
                </c:pt>
                <c:pt idx="458">
                  <c:v>1.94598627724535</c:v>
                </c:pt>
                <c:pt idx="459">
                  <c:v>1.9025788393594001</c:v>
                </c:pt>
                <c:pt idx="460">
                  <c:v>1.8539560078227799</c:v>
                </c:pt>
                <c:pt idx="461">
                  <c:v>1.8645400950037101</c:v>
                </c:pt>
                <c:pt idx="462">
                  <c:v>1.82447655723129</c:v>
                </c:pt>
                <c:pt idx="463">
                  <c:v>1.6171577526712699</c:v>
                </c:pt>
                <c:pt idx="464">
                  <c:v>1.4856125077828399</c:v>
                </c:pt>
                <c:pt idx="465">
                  <c:v>1.4294504727614199</c:v>
                </c:pt>
                <c:pt idx="466">
                  <c:v>1.40499094424161</c:v>
                </c:pt>
                <c:pt idx="467">
                  <c:v>1.3601575041866101</c:v>
                </c:pt>
                <c:pt idx="468">
                  <c:v>1.3404566418013999</c:v>
                </c:pt>
                <c:pt idx="469">
                  <c:v>1.34490836312623</c:v>
                </c:pt>
                <c:pt idx="470">
                  <c:v>1.4948055091402399</c:v>
                </c:pt>
                <c:pt idx="471">
                  <c:v>1.6483654438853701</c:v>
                </c:pt>
                <c:pt idx="472">
                  <c:v>1.7428092870095799</c:v>
                </c:pt>
                <c:pt idx="473">
                  <c:v>1.8525384027859999</c:v>
                </c:pt>
                <c:pt idx="474">
                  <c:v>1.98302156562344</c:v>
                </c:pt>
                <c:pt idx="475">
                  <c:v>1.9776068496989301</c:v>
                </c:pt>
                <c:pt idx="476">
                  <c:v>2.0085196865878601</c:v>
                </c:pt>
                <c:pt idx="477">
                  <c:v>1.98189534718732</c:v>
                </c:pt>
                <c:pt idx="478">
                  <c:v>1.96258324254179</c:v>
                </c:pt>
                <c:pt idx="479">
                  <c:v>1.96318080201437</c:v>
                </c:pt>
                <c:pt idx="480">
                  <c:v>1.9738171635964601</c:v>
                </c:pt>
                <c:pt idx="481">
                  <c:v>1.8724742237711001</c:v>
                </c:pt>
                <c:pt idx="482">
                  <c:v>1.80666085028184</c:v>
                </c:pt>
                <c:pt idx="483">
                  <c:v>1.8435161855670601</c:v>
                </c:pt>
                <c:pt idx="484">
                  <c:v>2.0839090628858199</c:v>
                </c:pt>
                <c:pt idx="485">
                  <c:v>2.1881864927679802</c:v>
                </c:pt>
                <c:pt idx="486">
                  <c:v>2.2851233319359001</c:v>
                </c:pt>
                <c:pt idx="487">
                  <c:v>2.3345999164313298</c:v>
                </c:pt>
                <c:pt idx="488">
                  <c:v>2.3454689214367801</c:v>
                </c:pt>
                <c:pt idx="489">
                  <c:v>2.1239097123233601</c:v>
                </c:pt>
                <c:pt idx="490">
                  <c:v>2.0144299617375698</c:v>
                </c:pt>
                <c:pt idx="491">
                  <c:v>1.9126724804875199</c:v>
                </c:pt>
                <c:pt idx="492">
                  <c:v>1.8767373654744099</c:v>
                </c:pt>
                <c:pt idx="493">
                  <c:v>1.9217030256299401</c:v>
                </c:pt>
                <c:pt idx="494">
                  <c:v>1.90441018726397</c:v>
                </c:pt>
                <c:pt idx="495">
                  <c:v>1.93385565428843</c:v>
                </c:pt>
                <c:pt idx="496">
                  <c:v>1.94952363919136</c:v>
                </c:pt>
                <c:pt idx="497">
                  <c:v>1.9543668880123199</c:v>
                </c:pt>
                <c:pt idx="498">
                  <c:v>1.93267341075765</c:v>
                </c:pt>
                <c:pt idx="499">
                  <c:v>1.9514972962828301</c:v>
                </c:pt>
                <c:pt idx="500">
                  <c:v>1.8677213548193601</c:v>
                </c:pt>
                <c:pt idx="501">
                  <c:v>1.9092003842981899</c:v>
                </c:pt>
                <c:pt idx="502">
                  <c:v>1.8466894707218</c:v>
                </c:pt>
                <c:pt idx="503">
                  <c:v>1.8700198718837</c:v>
                </c:pt>
                <c:pt idx="504">
                  <c:v>1.8339628361905</c:v>
                </c:pt>
                <c:pt idx="505">
                  <c:v>1.8098983065498999</c:v>
                </c:pt>
                <c:pt idx="506">
                  <c:v>1.8445663439283499</c:v>
                </c:pt>
                <c:pt idx="507">
                  <c:v>1.8559921331200999</c:v>
                </c:pt>
                <c:pt idx="508">
                  <c:v>1.8379289861753001</c:v>
                </c:pt>
                <c:pt idx="509">
                  <c:v>1.8370526614135001</c:v>
                </c:pt>
                <c:pt idx="510">
                  <c:v>1.86138677395093</c:v>
                </c:pt>
                <c:pt idx="511">
                  <c:v>1.9606224946775901</c:v>
                </c:pt>
                <c:pt idx="512">
                  <c:v>1.91170307191851</c:v>
                </c:pt>
                <c:pt idx="513">
                  <c:v>1.8537190556088301</c:v>
                </c:pt>
                <c:pt idx="514">
                  <c:v>1.75057136460725</c:v>
                </c:pt>
                <c:pt idx="515">
                  <c:v>1.66341892265777</c:v>
                </c:pt>
                <c:pt idx="516">
                  <c:v>1.68018130426274</c:v>
                </c:pt>
                <c:pt idx="517">
                  <c:v>1.7949206357854699</c:v>
                </c:pt>
                <c:pt idx="518">
                  <c:v>1.88508559201951</c:v>
                </c:pt>
                <c:pt idx="519">
                  <c:v>1.9151370616985299</c:v>
                </c:pt>
                <c:pt idx="520">
                  <c:v>1.9277756260698899</c:v>
                </c:pt>
                <c:pt idx="521">
                  <c:v>1.91545620155152</c:v>
                </c:pt>
                <c:pt idx="522">
                  <c:v>1.8063425725532101</c:v>
                </c:pt>
                <c:pt idx="523">
                  <c:v>1.6458177694729099</c:v>
                </c:pt>
                <c:pt idx="524">
                  <c:v>1.5478986551262901</c:v>
                </c:pt>
                <c:pt idx="525">
                  <c:v>1.57920198641965</c:v>
                </c:pt>
                <c:pt idx="526">
                  <c:v>1.62994211594861</c:v>
                </c:pt>
                <c:pt idx="527">
                  <c:v>1.79382171039339</c:v>
                </c:pt>
                <c:pt idx="528">
                  <c:v>1.8491789397735201</c:v>
                </c:pt>
                <c:pt idx="529">
                  <c:v>1.8635284102316501</c:v>
                </c:pt>
                <c:pt idx="530">
                  <c:v>1.93421285695125</c:v>
                </c:pt>
                <c:pt idx="531">
                  <c:v>1.96177356809459</c:v>
                </c:pt>
                <c:pt idx="532">
                  <c:v>1.9616820522966301</c:v>
                </c:pt>
                <c:pt idx="533">
                  <c:v>2.0559617450657601</c:v>
                </c:pt>
                <c:pt idx="534">
                  <c:v>2.08424463281299</c:v>
                </c:pt>
                <c:pt idx="535">
                  <c:v>1.9534246365222401</c:v>
                </c:pt>
                <c:pt idx="536">
                  <c:v>1.9151650543402301</c:v>
                </c:pt>
                <c:pt idx="537">
                  <c:v>1.9023942778742799</c:v>
                </c:pt>
                <c:pt idx="538">
                  <c:v>1.84854807247124</c:v>
                </c:pt>
                <c:pt idx="539">
                  <c:v>1.8601127200649901</c:v>
                </c:pt>
                <c:pt idx="540">
                  <c:v>1.91592853475044</c:v>
                </c:pt>
                <c:pt idx="541">
                  <c:v>1.8749772576280299</c:v>
                </c:pt>
                <c:pt idx="542">
                  <c:v>1.8507889529123001</c:v>
                </c:pt>
                <c:pt idx="543">
                  <c:v>1.86401807681544</c:v>
                </c:pt>
                <c:pt idx="544">
                  <c:v>1.87992231370146</c:v>
                </c:pt>
                <c:pt idx="545">
                  <c:v>1.8994814258161301</c:v>
                </c:pt>
                <c:pt idx="546">
                  <c:v>2.0002614916245798</c:v>
                </c:pt>
                <c:pt idx="547">
                  <c:v>1.9153689461594201</c:v>
                </c:pt>
                <c:pt idx="548">
                  <c:v>1.82854618907232</c:v>
                </c:pt>
                <c:pt idx="549">
                  <c:v>1.8172846854284399</c:v>
                </c:pt>
                <c:pt idx="550">
                  <c:v>1.7730820053368701</c:v>
                </c:pt>
                <c:pt idx="551">
                  <c:v>1.78699003283402</c:v>
                </c:pt>
                <c:pt idx="552">
                  <c:v>1.8533384317742501</c:v>
                </c:pt>
                <c:pt idx="553">
                  <c:v>1.96450872774548</c:v>
                </c:pt>
                <c:pt idx="554">
                  <c:v>1.9362424016255</c:v>
                </c:pt>
                <c:pt idx="555">
                  <c:v>1.9855771725909399</c:v>
                </c:pt>
                <c:pt idx="556">
                  <c:v>1.8961432800551601</c:v>
                </c:pt>
                <c:pt idx="557">
                  <c:v>1.8407139525654399</c:v>
                </c:pt>
                <c:pt idx="558">
                  <c:v>1.82602872318876</c:v>
                </c:pt>
                <c:pt idx="559">
                  <c:v>1.8135280328947401</c:v>
                </c:pt>
                <c:pt idx="560">
                  <c:v>1.8493055049290399</c:v>
                </c:pt>
                <c:pt idx="561">
                  <c:v>2.0058257567992301</c:v>
                </c:pt>
                <c:pt idx="562">
                  <c:v>1.9594232315387199</c:v>
                </c:pt>
                <c:pt idx="563">
                  <c:v>1.9840781523567299</c:v>
                </c:pt>
                <c:pt idx="564">
                  <c:v>2.0251037674863301</c:v>
                </c:pt>
                <c:pt idx="565">
                  <c:v>1.96131634202469</c:v>
                </c:pt>
                <c:pt idx="566">
                  <c:v>1.9415431880990699</c:v>
                </c:pt>
                <c:pt idx="567">
                  <c:v>1.75718833924757</c:v>
                </c:pt>
                <c:pt idx="568">
                  <c:v>1.7422769095445201</c:v>
                </c:pt>
                <c:pt idx="569">
                  <c:v>1.72233363820542</c:v>
                </c:pt>
                <c:pt idx="570">
                  <c:v>1.6938143550131199</c:v>
                </c:pt>
                <c:pt idx="571">
                  <c:v>1.6514132158677901</c:v>
                </c:pt>
                <c:pt idx="572">
                  <c:v>1.6652272386501901</c:v>
                </c:pt>
                <c:pt idx="573">
                  <c:v>1.6585336374280499</c:v>
                </c:pt>
                <c:pt idx="574">
                  <c:v>1.6869605597678901</c:v>
                </c:pt>
                <c:pt idx="575">
                  <c:v>1.6982513282554399</c:v>
                </c:pt>
                <c:pt idx="576">
                  <c:v>1.6985265520892501</c:v>
                </c:pt>
                <c:pt idx="577">
                  <c:v>1.74454782224183</c:v>
                </c:pt>
                <c:pt idx="578">
                  <c:v>1.68016596406556</c:v>
                </c:pt>
                <c:pt idx="579">
                  <c:v>1.6633652249944499</c:v>
                </c:pt>
                <c:pt idx="580">
                  <c:v>1.75832097723074</c:v>
                </c:pt>
                <c:pt idx="581">
                  <c:v>1.84190688663791</c:v>
                </c:pt>
                <c:pt idx="582">
                  <c:v>1.86169598531543</c:v>
                </c:pt>
                <c:pt idx="583">
                  <c:v>1.84042258112965</c:v>
                </c:pt>
                <c:pt idx="584">
                  <c:v>1.81802126709555</c:v>
                </c:pt>
                <c:pt idx="585">
                  <c:v>1.7915094778348599</c:v>
                </c:pt>
                <c:pt idx="586">
                  <c:v>1.8489299608874299</c:v>
                </c:pt>
                <c:pt idx="587">
                  <c:v>1.84920553610801</c:v>
                </c:pt>
                <c:pt idx="588">
                  <c:v>1.8846605363120701</c:v>
                </c:pt>
                <c:pt idx="589">
                  <c:v>2.0184012601549601</c:v>
                </c:pt>
                <c:pt idx="590">
                  <c:v>2.1926764974161701</c:v>
                </c:pt>
                <c:pt idx="591">
                  <c:v>2.3193700099189498</c:v>
                </c:pt>
                <c:pt idx="592">
                  <c:v>2.23854068723056</c:v>
                </c:pt>
                <c:pt idx="593">
                  <c:v>1.64808786447652</c:v>
                </c:pt>
                <c:pt idx="594">
                  <c:v>1.17209092598485</c:v>
                </c:pt>
                <c:pt idx="595">
                  <c:v>0.80033233511559498</c:v>
                </c:pt>
                <c:pt idx="596">
                  <c:v>0.57108765764746405</c:v>
                </c:pt>
                <c:pt idx="597">
                  <c:v>0.42261873344803502</c:v>
                </c:pt>
                <c:pt idx="598">
                  <c:v>0.337341296787534</c:v>
                </c:pt>
                <c:pt idx="599">
                  <c:v>0.29000551286726201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586304"/>
        <c:axId val="70586880"/>
      </c:scatterChart>
      <c:valAx>
        <c:axId val="70586304"/>
        <c:scaling>
          <c:orientation val="minMax"/>
          <c:max val="1000"/>
          <c:min val="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/>
                  <a:t># cycle</a:t>
                </a:r>
              </a:p>
            </c:rich>
          </c:tx>
          <c:layout>
            <c:manualLayout>
              <c:xMode val="edge"/>
              <c:yMode val="edge"/>
              <c:x val="0.48327016326349054"/>
              <c:y val="0.8766957228937938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0586880"/>
        <c:crossesAt val="0"/>
        <c:crossBetween val="midCat"/>
        <c:majorUnit val="100"/>
        <c:minorUnit val="25"/>
      </c:valAx>
      <c:valAx>
        <c:axId val="70586880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/>
                  <a:t>88Sr (V)</a:t>
                </a:r>
              </a:p>
            </c:rich>
          </c:tx>
          <c:layout>
            <c:manualLayout>
              <c:xMode val="edge"/>
              <c:yMode val="edge"/>
              <c:x val="3.8278615596779232E-2"/>
              <c:y val="0.3466779046985322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0586304"/>
        <c:crossesAt val="0"/>
        <c:crossBetween val="midCat"/>
      </c:valAx>
      <c:spPr>
        <a:noFill/>
        <a:ln w="3175">
          <a:solidFill>
            <a:srgbClr val="B3B3B3"/>
          </a:solidFill>
          <a:prstDash val="solid"/>
        </a:ln>
      </c:spPr>
    </c:plotArea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22" r="0.75000000000000022" t="1" header="0.51180555555555562" footer="0.51180555555555562"/>
    <c:pageSetup firstPageNumber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314505884504549"/>
          <c:y val="8.6381464193774821E-2"/>
          <c:w val="0.7834168186603796"/>
          <c:h val="0.6877293495427457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420E"/>
              </a:solidFill>
              <a:prstDash val="solid"/>
            </a:ln>
          </c:spPr>
          <c:marker>
            <c:symbol val="none"/>
          </c:marker>
          <c:yVal>
            <c:numRef>
              <c:f>Data!$F$67:$F$1067</c:f>
              <c:numCache>
                <c:formatCode>0.00E+00</c:formatCode>
                <c:ptCount val="1001"/>
                <c:pt idx="0">
                  <c:v>-1.02144842559526E-4</c:v>
                </c:pt>
                <c:pt idx="1">
                  <c:v>-8.5490942029847205E-5</c:v>
                </c:pt>
                <c:pt idx="2">
                  <c:v>1.27941483564668E-4</c:v>
                </c:pt>
                <c:pt idx="3">
                  <c:v>8.7588272942773404E-7</c:v>
                </c:pt>
                <c:pt idx="4">
                  <c:v>1.7055622766485799E-5</c:v>
                </c:pt>
                <c:pt idx="5">
                  <c:v>-5.8130359616032903E-5</c:v>
                </c:pt>
                <c:pt idx="6">
                  <c:v>-5.5172880605543898E-7</c:v>
                </c:pt>
                <c:pt idx="7">
                  <c:v>3.53771154689378E-5</c:v>
                </c:pt>
                <c:pt idx="8">
                  <c:v>1.7055622766485799E-5</c:v>
                </c:pt>
                <c:pt idx="9">
                  <c:v>-2.4582883329817301E-5</c:v>
                </c:pt>
                <c:pt idx="10">
                  <c:v>1.27227586714771E-4</c:v>
                </c:pt>
                <c:pt idx="11">
                  <c:v>1.6030534337925701E-4</c:v>
                </c:pt>
                <c:pt idx="12">
                  <c:v>2.01488382100095E-5</c:v>
                </c:pt>
                <c:pt idx="13">
                  <c:v>-7.8591387584652205E-5</c:v>
                </c:pt>
                <c:pt idx="14">
                  <c:v>-5.6702830391643699E-5</c:v>
                </c:pt>
                <c:pt idx="15">
                  <c:v>-6.5030055432141196E-5</c:v>
                </c:pt>
                <c:pt idx="16">
                  <c:v>-3.3862085266323897E-5</c:v>
                </c:pt>
                <c:pt idx="17">
                  <c:v>-7.3595128744629096E-5</c:v>
                </c:pt>
                <c:pt idx="18">
                  <c:v>6.2503059552917103E-5</c:v>
                </c:pt>
                <c:pt idx="19">
                  <c:v>6.1104758202676702E-6</c:v>
                </c:pt>
                <c:pt idx="20">
                  <c:v>3.1570024383927899E-5</c:v>
                </c:pt>
                <c:pt idx="21">
                  <c:v>9.2009309022014798E-5</c:v>
                </c:pt>
                <c:pt idx="22">
                  <c:v>6.0361510863145698E-5</c:v>
                </c:pt>
                <c:pt idx="23">
                  <c:v>9.6768463161832E-5</c:v>
                </c:pt>
                <c:pt idx="24">
                  <c:v>1.03431317059239E-4</c:v>
                </c:pt>
                <c:pt idx="25">
                  <c:v>1.27727248926355E-5</c:v>
                </c:pt>
                <c:pt idx="26">
                  <c:v>-1.2686344458702E-5</c:v>
                </c:pt>
                <c:pt idx="27">
                  <c:v>-5.4323610482940297E-5</c:v>
                </c:pt>
                <c:pt idx="28">
                  <c:v>-2.1251866731575702E-5</c:v>
                </c:pt>
                <c:pt idx="29">
                  <c:v>-8.8794220879735401E-6</c:v>
                </c:pt>
                <c:pt idx="30">
                  <c:v>-3.4100012387497199E-5</c:v>
                </c:pt>
                <c:pt idx="31">
                  <c:v>2.75250060088324E-5</c:v>
                </c:pt>
                <c:pt idx="32">
                  <c:v>-2.8865602629942E-5</c:v>
                </c:pt>
                <c:pt idx="33">
                  <c:v>-5.0278923628788498E-5</c:v>
                </c:pt>
                <c:pt idx="34">
                  <c:v>1.8007380344022901E-5</c:v>
                </c:pt>
                <c:pt idx="35">
                  <c:v>1.0057580280286601E-4</c:v>
                </c:pt>
                <c:pt idx="36">
                  <c:v>3.9898054982785499E-5</c:v>
                </c:pt>
                <c:pt idx="37">
                  <c:v>-4.5996296162286398E-5</c:v>
                </c:pt>
                <c:pt idx="38">
                  <c:v>-1.67311835762377E-5</c:v>
                </c:pt>
                <c:pt idx="39">
                  <c:v>1.4676232791064199E-5</c:v>
                </c:pt>
                <c:pt idx="40">
                  <c:v>2.30349630572875E-6</c:v>
                </c:pt>
                <c:pt idx="41">
                  <c:v>6.5834366642728297E-5</c:v>
                </c:pt>
                <c:pt idx="42">
                  <c:v>-6.0985411942584902E-5</c:v>
                </c:pt>
                <c:pt idx="43">
                  <c:v>-5.33719209323632E-5</c:v>
                </c:pt>
                <c:pt idx="44">
                  <c:v>2.8000889673102898E-5</c:v>
                </c:pt>
                <c:pt idx="45">
                  <c:v>3.4663284785007998E-5</c:v>
                </c:pt>
                <c:pt idx="46">
                  <c:v>-1.9824284788065799E-5</c:v>
                </c:pt>
                <c:pt idx="47">
                  <c:v>2.6097356376414701E-5</c:v>
                </c:pt>
                <c:pt idx="48">
                  <c:v>1.1583034298582601E-5</c:v>
                </c:pt>
                <c:pt idx="49">
                  <c:v>6.5863492799940199E-6</c:v>
                </c:pt>
                <c:pt idx="50">
                  <c:v>-4.1713650329105202E-5</c:v>
                </c:pt>
                <c:pt idx="51">
                  <c:v>-1.8396700803737901E-5</c:v>
                </c:pt>
                <c:pt idx="52">
                  <c:v>6.9879540191368294E-5</c:v>
                </c:pt>
                <c:pt idx="53">
                  <c:v>-5.4323610482940297E-5</c:v>
                </c:pt>
                <c:pt idx="54">
                  <c:v>4.9177942316513102E-5</c:v>
                </c:pt>
                <c:pt idx="55">
                  <c:v>1.1651919520290699E-4</c:v>
                </c:pt>
                <c:pt idx="56">
                  <c:v>-3.3862085266323897E-5</c:v>
                </c:pt>
                <c:pt idx="57">
                  <c:v>1.1583034298582601E-5</c:v>
                </c:pt>
                <c:pt idx="58">
                  <c:v>1.3936390256650901E-4</c:v>
                </c:pt>
                <c:pt idx="59">
                  <c:v>-4.83755359110498E-5</c:v>
                </c:pt>
                <c:pt idx="60">
                  <c:v>-3.7668912400399502E-5</c:v>
                </c:pt>
                <c:pt idx="61">
                  <c:v>3.8708332073698701E-5</c:v>
                </c:pt>
                <c:pt idx="62">
                  <c:v>-1.29242766249716E-5</c:v>
                </c:pt>
                <c:pt idx="63">
                  <c:v>-2.6248387462391398E-5</c:v>
                </c:pt>
                <c:pt idx="64">
                  <c:v>-5.21823077184318E-5</c:v>
                </c:pt>
                <c:pt idx="65">
                  <c:v>3.4187397945727799E-5</c:v>
                </c:pt>
                <c:pt idx="66">
                  <c:v>-5.26581531741445E-5</c:v>
                </c:pt>
                <c:pt idx="67">
                  <c:v>9.8672131167960303E-5</c:v>
                </c:pt>
                <c:pt idx="68">
                  <c:v>4.4419014963238103E-5</c:v>
                </c:pt>
                <c:pt idx="69">
                  <c:v>4.8939995410295802E-5</c:v>
                </c:pt>
                <c:pt idx="70">
                  <c:v>1.01554074563968E-5</c:v>
                </c:pt>
                <c:pt idx="71">
                  <c:v>1.58877503920312E-4</c:v>
                </c:pt>
                <c:pt idx="72">
                  <c:v>9.9148048736588299E-5</c:v>
                </c:pt>
                <c:pt idx="73">
                  <c:v>-7.6925970748933196E-5</c:v>
                </c:pt>
                <c:pt idx="74">
                  <c:v>6.79759270686235E-5</c:v>
                </c:pt>
                <c:pt idx="75">
                  <c:v>-9.3552881778396907E-6</c:v>
                </c:pt>
                <c:pt idx="76">
                  <c:v>3.7042722382393502E-5</c:v>
                </c:pt>
                <c:pt idx="77">
                  <c:v>-7.6212219826041195E-5</c:v>
                </c:pt>
                <c:pt idx="78">
                  <c:v>-8.4301367078125307E-5</c:v>
                </c:pt>
                <c:pt idx="79">
                  <c:v>1.1057013842062301E-4</c:v>
                </c:pt>
                <c:pt idx="80">
                  <c:v>3.0856196421467603E-5</c:v>
                </c:pt>
                <c:pt idx="81">
                  <c:v>-2.6931422828318799E-6</c:v>
                </c:pt>
                <c:pt idx="82">
                  <c:v>-1.8634631609613801E-5</c:v>
                </c:pt>
                <c:pt idx="83">
                  <c:v>1.11284023363438E-4</c:v>
                </c:pt>
                <c:pt idx="84">
                  <c:v>-4.4092900281730801E-5</c:v>
                </c:pt>
                <c:pt idx="85">
                  <c:v>7.8921752077667394E-5</c:v>
                </c:pt>
                <c:pt idx="86">
                  <c:v>8.72778265525644E-6</c:v>
                </c:pt>
                <c:pt idx="87">
                  <c:v>7.7969936444919694E-5</c:v>
                </c:pt>
                <c:pt idx="88">
                  <c:v>1.6339900254369599E-4</c:v>
                </c:pt>
                <c:pt idx="89">
                  <c:v>1.0128968060156701E-4</c:v>
                </c:pt>
                <c:pt idx="90">
                  <c:v>-3.1958666257483897E-5</c:v>
                </c:pt>
                <c:pt idx="91">
                  <c:v>3.0380311396348801E-5</c:v>
                </c:pt>
                <c:pt idx="92">
                  <c:v>2.27661818379189E-5</c:v>
                </c:pt>
                <c:pt idx="93">
                  <c:v>1.1532938101149301E-4</c:v>
                </c:pt>
                <c:pt idx="94">
                  <c:v>4.9415889279337702E-5</c:v>
                </c:pt>
                <c:pt idx="95">
                  <c:v>3.6804778367467501E-5</c:v>
                </c:pt>
                <c:pt idx="96">
                  <c:v>-4.2427425910269698E-5</c:v>
                </c:pt>
                <c:pt idx="97">
                  <c:v>-8.6680515564340599E-5</c:v>
                </c:pt>
                <c:pt idx="98">
                  <c:v>-2.2172730181832599E-6</c:v>
                </c:pt>
                <c:pt idx="99">
                  <c:v>-1.0782885087271801E-5</c:v>
                </c:pt>
                <c:pt idx="100">
                  <c:v>-6.1937094237425806E-5</c:v>
                </c:pt>
                <c:pt idx="101">
                  <c:v>-5.1706462036289798E-5</c:v>
                </c:pt>
                <c:pt idx="102">
                  <c:v>-4.0999874238020401E-5</c:v>
                </c:pt>
                <c:pt idx="103">
                  <c:v>4.6798475805077902E-5</c:v>
                </c:pt>
                <c:pt idx="104">
                  <c:v>4.4449204969696802E-6</c:v>
                </c:pt>
                <c:pt idx="105">
                  <c:v>-2.6010458470676699E-5</c:v>
                </c:pt>
                <c:pt idx="106">
                  <c:v>-9.8311540410493994E-6</c:v>
                </c:pt>
                <c:pt idx="107">
                  <c:v>6.8242860951090903E-6</c:v>
                </c:pt>
                <c:pt idx="108">
                  <c:v>1.9409813976802999E-4</c:v>
                </c:pt>
                <c:pt idx="109">
                  <c:v>3.9426060819565298E-4</c:v>
                </c:pt>
                <c:pt idx="110">
                  <c:v>6.9469858985536995E-4</c:v>
                </c:pt>
                <c:pt idx="111">
                  <c:v>5.4684895624115197E-4</c:v>
                </c:pt>
                <c:pt idx="112">
                  <c:v>7.6803631745817405E-4</c:v>
                </c:pt>
                <c:pt idx="113">
                  <c:v>6.0493863400615201E-4</c:v>
                </c:pt>
                <c:pt idx="114">
                  <c:v>7.7589425045705002E-4</c:v>
                </c:pt>
                <c:pt idx="115">
                  <c:v>6.9660339779480996E-4</c:v>
                </c:pt>
                <c:pt idx="116">
                  <c:v>5.6994157935305102E-4</c:v>
                </c:pt>
                <c:pt idx="117">
                  <c:v>4.7352746476216501E-4</c:v>
                </c:pt>
                <c:pt idx="118">
                  <c:v>6.2850876992152905E-4</c:v>
                </c:pt>
                <c:pt idx="119">
                  <c:v>5.7017965041269904E-4</c:v>
                </c:pt>
                <c:pt idx="120">
                  <c:v>5.3994507979514804E-4</c:v>
                </c:pt>
                <c:pt idx="121">
                  <c:v>6.9493669064930603E-4</c:v>
                </c:pt>
                <c:pt idx="122">
                  <c:v>9.5878724104972305E-4</c:v>
                </c:pt>
                <c:pt idx="123">
                  <c:v>6.4707957174029796E-4</c:v>
                </c:pt>
                <c:pt idx="124">
                  <c:v>6.5922220574804197E-4</c:v>
                </c:pt>
                <c:pt idx="125">
                  <c:v>7.6827443573171297E-4</c:v>
                </c:pt>
                <c:pt idx="126">
                  <c:v>5.6803701291804898E-4</c:v>
                </c:pt>
                <c:pt idx="127">
                  <c:v>7.0112733120715302E-4</c:v>
                </c:pt>
                <c:pt idx="128">
                  <c:v>6.4779384024343497E-4</c:v>
                </c:pt>
                <c:pt idx="129">
                  <c:v>5.53276746170315E-4</c:v>
                </c:pt>
                <c:pt idx="130">
                  <c:v>5.8946359468030904E-4</c:v>
                </c:pt>
                <c:pt idx="131">
                  <c:v>5.3304125106454496E-4</c:v>
                </c:pt>
                <c:pt idx="132">
                  <c:v>5.4161152836150104E-4</c:v>
                </c:pt>
                <c:pt idx="133">
                  <c:v>4.4567623077653698E-4</c:v>
                </c:pt>
                <c:pt idx="134">
                  <c:v>5.89225519024558E-4</c:v>
                </c:pt>
                <c:pt idx="135">
                  <c:v>6.8874608845437898E-4</c:v>
                </c:pt>
                <c:pt idx="136">
                  <c:v>5.8327364607453397E-4</c:v>
                </c:pt>
                <c:pt idx="137">
                  <c:v>8.1280355059114404E-4</c:v>
                </c:pt>
                <c:pt idx="138">
                  <c:v>6.5850792907345003E-4</c:v>
                </c:pt>
                <c:pt idx="139">
                  <c:v>7.0946094638516997E-4</c:v>
                </c:pt>
                <c:pt idx="140">
                  <c:v>6.10414474575002E-4</c:v>
                </c:pt>
                <c:pt idx="141">
                  <c:v>5.9232050697355398E-4</c:v>
                </c:pt>
                <c:pt idx="142">
                  <c:v>5.9755820073265195E-4</c:v>
                </c:pt>
                <c:pt idx="143">
                  <c:v>5.6160912800935303E-4</c:v>
                </c:pt>
                <c:pt idx="144">
                  <c:v>5.6041878349127796E-4</c:v>
                </c:pt>
                <c:pt idx="145">
                  <c:v>5.1923373674794598E-4</c:v>
                </c:pt>
                <c:pt idx="146">
                  <c:v>6.5755556096876795E-4</c:v>
                </c:pt>
                <c:pt idx="147">
                  <c:v>5.1947179572273301E-4</c:v>
                </c:pt>
                <c:pt idx="148">
                  <c:v>5.9208243063715101E-4</c:v>
                </c:pt>
                <c:pt idx="149">
                  <c:v>5.6232333540116701E-4</c:v>
                </c:pt>
                <c:pt idx="150">
                  <c:v>5.7851217324776801E-4</c:v>
                </c:pt>
                <c:pt idx="151">
                  <c:v>5.5637162273980401E-4</c:v>
                </c:pt>
                <c:pt idx="152">
                  <c:v>5.4803928458886501E-4</c:v>
                </c:pt>
                <c:pt idx="153">
                  <c:v>6.3017536624018799E-4</c:v>
                </c:pt>
                <c:pt idx="154">
                  <c:v>5.1899567782999305E-4</c:v>
                </c:pt>
                <c:pt idx="155">
                  <c:v>5.5184834483376004E-4</c:v>
                </c:pt>
                <c:pt idx="156">
                  <c:v>5.63989821301052E-4</c:v>
                </c:pt>
                <c:pt idx="157">
                  <c:v>5.5518128446285396E-4</c:v>
                </c:pt>
                <c:pt idx="158">
                  <c:v>4.4543818938865801E-4</c:v>
                </c:pt>
                <c:pt idx="159">
                  <c:v>6.0041513617645995E-4</c:v>
                </c:pt>
                <c:pt idx="160">
                  <c:v>5.8232134969356502E-4</c:v>
                </c:pt>
                <c:pt idx="161">
                  <c:v>7.4732024490700103E-4</c:v>
                </c:pt>
                <c:pt idx="162">
                  <c:v>6.5826983696225499E-4</c:v>
                </c:pt>
                <c:pt idx="163">
                  <c:v>6.2850876992152905E-4</c:v>
                </c:pt>
                <c:pt idx="164">
                  <c:v>6.5398418866218996E-4</c:v>
                </c:pt>
                <c:pt idx="165">
                  <c:v>5.5946650889820504E-4</c:v>
                </c:pt>
                <c:pt idx="166">
                  <c:v>4.26871135912406E-4</c:v>
                </c:pt>
                <c:pt idx="167">
                  <c:v>6.10414474575002E-4</c:v>
                </c:pt>
                <c:pt idx="168">
                  <c:v>4.0640016929726502E-4</c:v>
                </c:pt>
                <c:pt idx="169">
                  <c:v>5.1899567782999305E-4</c:v>
                </c:pt>
                <c:pt idx="170">
                  <c:v>4.8352553305153998E-4</c:v>
                </c:pt>
                <c:pt idx="171">
                  <c:v>5.81845201843519E-4</c:v>
                </c:pt>
                <c:pt idx="172">
                  <c:v>5.9398704291792098E-4</c:v>
                </c:pt>
                <c:pt idx="173">
                  <c:v>4.8995291551187105E-4</c:v>
                </c:pt>
                <c:pt idx="174">
                  <c:v>6.5969839048126203E-4</c:v>
                </c:pt>
                <c:pt idx="175">
                  <c:v>5.7541722808092703E-4</c:v>
                </c:pt>
                <c:pt idx="176">
                  <c:v>6.4088926610778897E-4</c:v>
                </c:pt>
                <c:pt idx="177">
                  <c:v>4.8352553305153998E-4</c:v>
                </c:pt>
                <c:pt idx="178">
                  <c:v>4.7614599678422903E-4</c:v>
                </c:pt>
                <c:pt idx="179">
                  <c:v>5.1494868490481699E-4</c:v>
                </c:pt>
                <c:pt idx="180">
                  <c:v>3.8830989683816399E-4</c:v>
                </c:pt>
                <c:pt idx="181">
                  <c:v>4.1187492159639198E-4</c:v>
                </c:pt>
                <c:pt idx="182">
                  <c:v>5.02569749502984E-4</c:v>
                </c:pt>
                <c:pt idx="183">
                  <c:v>4.6138708780512299E-4</c:v>
                </c:pt>
                <c:pt idx="184">
                  <c:v>5.7970253932662804E-4</c:v>
                </c:pt>
                <c:pt idx="185">
                  <c:v>4.9733255378347498E-4</c:v>
                </c:pt>
                <c:pt idx="186">
                  <c:v>4.8995291551187105E-4</c:v>
                </c:pt>
                <c:pt idx="187">
                  <c:v>4.3996325312424501E-4</c:v>
                </c:pt>
                <c:pt idx="188">
                  <c:v>4.9185733307219705E-4</c:v>
                </c:pt>
                <c:pt idx="189">
                  <c:v>5.3780250715176696E-4</c:v>
                </c:pt>
                <c:pt idx="190">
                  <c:v>4.3567854132839102E-4</c:v>
                </c:pt>
                <c:pt idx="191">
                  <c:v>3.6664960688139099E-4</c:v>
                </c:pt>
                <c:pt idx="192">
                  <c:v>4.5829250551375299E-4</c:v>
                </c:pt>
                <c:pt idx="193">
                  <c:v>5.3304125106454496E-4</c:v>
                </c:pt>
                <c:pt idx="194">
                  <c:v>7.3851009137342397E-4</c:v>
                </c:pt>
                <c:pt idx="195">
                  <c:v>4.2996562085787502E-4</c:v>
                </c:pt>
                <c:pt idx="196">
                  <c:v>4.4615231372257202E-4</c:v>
                </c:pt>
                <c:pt idx="197">
                  <c:v>4.0116347778572202E-4</c:v>
                </c:pt>
                <c:pt idx="198">
                  <c:v>5.6756087187679195E-4</c:v>
                </c:pt>
                <c:pt idx="199">
                  <c:v>4.7519380252758801E-4</c:v>
                </c:pt>
                <c:pt idx="200">
                  <c:v>5.1590091705924399E-4</c:v>
                </c:pt>
                <c:pt idx="201">
                  <c:v>4.8614409128369001E-4</c:v>
                </c:pt>
                <c:pt idx="202">
                  <c:v>3.8021698628537098E-4</c:v>
                </c:pt>
                <c:pt idx="203">
                  <c:v>4.3877305355948502E-4</c:v>
                </c:pt>
                <c:pt idx="204">
                  <c:v>3.6926785873123499E-4</c:v>
                </c:pt>
                <c:pt idx="205">
                  <c:v>3.12381932119258E-4</c:v>
                </c:pt>
                <c:pt idx="206">
                  <c:v>4.5019902792503899E-4</c:v>
                </c:pt>
                <c:pt idx="207">
                  <c:v>5.8232134969356502E-4</c:v>
                </c:pt>
                <c:pt idx="208">
                  <c:v>4.8971486357207402E-4</c:v>
                </c:pt>
                <c:pt idx="209">
                  <c:v>4.49008816163567E-4</c:v>
                </c:pt>
                <c:pt idx="210">
                  <c:v>4.3663069791685899E-4</c:v>
                </c:pt>
                <c:pt idx="211">
                  <c:v>4.5186532677351702E-4</c:v>
                </c:pt>
                <c:pt idx="212">
                  <c:v>4.4710448029529202E-4</c:v>
                </c:pt>
                <c:pt idx="213">
                  <c:v>4.2115826581555997E-4</c:v>
                </c:pt>
                <c:pt idx="214">
                  <c:v>4.1663560016147602E-4</c:v>
                </c:pt>
                <c:pt idx="215">
                  <c:v>3.6141312377106999E-4</c:v>
                </c:pt>
                <c:pt idx="216">
                  <c:v>4.8114503152465701E-4</c:v>
                </c:pt>
                <c:pt idx="217">
                  <c:v>3.6783972050764401E-4</c:v>
                </c:pt>
                <c:pt idx="218">
                  <c:v>4.2496684224952803E-4</c:v>
                </c:pt>
                <c:pt idx="219">
                  <c:v>4.7328941673691099E-4</c:v>
                </c:pt>
                <c:pt idx="220">
                  <c:v>3.9473666663595902E-4</c:v>
                </c:pt>
                <c:pt idx="221">
                  <c:v>4.8328748264355099E-4</c:v>
                </c:pt>
                <c:pt idx="222">
                  <c:v>5.4803928458886501E-4</c:v>
                </c:pt>
                <c:pt idx="223">
                  <c:v>4.6948065604802698E-4</c:v>
                </c:pt>
                <c:pt idx="224">
                  <c:v>4.3353619232268598E-4</c:v>
                </c:pt>
                <c:pt idx="225">
                  <c:v>3.4332366607435602E-4</c:v>
                </c:pt>
                <c:pt idx="226">
                  <c:v>4.5853054996501902E-4</c:v>
                </c:pt>
                <c:pt idx="227">
                  <c:v>4.25918988627313E-4</c:v>
                </c:pt>
                <c:pt idx="228">
                  <c:v>5.4327797970820301E-4</c:v>
                </c:pt>
                <c:pt idx="229">
                  <c:v>4.0663820138199698E-4</c:v>
                </c:pt>
                <c:pt idx="230">
                  <c:v>4.8542993835786499E-4</c:v>
                </c:pt>
                <c:pt idx="231">
                  <c:v>5.0733086034885396E-4</c:v>
                </c:pt>
                <c:pt idx="232">
                  <c:v>3.8616764942799698E-4</c:v>
                </c:pt>
                <c:pt idx="233">
                  <c:v>3.6212718803327998E-4</c:v>
                </c:pt>
                <c:pt idx="234">
                  <c:v>3.8830989683816399E-4</c:v>
                </c:pt>
                <c:pt idx="235">
                  <c:v>5.2923226253472305E-4</c:v>
                </c:pt>
                <c:pt idx="236">
                  <c:v>4.77574289871502E-4</c:v>
                </c:pt>
                <c:pt idx="237">
                  <c:v>4.7828843718092899E-4</c:v>
                </c:pt>
                <c:pt idx="238">
                  <c:v>4.4400994225263799E-4</c:v>
                </c:pt>
                <c:pt idx="239">
                  <c:v>5.1518674285817205E-4</c:v>
                </c:pt>
                <c:pt idx="240">
                  <c:v>4.1949201819213398E-4</c:v>
                </c:pt>
                <c:pt idx="241">
                  <c:v>4.0901852534862997E-4</c:v>
                </c:pt>
                <c:pt idx="242">
                  <c:v>4.4591427222125102E-4</c:v>
                </c:pt>
                <c:pt idx="243">
                  <c:v>4.2496684224952803E-4</c:v>
                </c:pt>
                <c:pt idx="244">
                  <c:v>4.2996562085787502E-4</c:v>
                </c:pt>
                <c:pt idx="245">
                  <c:v>3.7736068056949001E-4</c:v>
                </c:pt>
                <c:pt idx="246">
                  <c:v>3.8354935327760499E-4</c:v>
                </c:pt>
                <c:pt idx="247">
                  <c:v>4.7043284485877502E-4</c:v>
                </c:pt>
                <c:pt idx="248">
                  <c:v>4.8638214237255802E-4</c:v>
                </c:pt>
                <c:pt idx="249">
                  <c:v>4.4162953489755401E-4</c:v>
                </c:pt>
                <c:pt idx="250">
                  <c:v>4.6519581763257401E-4</c:v>
                </c:pt>
                <c:pt idx="251">
                  <c:v>3.7212414130450899E-4</c:v>
                </c:pt>
                <c:pt idx="252">
                  <c:v>4.39487173128155E-4</c:v>
                </c:pt>
                <c:pt idx="253">
                  <c:v>3.7617055559858997E-4</c:v>
                </c:pt>
                <c:pt idx="254">
                  <c:v>4.4734252208033099E-4</c:v>
                </c:pt>
                <c:pt idx="255">
                  <c:v>5.95891658830424E-4</c:v>
                </c:pt>
                <c:pt idx="256">
                  <c:v>3.8521554094276899E-4</c:v>
                </c:pt>
                <c:pt idx="257">
                  <c:v>4.0973262364478002E-4</c:v>
                </c:pt>
                <c:pt idx="258">
                  <c:v>5.0280780450639398E-4</c:v>
                </c:pt>
                <c:pt idx="259">
                  <c:v>4.74955754105173E-4</c:v>
                </c:pt>
                <c:pt idx="260">
                  <c:v>4.7638404549036202E-4</c:v>
                </c:pt>
                <c:pt idx="261">
                  <c:v>3.8592962222172301E-4</c:v>
                </c:pt>
                <c:pt idx="262">
                  <c:v>3.6188916655593599E-4</c:v>
                </c:pt>
                <c:pt idx="263">
                  <c:v>4.0782836265613098E-4</c:v>
                </c:pt>
                <c:pt idx="264">
                  <c:v>5.2470910752038002E-4</c:v>
                </c:pt>
                <c:pt idx="265">
                  <c:v>4.7019479757100599E-4</c:v>
                </c:pt>
                <c:pt idx="266">
                  <c:v>3.5855687182779702E-4</c:v>
                </c:pt>
                <c:pt idx="267">
                  <c:v>4.3139384791217501E-4</c:v>
                </c:pt>
                <c:pt idx="268">
                  <c:v>4.3496442448255401E-4</c:v>
                </c:pt>
                <c:pt idx="269">
                  <c:v>4.6614800235873099E-4</c:v>
                </c:pt>
                <c:pt idx="270">
                  <c:v>3.5831885120115399E-4</c:v>
                </c:pt>
                <c:pt idx="271">
                  <c:v>3.54748548608701E-4</c:v>
                </c:pt>
                <c:pt idx="272">
                  <c:v>4.1068475550040798E-4</c:v>
                </c:pt>
                <c:pt idx="273">
                  <c:v>3.2571056153301301E-4</c:v>
                </c:pt>
                <c:pt idx="274">
                  <c:v>4.3139384791217501E-4</c:v>
                </c:pt>
                <c:pt idx="275">
                  <c:v>3.5974697581148699E-4</c:v>
                </c:pt>
                <c:pt idx="276">
                  <c:v>4.7281332085645099E-4</c:v>
                </c:pt>
                <c:pt idx="277">
                  <c:v>3.7974093476547601E-4</c:v>
                </c:pt>
                <c:pt idx="278">
                  <c:v>5.3518381349542505E-4</c:v>
                </c:pt>
                <c:pt idx="279">
                  <c:v>5.4922961435516996E-4</c:v>
                </c:pt>
                <c:pt idx="280">
                  <c:v>3.9783105202761699E-4</c:v>
                </c:pt>
                <c:pt idx="281">
                  <c:v>4.1615953128405899E-4</c:v>
                </c:pt>
                <c:pt idx="282">
                  <c:v>3.44037717404187E-4</c:v>
                </c:pt>
                <c:pt idx="283">
                  <c:v>4.55197932809704E-4</c:v>
                </c:pt>
                <c:pt idx="284">
                  <c:v>3.7974093476547601E-4</c:v>
                </c:pt>
                <c:pt idx="285">
                  <c:v>4.3829697413083201E-4</c:v>
                </c:pt>
                <c:pt idx="286">
                  <c:v>4.3091777200044898E-4</c:v>
                </c:pt>
                <c:pt idx="287">
                  <c:v>4.6019686271229202E-4</c:v>
                </c:pt>
                <c:pt idx="288">
                  <c:v>4.7852648639766401E-4</c:v>
                </c:pt>
                <c:pt idx="289">
                  <c:v>4.3924913321524901E-4</c:v>
                </c:pt>
                <c:pt idx="290">
                  <c:v>4.6067295257919301E-4</c:v>
                </c:pt>
                <c:pt idx="291">
                  <c:v>4.3853501381685401E-4</c:v>
                </c:pt>
                <c:pt idx="292">
                  <c:v>4.4305777862986199E-4</c:v>
                </c:pt>
                <c:pt idx="293">
                  <c:v>2.5526124918215999E-4</c:v>
                </c:pt>
                <c:pt idx="294">
                  <c:v>3.59508954901353E-4</c:v>
                </c:pt>
                <c:pt idx="295">
                  <c:v>3.5593864805471501E-4</c:v>
                </c:pt>
                <c:pt idx="296">
                  <c:v>3.4332366607435602E-4</c:v>
                </c:pt>
                <c:pt idx="297">
                  <c:v>3.9354652096088602E-4</c:v>
                </c:pt>
                <c:pt idx="298">
                  <c:v>4.64719725609822E-4</c:v>
                </c:pt>
                <c:pt idx="299">
                  <c:v>2.50501339726706E-4</c:v>
                </c:pt>
                <c:pt idx="300">
                  <c:v>3.3546913513823602E-4</c:v>
                </c:pt>
                <c:pt idx="301">
                  <c:v>4.1377919029954698E-4</c:v>
                </c:pt>
                <c:pt idx="302">
                  <c:v>3.8450146017464598E-4</c:v>
                </c:pt>
                <c:pt idx="303">
                  <c:v>5.4280185046831696E-4</c:v>
                </c:pt>
                <c:pt idx="304">
                  <c:v>5.1494868490481699E-4</c:v>
                </c:pt>
                <c:pt idx="305">
                  <c:v>3.7688463041089901E-4</c:v>
                </c:pt>
                <c:pt idx="306">
                  <c:v>5.5899037194199401E-4</c:v>
                </c:pt>
                <c:pt idx="307">
                  <c:v>4.9876087716565196E-4</c:v>
                </c:pt>
                <c:pt idx="308">
                  <c:v>5.1423451138462304E-4</c:v>
                </c:pt>
                <c:pt idx="309">
                  <c:v>5.3589800199359001E-4</c:v>
                </c:pt>
                <c:pt idx="310">
                  <c:v>3.9568878419699602E-4</c:v>
                </c:pt>
                <c:pt idx="311">
                  <c:v>5.2470910752038002E-4</c:v>
                </c:pt>
                <c:pt idx="312">
                  <c:v>2.9310333641159299E-4</c:v>
                </c:pt>
                <c:pt idx="313">
                  <c:v>7.60416562667228E-4</c:v>
                </c:pt>
                <c:pt idx="314">
                  <c:v>4.9780866135049897E-4</c:v>
                </c:pt>
                <c:pt idx="315">
                  <c:v>3.4022944954406701E-4</c:v>
                </c:pt>
                <c:pt idx="316">
                  <c:v>3.5522458821696701E-4</c:v>
                </c:pt>
                <c:pt idx="317">
                  <c:v>4.6590995609194002E-4</c:v>
                </c:pt>
                <c:pt idx="318">
                  <c:v>4.2663309900605102E-4</c:v>
                </c:pt>
                <c:pt idx="319">
                  <c:v>4.8066893190016003E-4</c:v>
                </c:pt>
                <c:pt idx="320">
                  <c:v>5.0233169455640801E-4</c:v>
                </c:pt>
                <c:pt idx="321">
                  <c:v>5.4351604441328497E-4</c:v>
                </c:pt>
                <c:pt idx="322">
                  <c:v>3.86405676691107E-4</c:v>
                </c:pt>
                <c:pt idx="323">
                  <c:v>3.0857378495611403E-4</c:v>
                </c:pt>
                <c:pt idx="324">
                  <c:v>3.2428248558812701E-4</c:v>
                </c:pt>
                <c:pt idx="325">
                  <c:v>4.0497197798035399E-4</c:v>
                </c:pt>
                <c:pt idx="326">
                  <c:v>3.53082411766427E-4</c:v>
                </c:pt>
                <c:pt idx="327">
                  <c:v>2.8524920039840198E-4</c:v>
                </c:pt>
                <c:pt idx="328">
                  <c:v>3.89023980329121E-4</c:v>
                </c:pt>
                <c:pt idx="329">
                  <c:v>4.2925150809640199E-4</c:v>
                </c:pt>
                <c:pt idx="330">
                  <c:v>3.8235922093275303E-4</c:v>
                </c:pt>
                <c:pt idx="331">
                  <c:v>3.8688173138760201E-4</c:v>
                </c:pt>
                <c:pt idx="332">
                  <c:v>3.67125652161752E-4</c:v>
                </c:pt>
                <c:pt idx="333">
                  <c:v>4.6257731431609099E-4</c:v>
                </c:pt>
                <c:pt idx="334">
                  <c:v>4.2139630141721903E-4</c:v>
                </c:pt>
                <c:pt idx="335">
                  <c:v>3.9354652096088602E-4</c:v>
                </c:pt>
                <c:pt idx="336">
                  <c:v>4.8781045009656698E-4</c:v>
                </c:pt>
                <c:pt idx="337">
                  <c:v>5.2470910752038002E-4</c:v>
                </c:pt>
                <c:pt idx="338">
                  <c:v>3.4498978663782798E-4</c:v>
                </c:pt>
                <c:pt idx="339">
                  <c:v>3.9330849199614698E-4</c:v>
                </c:pt>
                <c:pt idx="340">
                  <c:v>4.6638604868190102E-4</c:v>
                </c:pt>
                <c:pt idx="341">
                  <c:v>4.19253983044242E-4</c:v>
                </c:pt>
                <c:pt idx="342">
                  <c:v>4.7709819194886101E-4</c:v>
                </c:pt>
                <c:pt idx="343">
                  <c:v>3.9259440544203098E-4</c:v>
                </c:pt>
                <c:pt idx="344">
                  <c:v>4.7471770573936499E-4</c:v>
                </c:pt>
                <c:pt idx="345">
                  <c:v>5.0066531151879195E-4</c:v>
                </c:pt>
                <c:pt idx="346">
                  <c:v>5.5280061216450398E-4</c:v>
                </c:pt>
                <c:pt idx="347">
                  <c:v>6.4660339302222798E-4</c:v>
                </c:pt>
                <c:pt idx="348">
                  <c:v>5.43039915059957E-4</c:v>
                </c:pt>
                <c:pt idx="349">
                  <c:v>4.0425788308768798E-4</c:v>
                </c:pt>
                <c:pt idx="350">
                  <c:v>5.1923373674794598E-4</c:v>
                </c:pt>
                <c:pt idx="351">
                  <c:v>6.9136518470109599E-4</c:v>
                </c:pt>
                <c:pt idx="352">
                  <c:v>5.9113012585852395E-4</c:v>
                </c:pt>
                <c:pt idx="353">
                  <c:v>7.5232063688135604E-4</c:v>
                </c:pt>
                <c:pt idx="354">
                  <c:v>6.2517558562571801E-4</c:v>
                </c:pt>
                <c:pt idx="355">
                  <c:v>6.2779451520760996E-4</c:v>
                </c:pt>
                <c:pt idx="356">
                  <c:v>6.5707937725675402E-4</c:v>
                </c:pt>
                <c:pt idx="357">
                  <c:v>5.5875230354902698E-4</c:v>
                </c:pt>
                <c:pt idx="358">
                  <c:v>5.7327457935211698E-4</c:v>
                </c:pt>
                <c:pt idx="359">
                  <c:v>4.9185733307219705E-4</c:v>
                </c:pt>
                <c:pt idx="360">
                  <c:v>5.3446962550786304E-4</c:v>
                </c:pt>
                <c:pt idx="361">
                  <c:v>4.9138122834167602E-4</c:v>
                </c:pt>
                <c:pt idx="362">
                  <c:v>5.3827863400869103E-4</c:v>
                </c:pt>
                <c:pt idx="363">
                  <c:v>4.5257945570239698E-4</c:v>
                </c:pt>
                <c:pt idx="364">
                  <c:v>5.1685315012120698E-4</c:v>
                </c:pt>
                <c:pt idx="365">
                  <c:v>4.7519380252758801E-4</c:v>
                </c:pt>
                <c:pt idx="366">
                  <c:v>4.1187492159639198E-4</c:v>
                </c:pt>
                <c:pt idx="367">
                  <c:v>5.4327797970820301E-4</c:v>
                </c:pt>
                <c:pt idx="368">
                  <c:v>5.3446962550786304E-4</c:v>
                </c:pt>
                <c:pt idx="369">
                  <c:v>3.2023628149942501E-4</c:v>
                </c:pt>
                <c:pt idx="370">
                  <c:v>4.45200148057614E-4</c:v>
                </c:pt>
                <c:pt idx="371">
                  <c:v>4.9757060753857004E-4</c:v>
                </c:pt>
                <c:pt idx="372">
                  <c:v>4.0306772606796699E-4</c:v>
                </c:pt>
                <c:pt idx="373">
                  <c:v>4.73765512844254E-4</c:v>
                </c:pt>
                <c:pt idx="374">
                  <c:v>5.16377033476784E-4</c:v>
                </c:pt>
                <c:pt idx="375">
                  <c:v>5.9946282345394299E-4</c:v>
                </c:pt>
                <c:pt idx="376">
                  <c:v>4.5138924110442197E-4</c:v>
                </c:pt>
                <c:pt idx="377">
                  <c:v>2.9453136777698601E-4</c:v>
                </c:pt>
                <c:pt idx="378">
                  <c:v>4.2282451621865401E-4</c:v>
                </c:pt>
                <c:pt idx="379">
                  <c:v>4.91619280678633E-4</c:v>
                </c:pt>
                <c:pt idx="380">
                  <c:v>3.9140426231951402E-4</c:v>
                </c:pt>
                <c:pt idx="381">
                  <c:v>4.6329145090355002E-4</c:v>
                </c:pt>
                <c:pt idx="382">
                  <c:v>6.3684177931923097E-4</c:v>
                </c:pt>
                <c:pt idx="383">
                  <c:v>3.9568878419699602E-4</c:v>
                </c:pt>
                <c:pt idx="384">
                  <c:v>3.5403448962165402E-4</c:v>
                </c:pt>
                <c:pt idx="385">
                  <c:v>4.24252733062043E-4</c:v>
                </c:pt>
                <c:pt idx="386">
                  <c:v>5.1209199388811005E-4</c:v>
                </c:pt>
                <c:pt idx="387">
                  <c:v>4.3115580992800798E-4</c:v>
                </c:pt>
                <c:pt idx="388">
                  <c:v>3.2142633982399201E-4</c:v>
                </c:pt>
                <c:pt idx="389">
                  <c:v>4.59244683659141E-4</c:v>
                </c:pt>
                <c:pt idx="390">
                  <c:v>4.3186992405078498E-4</c:v>
                </c:pt>
                <c:pt idx="391">
                  <c:v>4.2044415935090803E-4</c:v>
                </c:pt>
                <c:pt idx="392">
                  <c:v>4.2020612397613302E-4</c:v>
                </c:pt>
                <c:pt idx="393">
                  <c:v>3.1952224718542798E-4</c:v>
                </c:pt>
                <c:pt idx="394">
                  <c:v>5.0685474824301697E-4</c:v>
                </c:pt>
                <c:pt idx="395">
                  <c:v>4.4448602440435198E-4</c:v>
                </c:pt>
                <c:pt idx="396">
                  <c:v>4.4020129320742799E-4</c:v>
                </c:pt>
                <c:pt idx="397">
                  <c:v>4.5376967171850902E-4</c:v>
                </c:pt>
                <c:pt idx="398">
                  <c:v>3.0428963675268401E-4</c:v>
                </c:pt>
                <c:pt idx="399">
                  <c:v>4.4448602440435198E-4</c:v>
                </c:pt>
                <c:pt idx="400">
                  <c:v>4.4472406556534701E-4</c:v>
                </c:pt>
                <c:pt idx="401">
                  <c:v>3.4498978663782798E-4</c:v>
                </c:pt>
                <c:pt idx="402">
                  <c:v>3.9283243423672001E-4</c:v>
                </c:pt>
                <c:pt idx="403">
                  <c:v>4.4377190126191902E-4</c:v>
                </c:pt>
                <c:pt idx="404">
                  <c:v>3.8688173138760201E-4</c:v>
                </c:pt>
                <c:pt idx="405">
                  <c:v>3.7807475623272802E-4</c:v>
                </c:pt>
                <c:pt idx="406">
                  <c:v>3.4451375190756601E-4</c:v>
                </c:pt>
                <c:pt idx="407">
                  <c:v>3.6664960688139099E-4</c:v>
                </c:pt>
                <c:pt idx="408">
                  <c:v>4.0306772606796699E-4</c:v>
                </c:pt>
                <c:pt idx="409">
                  <c:v>4.4020129320742799E-4</c:v>
                </c:pt>
                <c:pt idx="410">
                  <c:v>4.6186317823923302E-4</c:v>
                </c:pt>
                <c:pt idx="411">
                  <c:v>5.4684895624115197E-4</c:v>
                </c:pt>
                <c:pt idx="412">
                  <c:v>4.7281332085645099E-4</c:v>
                </c:pt>
                <c:pt idx="413">
                  <c:v>5.9232050697355398E-4</c:v>
                </c:pt>
                <c:pt idx="414">
                  <c:v>4.9423786012851303E-4</c:v>
                </c:pt>
                <c:pt idx="415">
                  <c:v>5.0637863636429105E-4</c:v>
                </c:pt>
                <c:pt idx="416">
                  <c:v>5.1780538409116001E-4</c:v>
                </c:pt>
                <c:pt idx="417">
                  <c:v>4.3853501381685401E-4</c:v>
                </c:pt>
                <c:pt idx="418">
                  <c:v>4.3615461950918301E-4</c:v>
                </c:pt>
                <c:pt idx="419">
                  <c:v>4.2544291532497797E-4</c:v>
                </c:pt>
                <c:pt idx="420">
                  <c:v>4.0330575735837899E-4</c:v>
                </c:pt>
                <c:pt idx="421">
                  <c:v>4.2282451621865401E-4</c:v>
                </c:pt>
                <c:pt idx="422">
                  <c:v>4.77336240881878E-4</c:v>
                </c:pt>
                <c:pt idx="423">
                  <c:v>4.6043490761732501E-4</c:v>
                </c:pt>
                <c:pt idx="424">
                  <c:v>4.4781860582045901E-4</c:v>
                </c:pt>
                <c:pt idx="425">
                  <c:v>3.59508954901353E-4</c:v>
                </c:pt>
                <c:pt idx="426">
                  <c:v>3.4070548223260201E-4</c:v>
                </c:pt>
                <c:pt idx="427">
                  <c:v>5.4042120767327703E-4</c:v>
                </c:pt>
                <c:pt idx="428">
                  <c:v>5.4423023886862902E-4</c:v>
                </c:pt>
                <c:pt idx="429">
                  <c:v>4.7138503457705698E-4</c:v>
                </c:pt>
                <c:pt idx="430">
                  <c:v>3.9973529395665998E-4</c:v>
                </c:pt>
                <c:pt idx="431">
                  <c:v>4.9304759589117195E-4</c:v>
                </c:pt>
                <c:pt idx="432">
                  <c:v>3.7950290909055402E-4</c:v>
                </c:pt>
                <c:pt idx="433">
                  <c:v>4.9447591314634898E-4</c:v>
                </c:pt>
                <c:pt idx="434">
                  <c:v>4.9995114821087196E-4</c:v>
                </c:pt>
                <c:pt idx="435">
                  <c:v>4.6376754224542398E-4</c:v>
                </c:pt>
                <c:pt idx="436">
                  <c:v>5.4637282529918201E-4</c:v>
                </c:pt>
                <c:pt idx="437">
                  <c:v>6.9065088504371595E-4</c:v>
                </c:pt>
                <c:pt idx="438">
                  <c:v>4.8495383669095799E-4</c:v>
                </c:pt>
                <c:pt idx="439">
                  <c:v>6.53269915733E-4</c:v>
                </c:pt>
                <c:pt idx="440">
                  <c:v>5.5351481325835905E-4</c:v>
                </c:pt>
                <c:pt idx="441">
                  <c:v>6.3017536624018799E-4</c:v>
                </c:pt>
                <c:pt idx="442">
                  <c:v>5.6470403039472197E-4</c:v>
                </c:pt>
                <c:pt idx="443">
                  <c:v>5.3637412794275204E-4</c:v>
                </c:pt>
                <c:pt idx="444">
                  <c:v>5.6756087187679195E-4</c:v>
                </c:pt>
                <c:pt idx="445">
                  <c:v>6.44936769295865E-4</c:v>
                </c:pt>
                <c:pt idx="446">
                  <c:v>6.2112816250422197E-4</c:v>
                </c:pt>
                <c:pt idx="447">
                  <c:v>4.9566617908554595E-4</c:v>
                </c:pt>
                <c:pt idx="448">
                  <c:v>6.2469941734839699E-4</c:v>
                </c:pt>
                <c:pt idx="449">
                  <c:v>4.7876453567100702E-4</c:v>
                </c:pt>
                <c:pt idx="450">
                  <c:v>7.6327396390311105E-4</c:v>
                </c:pt>
                <c:pt idx="451">
                  <c:v>6.3065153712758197E-4</c:v>
                </c:pt>
                <c:pt idx="452">
                  <c:v>8.3066337891468602E-4</c:v>
                </c:pt>
                <c:pt idx="453">
                  <c:v>5.9422511970854601E-4</c:v>
                </c:pt>
                <c:pt idx="454">
                  <c:v>5.3208900257038804E-4</c:v>
                </c:pt>
                <c:pt idx="455">
                  <c:v>6.1779500283530998E-4</c:v>
                </c:pt>
                <c:pt idx="456">
                  <c:v>6.8326981849080499E-4</c:v>
                </c:pt>
                <c:pt idx="457">
                  <c:v>6.5993648293300995E-4</c:v>
                </c:pt>
                <c:pt idx="458">
                  <c:v>6.0112937131403198E-4</c:v>
                </c:pt>
                <c:pt idx="459">
                  <c:v>6.65174531229486E-4</c:v>
                </c:pt>
                <c:pt idx="460">
                  <c:v>6.6398406329592097E-4</c:v>
                </c:pt>
                <c:pt idx="461">
                  <c:v>7.0088922893779104E-4</c:v>
                </c:pt>
                <c:pt idx="462">
                  <c:v>6.8612699907419404E-4</c:v>
                </c:pt>
                <c:pt idx="463">
                  <c:v>6.4350823688614904E-4</c:v>
                </c:pt>
                <c:pt idx="464">
                  <c:v>6.3660369237180303E-4</c:v>
                </c:pt>
                <c:pt idx="465">
                  <c:v>5.6827508352392901E-4</c:v>
                </c:pt>
                <c:pt idx="466">
                  <c:v>5.0423613571765503E-4</c:v>
                </c:pt>
                <c:pt idx="467">
                  <c:v>4.84239684616062E-4</c:v>
                </c:pt>
                <c:pt idx="468">
                  <c:v>5.1399645365815202E-4</c:v>
                </c:pt>
                <c:pt idx="469">
                  <c:v>5.0328391468326401E-4</c:v>
                </c:pt>
                <c:pt idx="470">
                  <c:v>5.7827410020209102E-4</c:v>
                </c:pt>
                <c:pt idx="471">
                  <c:v>7.2350919791369704E-4</c:v>
                </c:pt>
                <c:pt idx="472">
                  <c:v>7.3755764699667001E-4</c:v>
                </c:pt>
                <c:pt idx="473">
                  <c:v>8.1637549071364196E-4</c:v>
                </c:pt>
                <c:pt idx="474">
                  <c:v>8.1327980853623295E-4</c:v>
                </c:pt>
                <c:pt idx="475">
                  <c:v>1.0107082796275901E-3</c:v>
                </c:pt>
                <c:pt idx="476">
                  <c:v>7.9256279779104299E-4</c:v>
                </c:pt>
                <c:pt idx="477">
                  <c:v>8.2137622834053102E-4</c:v>
                </c:pt>
                <c:pt idx="478">
                  <c:v>7.7637049080704699E-4</c:v>
                </c:pt>
                <c:pt idx="479">
                  <c:v>7.5946409740465601E-4</c:v>
                </c:pt>
                <c:pt idx="480">
                  <c:v>8.2613885887598002E-4</c:v>
                </c:pt>
                <c:pt idx="481">
                  <c:v>8.0780285587485595E-4</c:v>
                </c:pt>
                <c:pt idx="482">
                  <c:v>6.5612701051405702E-4</c:v>
                </c:pt>
                <c:pt idx="483">
                  <c:v>8.7733857109017696E-4</c:v>
                </c:pt>
                <c:pt idx="484">
                  <c:v>9.2377778856612698E-4</c:v>
                </c:pt>
                <c:pt idx="485">
                  <c:v>1.03905163637853E-3</c:v>
                </c:pt>
                <c:pt idx="486">
                  <c:v>9.5973989635752296E-4</c:v>
                </c:pt>
                <c:pt idx="487">
                  <c:v>9.9284523254320693E-4</c:v>
                </c:pt>
                <c:pt idx="488">
                  <c:v>1.10455406628073E-3</c:v>
                </c:pt>
                <c:pt idx="489">
                  <c:v>9.7998403639086096E-4</c:v>
                </c:pt>
                <c:pt idx="490">
                  <c:v>7.7613237060363102E-4</c:v>
                </c:pt>
                <c:pt idx="491">
                  <c:v>7.5779728538038897E-4</c:v>
                </c:pt>
                <c:pt idx="492">
                  <c:v>8.5257187103332597E-4</c:v>
                </c:pt>
                <c:pt idx="493">
                  <c:v>6.9731770170842198E-4</c:v>
                </c:pt>
                <c:pt idx="494">
                  <c:v>8.0851723930193398E-4</c:v>
                </c:pt>
                <c:pt idx="495">
                  <c:v>9.9213071730252698E-4</c:v>
                </c:pt>
                <c:pt idx="496">
                  <c:v>8.2828205002426897E-4</c:v>
                </c:pt>
                <c:pt idx="497">
                  <c:v>6.7350784648843203E-4</c:v>
                </c:pt>
                <c:pt idx="498">
                  <c:v>1.0752560850173199E-3</c:v>
                </c:pt>
                <c:pt idx="499">
                  <c:v>7.9827779232839497E-4</c:v>
                </c:pt>
                <c:pt idx="500">
                  <c:v>8.1804240047483E-4</c:v>
                </c:pt>
                <c:pt idx="501">
                  <c:v>6.3660369237180303E-4</c:v>
                </c:pt>
                <c:pt idx="502">
                  <c:v>7.5541613017000896E-4</c:v>
                </c:pt>
                <c:pt idx="503">
                  <c:v>9.4806993142873195E-4</c:v>
                </c:pt>
                <c:pt idx="504">
                  <c:v>8.11612906721663E-4</c:v>
                </c:pt>
                <c:pt idx="505">
                  <c:v>6.1874733303447598E-4</c:v>
                </c:pt>
                <c:pt idx="506">
                  <c:v>7.8708595870389804E-4</c:v>
                </c:pt>
                <c:pt idx="507">
                  <c:v>7.5565424543563202E-4</c:v>
                </c:pt>
                <c:pt idx="508">
                  <c:v>6.4136544210234298E-4</c:v>
                </c:pt>
                <c:pt idx="509">
                  <c:v>6.8017454874730202E-4</c:v>
                </c:pt>
                <c:pt idx="510">
                  <c:v>6.8660319663248898E-4</c:v>
                </c:pt>
                <c:pt idx="511">
                  <c:v>6.7684119205637099E-4</c:v>
                </c:pt>
                <c:pt idx="512">
                  <c:v>7.09937155066684E-4</c:v>
                </c:pt>
                <c:pt idx="513">
                  <c:v>7.7732297218837505E-4</c:v>
                </c:pt>
                <c:pt idx="514">
                  <c:v>8.6566956861197002E-4</c:v>
                </c:pt>
                <c:pt idx="515">
                  <c:v>6.5874602124147905E-4</c:v>
                </c:pt>
                <c:pt idx="516">
                  <c:v>5.0161753005700696E-4</c:v>
                </c:pt>
                <c:pt idx="517">
                  <c:v>6.5422227975217996E-4</c:v>
                </c:pt>
                <c:pt idx="518">
                  <c:v>5.9565358164263903E-4</c:v>
                </c:pt>
                <c:pt idx="519">
                  <c:v>5.9136820196804298E-4</c:v>
                </c:pt>
                <c:pt idx="520">
                  <c:v>6.7565071021969195E-4</c:v>
                </c:pt>
                <c:pt idx="521">
                  <c:v>7.5255875140903901E-4</c:v>
                </c:pt>
                <c:pt idx="522">
                  <c:v>6.8707939441789499E-4</c:v>
                </c:pt>
                <c:pt idx="523">
                  <c:v>5.8827321696944604E-4</c:v>
                </c:pt>
                <c:pt idx="524">
                  <c:v>5.3661219100235695E-4</c:v>
                </c:pt>
                <c:pt idx="525">
                  <c:v>5.0423613571765503E-4</c:v>
                </c:pt>
                <c:pt idx="526">
                  <c:v>7.3612898213407498E-4</c:v>
                </c:pt>
                <c:pt idx="527">
                  <c:v>8.4661842889735301E-4</c:v>
                </c:pt>
                <c:pt idx="528">
                  <c:v>7.4327232687864103E-4</c:v>
                </c:pt>
                <c:pt idx="529">
                  <c:v>6.6731737708511797E-4</c:v>
                </c:pt>
                <c:pt idx="530">
                  <c:v>8.2113809740969198E-4</c:v>
                </c:pt>
                <c:pt idx="531">
                  <c:v>7.9065780687705796E-4</c:v>
                </c:pt>
                <c:pt idx="532">
                  <c:v>8.3590232245365798E-4</c:v>
                </c:pt>
                <c:pt idx="533">
                  <c:v>8.1399419587967203E-4</c:v>
                </c:pt>
                <c:pt idx="534">
                  <c:v>8.06374090553416E-4</c:v>
                </c:pt>
                <c:pt idx="535">
                  <c:v>7.6517890260084805E-4</c:v>
                </c:pt>
                <c:pt idx="536">
                  <c:v>7.0684180269517697E-4</c:v>
                </c:pt>
                <c:pt idx="537">
                  <c:v>7.8375224526404104E-4</c:v>
                </c:pt>
                <c:pt idx="538">
                  <c:v>9.1306085448086295E-4</c:v>
                </c:pt>
                <c:pt idx="539">
                  <c:v>6.4446059159899995E-4</c:v>
                </c:pt>
                <c:pt idx="540">
                  <c:v>7.6327396390311105E-4</c:v>
                </c:pt>
                <c:pt idx="541">
                  <c:v>1.04595896281161E-3</c:v>
                </c:pt>
                <c:pt idx="542">
                  <c:v>8.6257373368762796E-4</c:v>
                </c:pt>
                <c:pt idx="543">
                  <c:v>7.2422352106583097E-4</c:v>
                </c:pt>
                <c:pt idx="544">
                  <c:v>8.2732952005751595E-4</c:v>
                </c:pt>
                <c:pt idx="545">
                  <c:v>8.8948400413547696E-4</c:v>
                </c:pt>
                <c:pt idx="546">
                  <c:v>6.7065070199707902E-4</c:v>
                </c:pt>
                <c:pt idx="547">
                  <c:v>7.0041302456957098E-4</c:v>
                </c:pt>
                <c:pt idx="548">
                  <c:v>7.4231987796148104E-4</c:v>
                </c:pt>
                <c:pt idx="549">
                  <c:v>7.1446114886172904E-4</c:v>
                </c:pt>
                <c:pt idx="550">
                  <c:v>6.4517485822932201E-4</c:v>
                </c:pt>
                <c:pt idx="551">
                  <c:v>7.0874663378881798E-4</c:v>
                </c:pt>
                <c:pt idx="552">
                  <c:v>7.5898786511403599E-4</c:v>
                </c:pt>
                <c:pt idx="553">
                  <c:v>8.5185745610372198E-4</c:v>
                </c:pt>
                <c:pt idx="554">
                  <c:v>6.6350787651960996E-4</c:v>
                </c:pt>
                <c:pt idx="555">
                  <c:v>6.5279373406407605E-4</c:v>
                </c:pt>
                <c:pt idx="556">
                  <c:v>7.9661091554447802E-4</c:v>
                </c:pt>
                <c:pt idx="557">
                  <c:v>7.3446220904312197E-4</c:v>
                </c:pt>
                <c:pt idx="558">
                  <c:v>6.8946038674977395E-4</c:v>
                </c:pt>
                <c:pt idx="559">
                  <c:v>5.7994061271263099E-4</c:v>
                </c:pt>
                <c:pt idx="560">
                  <c:v>7.4636779213054297E-4</c:v>
                </c:pt>
                <c:pt idx="561">
                  <c:v>7.5470178471346498E-4</c:v>
                </c:pt>
                <c:pt idx="562">
                  <c:v>8.9067474081249895E-4</c:v>
                </c:pt>
                <c:pt idx="563">
                  <c:v>8.0613596319861205E-4</c:v>
                </c:pt>
                <c:pt idx="564">
                  <c:v>8.0685034543352696E-4</c:v>
                </c:pt>
                <c:pt idx="565">
                  <c:v>8.1351793759403001E-4</c:v>
                </c:pt>
                <c:pt idx="566">
                  <c:v>8.7329012621889101E-4</c:v>
                </c:pt>
                <c:pt idx="567">
                  <c:v>7.7494177043793396E-4</c:v>
                </c:pt>
                <c:pt idx="568">
                  <c:v>8.4947607669504804E-4</c:v>
                </c:pt>
                <c:pt idx="569">
                  <c:v>7.3446220904312197E-4</c:v>
                </c:pt>
                <c:pt idx="570">
                  <c:v>8.11136649571122E-4</c:v>
                </c:pt>
                <c:pt idx="571">
                  <c:v>6.7469832577164495E-4</c:v>
                </c:pt>
                <c:pt idx="572">
                  <c:v>6.7350784648843203E-4</c:v>
                </c:pt>
                <c:pt idx="573">
                  <c:v>7.3946253665839695E-4</c:v>
                </c:pt>
                <c:pt idx="574">
                  <c:v>7.0160353591592597E-4</c:v>
                </c:pt>
                <c:pt idx="575">
                  <c:v>6.2850876992152905E-4</c:v>
                </c:pt>
                <c:pt idx="576">
                  <c:v>6.7088879705912803E-4</c:v>
                </c:pt>
                <c:pt idx="577">
                  <c:v>7.26842710327422E-4</c:v>
                </c:pt>
                <c:pt idx="578">
                  <c:v>7.6184526226350999E-4</c:v>
                </c:pt>
                <c:pt idx="579">
                  <c:v>6.8303172047767498E-4</c:v>
                </c:pt>
                <c:pt idx="580">
                  <c:v>5.4661089074175E-4</c:v>
                </c:pt>
                <c:pt idx="581">
                  <c:v>7.1327062219253003E-4</c:v>
                </c:pt>
                <c:pt idx="582">
                  <c:v>7.2874757955800897E-4</c:v>
                </c:pt>
                <c:pt idx="583">
                  <c:v>9.0663074920867303E-4</c:v>
                </c:pt>
                <c:pt idx="584">
                  <c:v>7.3446220904312197E-4</c:v>
                </c:pt>
                <c:pt idx="585">
                  <c:v>7.8232351433823696E-4</c:v>
                </c:pt>
                <c:pt idx="586">
                  <c:v>7.26366493587212E-4</c:v>
                </c:pt>
                <c:pt idx="587">
                  <c:v>9.4402119993494996E-4</c:v>
                </c:pt>
                <c:pt idx="588">
                  <c:v>8.5519139681207901E-4</c:v>
                </c:pt>
                <c:pt idx="589">
                  <c:v>8.9972438593751499E-4</c:v>
                </c:pt>
                <c:pt idx="590">
                  <c:v>1.0400043682200701E-3</c:v>
                </c:pt>
                <c:pt idx="591">
                  <c:v>9.3592378616753999E-4</c:v>
                </c:pt>
                <c:pt idx="592">
                  <c:v>9.2091992823646997E-4</c:v>
                </c:pt>
                <c:pt idx="593">
                  <c:v>7.2565216890281602E-4</c:v>
                </c:pt>
                <c:pt idx="594">
                  <c:v>3.8926200827288197E-4</c:v>
                </c:pt>
                <c:pt idx="595">
                  <c:v>3.48084017915339E-4</c:v>
                </c:pt>
                <c:pt idx="596">
                  <c:v>2.85963210210991E-4</c:v>
                </c:pt>
                <c:pt idx="597">
                  <c:v>1.9957172847358899E-4</c:v>
                </c:pt>
                <c:pt idx="598">
                  <c:v>1.39125934171573E-4</c:v>
                </c:pt>
                <c:pt idx="599">
                  <c:v>5.8695865057070497E-5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588032"/>
        <c:axId val="70588608"/>
      </c:scatterChart>
      <c:valAx>
        <c:axId val="70588032"/>
        <c:scaling>
          <c:orientation val="minMax"/>
          <c:max val="1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/>
                  <a:t># cycle</a:t>
                </a:r>
              </a:p>
            </c:rich>
          </c:tx>
          <c:layout>
            <c:manualLayout>
              <c:xMode val="edge"/>
              <c:yMode val="edge"/>
              <c:x val="0.53056494987306868"/>
              <c:y val="0.8771040372090245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0588608"/>
        <c:crossesAt val="0"/>
        <c:crossBetween val="midCat"/>
      </c:valAx>
      <c:valAx>
        <c:axId val="70588608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/>
                  <a:t>85Rb (V)</a:t>
                </a:r>
              </a:p>
            </c:rich>
          </c:tx>
          <c:layout>
            <c:manualLayout>
              <c:xMode val="edge"/>
              <c:yMode val="edge"/>
              <c:x val="1.8805989415257528E-2"/>
              <c:y val="0.3422039766396722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0588032"/>
        <c:crossesAt val="1"/>
        <c:crossBetween val="midCat"/>
      </c:valAx>
      <c:spPr>
        <a:noFill/>
        <a:ln w="3175">
          <a:solidFill>
            <a:srgbClr val="B3B3B3"/>
          </a:solidFill>
          <a:prstDash val="solid"/>
        </a:ln>
      </c:spPr>
    </c:plotArea>
    <c:plotVisOnly val="1"/>
    <c:dispBlanksAs val="span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22" r="0.75000000000000022" t="1" header="0.51180555555555562" footer="0.51180555555555562"/>
    <c:pageSetup firstPageNumber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954628016630679"/>
          <c:y val="8.6381464193774821E-2"/>
          <c:w val="0.68688379439295744"/>
          <c:h val="0.6877293495427457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B0F0"/>
              </a:solidFill>
              <a:prstDash val="solid"/>
            </a:ln>
          </c:spPr>
          <c:marker>
            <c:symbol val="none"/>
          </c:marker>
          <c:yVal>
            <c:numRef>
              <c:f>Data!$H$67:$H$1067</c:f>
              <c:numCache>
                <c:formatCode>0.00E+00</c:formatCode>
                <c:ptCount val="1001"/>
                <c:pt idx="0">
                  <c:v>-3.0190344872191701E-5</c:v>
                </c:pt>
                <c:pt idx="1">
                  <c:v>-4.5184264771313401E-5</c:v>
                </c:pt>
                <c:pt idx="2">
                  <c:v>8.2229981577971697E-5</c:v>
                </c:pt>
                <c:pt idx="3">
                  <c:v>-6.5732752627766196E-6</c:v>
                </c:pt>
                <c:pt idx="4">
                  <c:v>-8.3355397213798004E-5</c:v>
                </c:pt>
                <c:pt idx="5">
                  <c:v>1.19464412143437E-5</c:v>
                </c:pt>
                <c:pt idx="6">
                  <c:v>1.5995406410694301E-6</c:v>
                </c:pt>
                <c:pt idx="7">
                  <c:v>-1.0696900588165999E-6</c:v>
                </c:pt>
                <c:pt idx="8">
                  <c:v>3.05641312154905E-5</c:v>
                </c:pt>
                <c:pt idx="9">
                  <c:v>-2.96944442231371E-5</c:v>
                </c:pt>
                <c:pt idx="10">
                  <c:v>-1.40038620602529E-6</c:v>
                </c:pt>
                <c:pt idx="11">
                  <c:v>7.7414062163371206E-6</c:v>
                </c:pt>
                <c:pt idx="12">
                  <c:v>8.1902497674560592E-6</c:v>
                </c:pt>
                <c:pt idx="13">
                  <c:v>-2.5396534714211201E-5</c:v>
                </c:pt>
                <c:pt idx="14">
                  <c:v>-2.28696548094741E-5</c:v>
                </c:pt>
                <c:pt idx="15">
                  <c:v>-4.2209273564692101E-5</c:v>
                </c:pt>
                <c:pt idx="16">
                  <c:v>3.9617516208070303E-6</c:v>
                </c:pt>
                <c:pt idx="17">
                  <c:v>1.7592807934917099E-5</c:v>
                </c:pt>
                <c:pt idx="18">
                  <c:v>-1.23599775197575E-5</c:v>
                </c:pt>
                <c:pt idx="19">
                  <c:v>3.15565427391622E-5</c:v>
                </c:pt>
                <c:pt idx="20">
                  <c:v>3.4656826481071E-6</c:v>
                </c:pt>
                <c:pt idx="21">
                  <c:v>2.7988633343056199E-5</c:v>
                </c:pt>
                <c:pt idx="22">
                  <c:v>-1.030514640028E-5</c:v>
                </c:pt>
                <c:pt idx="23">
                  <c:v>-7.0692915439082698E-6</c:v>
                </c:pt>
                <c:pt idx="24">
                  <c:v>5.4833803131429798E-5</c:v>
                </c:pt>
                <c:pt idx="25">
                  <c:v>-4.6010635377094703E-5</c:v>
                </c:pt>
                <c:pt idx="26">
                  <c:v>-1.01870513640116E-5</c:v>
                </c:pt>
                <c:pt idx="27">
                  <c:v>3.0847676351973998E-5</c:v>
                </c:pt>
                <c:pt idx="28">
                  <c:v>-1.4036877113054001E-5</c:v>
                </c:pt>
                <c:pt idx="29">
                  <c:v>-4.1359259682419497E-5</c:v>
                </c:pt>
                <c:pt idx="30">
                  <c:v>-8.53370609041688E-6</c:v>
                </c:pt>
                <c:pt idx="31">
                  <c:v>-2.8490103750781E-5</c:v>
                </c:pt>
                <c:pt idx="32">
                  <c:v>-2.7231597681972399E-6</c:v>
                </c:pt>
                <c:pt idx="33">
                  <c:v>-5.7366630911003602E-5</c:v>
                </c:pt>
                <c:pt idx="34">
                  <c:v>1.5522969953252801E-6</c:v>
                </c:pt>
                <c:pt idx="35">
                  <c:v>3.9236253314698497E-5</c:v>
                </c:pt>
                <c:pt idx="36">
                  <c:v>-3.1418278663356302E-5</c:v>
                </c:pt>
                <c:pt idx="37">
                  <c:v>3.0034858359413697E-7</c:v>
                </c:pt>
                <c:pt idx="38">
                  <c:v>2.2294421290475399E-5</c:v>
                </c:pt>
                <c:pt idx="39">
                  <c:v>-2.6341146181876399E-5</c:v>
                </c:pt>
                <c:pt idx="40">
                  <c:v>-1.8964283593290501E-6</c:v>
                </c:pt>
                <c:pt idx="41">
                  <c:v>-3.2433673966602002E-5</c:v>
                </c:pt>
                <c:pt idx="42">
                  <c:v>-6.6677547456872304E-6</c:v>
                </c:pt>
                <c:pt idx="43">
                  <c:v>-2.3672595590266101E-5</c:v>
                </c:pt>
                <c:pt idx="44">
                  <c:v>5.4337479679768398E-5</c:v>
                </c:pt>
                <c:pt idx="45">
                  <c:v>3.1745574631292902E-5</c:v>
                </c:pt>
                <c:pt idx="46">
                  <c:v>-4.9434097377065302E-5</c:v>
                </c:pt>
                <c:pt idx="47">
                  <c:v>-2.5797995687406599E-5</c:v>
                </c:pt>
                <c:pt idx="48">
                  <c:v>9.7337753989858606E-5</c:v>
                </c:pt>
                <c:pt idx="49">
                  <c:v>2.0451551307678099E-5</c:v>
                </c:pt>
                <c:pt idx="50">
                  <c:v>4.8003665102501998E-5</c:v>
                </c:pt>
                <c:pt idx="51">
                  <c:v>3.8385548399333397E-5</c:v>
                </c:pt>
                <c:pt idx="52">
                  <c:v>3.9590715849299798E-5</c:v>
                </c:pt>
                <c:pt idx="53">
                  <c:v>-4.7002271013186199E-5</c:v>
                </c:pt>
                <c:pt idx="54">
                  <c:v>2.9595358114632001E-5</c:v>
                </c:pt>
                <c:pt idx="55">
                  <c:v>2.8278833290278098E-6</c:v>
                </c:pt>
                <c:pt idx="56">
                  <c:v>-5.00479470314486E-5</c:v>
                </c:pt>
                <c:pt idx="57">
                  <c:v>4.2497356409871901E-5</c:v>
                </c:pt>
                <c:pt idx="58">
                  <c:v>9.7172241673575694E-5</c:v>
                </c:pt>
                <c:pt idx="59">
                  <c:v>1.1592077453669201E-5</c:v>
                </c:pt>
                <c:pt idx="60">
                  <c:v>-7.5377735853082102E-5</c:v>
                </c:pt>
                <c:pt idx="61">
                  <c:v>-7.1401508101216296E-6</c:v>
                </c:pt>
                <c:pt idx="62">
                  <c:v>-7.9343044227448204E-5</c:v>
                </c:pt>
                <c:pt idx="63">
                  <c:v>-3.4081605720120901E-6</c:v>
                </c:pt>
                <c:pt idx="64">
                  <c:v>-4.5278707474829299E-5</c:v>
                </c:pt>
                <c:pt idx="65">
                  <c:v>1.20409384310279E-5</c:v>
                </c:pt>
                <c:pt idx="66">
                  <c:v>-2.5490996265891099E-5</c:v>
                </c:pt>
                <c:pt idx="67">
                  <c:v>-1.9893994048693701E-5</c:v>
                </c:pt>
                <c:pt idx="68">
                  <c:v>2.1940020557732799E-5</c:v>
                </c:pt>
                <c:pt idx="69">
                  <c:v>2.84375685268527E-5</c:v>
                </c:pt>
                <c:pt idx="70">
                  <c:v>5.7291822539091002E-5</c:v>
                </c:pt>
                <c:pt idx="71">
                  <c:v>-1.9232723976064E-5</c:v>
                </c:pt>
                <c:pt idx="72">
                  <c:v>1.1899192639761299E-5</c:v>
                </c:pt>
                <c:pt idx="73">
                  <c:v>4.4104316204886802E-5</c:v>
                </c:pt>
                <c:pt idx="74">
                  <c:v>-6.1481164758433096E-6</c:v>
                </c:pt>
                <c:pt idx="75">
                  <c:v>7.0291976398157105E-5</c:v>
                </c:pt>
                <c:pt idx="76">
                  <c:v>-7.4575213670544701E-5</c:v>
                </c:pt>
                <c:pt idx="77">
                  <c:v>-1.47690356482856E-5</c:v>
                </c:pt>
                <c:pt idx="78">
                  <c:v>-4.6577285526349097E-5</c:v>
                </c:pt>
                <c:pt idx="79">
                  <c:v>9.7966538574002802E-6</c:v>
                </c:pt>
                <c:pt idx="80">
                  <c:v>-2.9859744715053801E-5</c:v>
                </c:pt>
                <c:pt idx="81">
                  <c:v>-3.3756033657750903E-5</c:v>
                </c:pt>
                <c:pt idx="82">
                  <c:v>8.4973544201547898E-6</c:v>
                </c:pt>
                <c:pt idx="83">
                  <c:v>2.0073530927891701E-5</c:v>
                </c:pt>
                <c:pt idx="84">
                  <c:v>2.6949001770892598E-5</c:v>
                </c:pt>
                <c:pt idx="85">
                  <c:v>1.7616433575558501E-5</c:v>
                </c:pt>
                <c:pt idx="86">
                  <c:v>-1.46745638829664E-5</c:v>
                </c:pt>
                <c:pt idx="87">
                  <c:v>-3.3118469579565299E-5</c:v>
                </c:pt>
                <c:pt idx="88">
                  <c:v>1.7309300686255801E-5</c:v>
                </c:pt>
                <c:pt idx="89">
                  <c:v>8.2986497628638703E-5</c:v>
                </c:pt>
                <c:pt idx="90">
                  <c:v>3.7794785389280403E-5</c:v>
                </c:pt>
                <c:pt idx="91">
                  <c:v>2.24361819381341E-5</c:v>
                </c:pt>
                <c:pt idx="92">
                  <c:v>-2.6317531004841801E-5</c:v>
                </c:pt>
                <c:pt idx="93">
                  <c:v>-4.6034245864625297E-5</c:v>
                </c:pt>
                <c:pt idx="94">
                  <c:v>-3.8218867428757701E-5</c:v>
                </c:pt>
                <c:pt idx="95">
                  <c:v>-9.6201932324315995E-6</c:v>
                </c:pt>
                <c:pt idx="96">
                  <c:v>-2.9765287324851402E-5</c:v>
                </c:pt>
                <c:pt idx="97">
                  <c:v>-2.7923350232006299E-5</c:v>
                </c:pt>
                <c:pt idx="98">
                  <c:v>5.2872158262308699E-5</c:v>
                </c:pt>
                <c:pt idx="99">
                  <c:v>-1.8122725012681899E-5</c:v>
                </c:pt>
                <c:pt idx="100">
                  <c:v>9.7976161224528003E-5</c:v>
                </c:pt>
                <c:pt idx="101">
                  <c:v>1.8121373253286E-6</c:v>
                </c:pt>
                <c:pt idx="102">
                  <c:v>7.4106806889311301E-6</c:v>
                </c:pt>
                <c:pt idx="103">
                  <c:v>-6.1710368452440098E-5</c:v>
                </c:pt>
                <c:pt idx="104">
                  <c:v>-1.3588132113237501E-5</c:v>
                </c:pt>
                <c:pt idx="105">
                  <c:v>-4.8962494633796404E-6</c:v>
                </c:pt>
                <c:pt idx="106">
                  <c:v>5.3982964448837801E-5</c:v>
                </c:pt>
                <c:pt idx="107">
                  <c:v>1.0089966869829699E-6</c:v>
                </c:pt>
                <c:pt idx="108">
                  <c:v>-5.0685402265564297E-5</c:v>
                </c:pt>
                <c:pt idx="109">
                  <c:v>4.49787023231543E-5</c:v>
                </c:pt>
                <c:pt idx="110">
                  <c:v>8.5185155143150393E-5</c:v>
                </c:pt>
                <c:pt idx="111">
                  <c:v>-7.8776581312760995E-5</c:v>
                </c:pt>
                <c:pt idx="112">
                  <c:v>-3.5735048847897601E-6</c:v>
                </c:pt>
                <c:pt idx="113">
                  <c:v>-1.35172774539543E-5</c:v>
                </c:pt>
                <c:pt idx="114">
                  <c:v>6.0742880672245599E-7</c:v>
                </c:pt>
                <c:pt idx="115">
                  <c:v>2.3759291086328199E-5</c:v>
                </c:pt>
                <c:pt idx="116">
                  <c:v>-1.16986572080076E-5</c:v>
                </c:pt>
                <c:pt idx="117">
                  <c:v>3.9968810615636397E-5</c:v>
                </c:pt>
                <c:pt idx="118">
                  <c:v>-8.1066015698201595E-5</c:v>
                </c:pt>
                <c:pt idx="119">
                  <c:v>-6.4755592710700899E-5</c:v>
                </c:pt>
                <c:pt idx="120">
                  <c:v>-2.0720575438727001E-5</c:v>
                </c:pt>
                <c:pt idx="121">
                  <c:v>-1.9492509173342401E-5</c:v>
                </c:pt>
                <c:pt idx="122">
                  <c:v>-3.8691113218948403E-5</c:v>
                </c:pt>
                <c:pt idx="123">
                  <c:v>4.0798636466824597E-6</c:v>
                </c:pt>
                <c:pt idx="124">
                  <c:v>5.6625783641732797E-6</c:v>
                </c:pt>
                <c:pt idx="125">
                  <c:v>8.3222910077413803E-5</c:v>
                </c:pt>
                <c:pt idx="126">
                  <c:v>-1.7555912239382101E-5</c:v>
                </c:pt>
                <c:pt idx="127">
                  <c:v>-8.2340523271739403E-5</c:v>
                </c:pt>
                <c:pt idx="128">
                  <c:v>2.8154030279633E-5</c:v>
                </c:pt>
                <c:pt idx="129">
                  <c:v>8.9462013923259594E-6</c:v>
                </c:pt>
                <c:pt idx="130">
                  <c:v>8.7572129459349495E-6</c:v>
                </c:pt>
                <c:pt idx="131">
                  <c:v>3.3777690223085201E-5</c:v>
                </c:pt>
                <c:pt idx="132">
                  <c:v>2.49717418570679E-6</c:v>
                </c:pt>
                <c:pt idx="133">
                  <c:v>-7.5889249871456799E-6</c:v>
                </c:pt>
                <c:pt idx="134">
                  <c:v>1.91521122878158E-5</c:v>
                </c:pt>
                <c:pt idx="135">
                  <c:v>-7.3961515853535701E-5</c:v>
                </c:pt>
                <c:pt idx="136">
                  <c:v>2.0994958127649501E-5</c:v>
                </c:pt>
                <c:pt idx="137">
                  <c:v>-2.1562589732927699E-6</c:v>
                </c:pt>
                <c:pt idx="138">
                  <c:v>8.8044600237729494E-6</c:v>
                </c:pt>
                <c:pt idx="139">
                  <c:v>-2.75218978630674E-5</c:v>
                </c:pt>
                <c:pt idx="140">
                  <c:v>-1.6365970646375499E-6</c:v>
                </c:pt>
                <c:pt idx="141">
                  <c:v>-5.2928267734348701E-5</c:v>
                </c:pt>
                <c:pt idx="142">
                  <c:v>4.3962524587622802E-5</c:v>
                </c:pt>
                <c:pt idx="143">
                  <c:v>-2.7639972257935501E-5</c:v>
                </c:pt>
                <c:pt idx="144">
                  <c:v>-3.8148030366236199E-5</c:v>
                </c:pt>
                <c:pt idx="145">
                  <c:v>3.4893049238794802E-6</c:v>
                </c:pt>
                <c:pt idx="146">
                  <c:v>-2.2846038805743999E-5</c:v>
                </c:pt>
                <c:pt idx="147">
                  <c:v>-1.40038620602529E-6</c:v>
                </c:pt>
                <c:pt idx="148">
                  <c:v>-1.51469218096564E-5</c:v>
                </c:pt>
                <c:pt idx="149">
                  <c:v>1.13558356499156E-5</c:v>
                </c:pt>
                <c:pt idx="150">
                  <c:v>3.5644437743326497E-5</c:v>
                </c:pt>
                <c:pt idx="151">
                  <c:v>5.5377398332327601E-5</c:v>
                </c:pt>
                <c:pt idx="152">
                  <c:v>5.5306494441548199E-5</c:v>
                </c:pt>
                <c:pt idx="153">
                  <c:v>-6.20886381066658E-7</c:v>
                </c:pt>
                <c:pt idx="154">
                  <c:v>8.4028605795851396E-6</c:v>
                </c:pt>
                <c:pt idx="155">
                  <c:v>-1.5760983750794799E-5</c:v>
                </c:pt>
                <c:pt idx="156">
                  <c:v>-1.8524215433661999E-5</c:v>
                </c:pt>
                <c:pt idx="157">
                  <c:v>-9.0223224559863793E-5</c:v>
                </c:pt>
                <c:pt idx="158">
                  <c:v>-2.8885052230034902E-6</c:v>
                </c:pt>
                <c:pt idx="159">
                  <c:v>-4.5892582855054403E-5</c:v>
                </c:pt>
                <c:pt idx="160">
                  <c:v>2.99734147843982E-5</c:v>
                </c:pt>
                <c:pt idx="161">
                  <c:v>-3.1380901028909E-7</c:v>
                </c:pt>
                <c:pt idx="162">
                  <c:v>2.1632874280282399E-5</c:v>
                </c:pt>
                <c:pt idx="163">
                  <c:v>-3.4228300702459499E-5</c:v>
                </c:pt>
                <c:pt idx="164">
                  <c:v>1.7049419753499498E-5</c:v>
                </c:pt>
                <c:pt idx="165">
                  <c:v>-4.7686966021689498E-5</c:v>
                </c:pt>
                <c:pt idx="166">
                  <c:v>-5.93260578185308E-5</c:v>
                </c:pt>
                <c:pt idx="167">
                  <c:v>1.31040383223868E-5</c:v>
                </c:pt>
                <c:pt idx="168">
                  <c:v>1.04218581727796E-4</c:v>
                </c:pt>
                <c:pt idx="169">
                  <c:v>-5.8122077197049402E-5</c:v>
                </c:pt>
                <c:pt idx="170">
                  <c:v>1.9979026058052098E-5</c:v>
                </c:pt>
                <c:pt idx="171">
                  <c:v>-5.0000727962194501E-5</c:v>
                </c:pt>
                <c:pt idx="172">
                  <c:v>2.9051904176246001E-5</c:v>
                </c:pt>
                <c:pt idx="173">
                  <c:v>4.61366849904334E-5</c:v>
                </c:pt>
                <c:pt idx="174">
                  <c:v>2.7634212264747801E-5</c:v>
                </c:pt>
                <c:pt idx="175">
                  <c:v>6.7964790638740898E-6</c:v>
                </c:pt>
                <c:pt idx="176">
                  <c:v>2.2743330703107099E-5</c:v>
                </c:pt>
                <c:pt idx="177">
                  <c:v>1.46868970512839E-5</c:v>
                </c:pt>
                <c:pt idx="178">
                  <c:v>2.9264559710593001E-5</c:v>
                </c:pt>
                <c:pt idx="179">
                  <c:v>1.30804137565718E-5</c:v>
                </c:pt>
                <c:pt idx="180">
                  <c:v>-3.2929560917300098E-5</c:v>
                </c:pt>
                <c:pt idx="181">
                  <c:v>-2.30349666781669E-5</c:v>
                </c:pt>
                <c:pt idx="182">
                  <c:v>-3.4554018323744901E-6</c:v>
                </c:pt>
                <c:pt idx="183">
                  <c:v>-6.1191018545364996E-5</c:v>
                </c:pt>
                <c:pt idx="184">
                  <c:v>-3.7179918773530202E-5</c:v>
                </c:pt>
                <c:pt idx="185">
                  <c:v>7.5421596681063196E-5</c:v>
                </c:pt>
                <c:pt idx="186">
                  <c:v>-5.6658394790243803E-5</c:v>
                </c:pt>
                <c:pt idx="187">
                  <c:v>-2.1932347415096201E-7</c:v>
                </c:pt>
                <c:pt idx="188">
                  <c:v>-3.5314506369495597E-5</c:v>
                </c:pt>
                <c:pt idx="189">
                  <c:v>-2.3200278271271899E-5</c:v>
                </c:pt>
                <c:pt idx="190">
                  <c:v>5.7806924155453796E-6</c:v>
                </c:pt>
                <c:pt idx="191">
                  <c:v>-7.8328129209840702E-5</c:v>
                </c:pt>
                <c:pt idx="192">
                  <c:v>-5.0143507999861799E-6</c:v>
                </c:pt>
                <c:pt idx="193">
                  <c:v>5.9111741531252197E-5</c:v>
                </c:pt>
                <c:pt idx="194">
                  <c:v>-3.12529807694467E-5</c:v>
                </c:pt>
                <c:pt idx="195">
                  <c:v>8.0485094792387907E-6</c:v>
                </c:pt>
                <c:pt idx="196">
                  <c:v>-1.11318077165298E-5</c:v>
                </c:pt>
                <c:pt idx="197">
                  <c:v>-8.9066819590432296E-5</c:v>
                </c:pt>
                <c:pt idx="198">
                  <c:v>-1.9279957698924799E-5</c:v>
                </c:pt>
                <c:pt idx="199">
                  <c:v>1.02691306001073E-5</c:v>
                </c:pt>
                <c:pt idx="200">
                  <c:v>1.6198905098022998E-5</c:v>
                </c:pt>
                <c:pt idx="201">
                  <c:v>-4.3625947176085899E-5</c:v>
                </c:pt>
                <c:pt idx="202">
                  <c:v>-5.3187964669191998E-5</c:v>
                </c:pt>
                <c:pt idx="203">
                  <c:v>-4.3224558374490503E-5</c:v>
                </c:pt>
                <c:pt idx="204">
                  <c:v>-6.4850016774053301E-5</c:v>
                </c:pt>
                <c:pt idx="205">
                  <c:v>-1.02966385900245E-4</c:v>
                </c:pt>
                <c:pt idx="206">
                  <c:v>-2.7734431672614099E-5</c:v>
                </c:pt>
                <c:pt idx="207">
                  <c:v>-2.48297635145588E-5</c:v>
                </c:pt>
                <c:pt idx="208">
                  <c:v>4.1953831782368903E-5</c:v>
                </c:pt>
                <c:pt idx="209">
                  <c:v>2.80831458444669E-5</c:v>
                </c:pt>
                <c:pt idx="210">
                  <c:v>1.17338228060131E-5</c:v>
                </c:pt>
                <c:pt idx="211">
                  <c:v>-2.0578876261178599E-5</c:v>
                </c:pt>
                <c:pt idx="212">
                  <c:v>-1.6705687004994898E-5</c:v>
                </c:pt>
                <c:pt idx="213">
                  <c:v>6.2373498066623501E-5</c:v>
                </c:pt>
                <c:pt idx="214">
                  <c:v>5.7806924155453796E-6</c:v>
                </c:pt>
                <c:pt idx="215">
                  <c:v>5.61533278301163E-6</c:v>
                </c:pt>
                <c:pt idx="216">
                  <c:v>-4.9788241872231403E-5</c:v>
                </c:pt>
                <c:pt idx="217">
                  <c:v>-1.1155426510033299E-5</c:v>
                </c:pt>
                <c:pt idx="218">
                  <c:v>-1.1155426510033299E-5</c:v>
                </c:pt>
                <c:pt idx="219">
                  <c:v>1.4805021849922099E-5</c:v>
                </c:pt>
                <c:pt idx="220">
                  <c:v>-2.3979600641277101E-5</c:v>
                </c:pt>
                <c:pt idx="221">
                  <c:v>3.7534850779437802E-5</c:v>
                </c:pt>
                <c:pt idx="222">
                  <c:v>5.1335957435379401E-5</c:v>
                </c:pt>
                <c:pt idx="223">
                  <c:v>-8.4392283850985002E-6</c:v>
                </c:pt>
                <c:pt idx="224">
                  <c:v>6.0955329874385798E-5</c:v>
                </c:pt>
                <c:pt idx="225">
                  <c:v>2.08059467221774E-5</c:v>
                </c:pt>
                <c:pt idx="226">
                  <c:v>1.5230272289825E-5</c:v>
                </c:pt>
                <c:pt idx="227">
                  <c:v>2.76814683353631E-5</c:v>
                </c:pt>
                <c:pt idx="228">
                  <c:v>1.12707957933657E-4</c:v>
                </c:pt>
                <c:pt idx="229">
                  <c:v>6.3105040172157101E-7</c:v>
                </c:pt>
                <c:pt idx="230">
                  <c:v>6.9133711748119606E-5</c:v>
                </c:pt>
                <c:pt idx="231">
                  <c:v>5.7504538620312201E-5</c:v>
                </c:pt>
                <c:pt idx="232">
                  <c:v>-1.00937029131875E-4</c:v>
                </c:pt>
                <c:pt idx="233">
                  <c:v>7.5524200656340899E-6</c:v>
                </c:pt>
                <c:pt idx="234">
                  <c:v>6.3649866772710003E-5</c:v>
                </c:pt>
                <c:pt idx="235">
                  <c:v>-4.12175899936257E-5</c:v>
                </c:pt>
                <c:pt idx="236">
                  <c:v>4.1882937485286798E-5</c:v>
                </c:pt>
                <c:pt idx="237">
                  <c:v>4.4789645212099901E-5</c:v>
                </c:pt>
                <c:pt idx="238">
                  <c:v>-2.9670829844660699E-5</c:v>
                </c:pt>
                <c:pt idx="239">
                  <c:v>6.9630109228078699E-5</c:v>
                </c:pt>
                <c:pt idx="240">
                  <c:v>-2.5845226283281301E-5</c:v>
                </c:pt>
                <c:pt idx="241">
                  <c:v>1.6938546337019701E-4</c:v>
                </c:pt>
                <c:pt idx="242">
                  <c:v>9.3767478135869898E-5</c:v>
                </c:pt>
                <c:pt idx="243">
                  <c:v>3.6471489013728901E-5</c:v>
                </c:pt>
                <c:pt idx="244">
                  <c:v>-3.8431378312665603E-5</c:v>
                </c:pt>
                <c:pt idx="245">
                  <c:v>-9.8327654114837906E-6</c:v>
                </c:pt>
                <c:pt idx="246">
                  <c:v>1.2994906553471199E-4</c:v>
                </c:pt>
                <c:pt idx="247">
                  <c:v>-3.0538504021311698E-6</c:v>
                </c:pt>
                <c:pt idx="248">
                  <c:v>-2.2271217498663701E-6</c:v>
                </c:pt>
                <c:pt idx="249">
                  <c:v>-1.3092148435217499E-5</c:v>
                </c:pt>
                <c:pt idx="250">
                  <c:v>-2.92693845501316E-5</c:v>
                </c:pt>
                <c:pt idx="251">
                  <c:v>-2.2633494519009599E-5</c:v>
                </c:pt>
                <c:pt idx="252">
                  <c:v>-3.5031149516490603E-5</c:v>
                </c:pt>
                <c:pt idx="253">
                  <c:v>-3.4511659849656098E-5</c:v>
                </c:pt>
                <c:pt idx="254">
                  <c:v>2.6594584407271599E-5</c:v>
                </c:pt>
                <c:pt idx="255">
                  <c:v>5.5708283826028797E-5</c:v>
                </c:pt>
                <c:pt idx="256">
                  <c:v>-5.2101954780058002E-5</c:v>
                </c:pt>
                <c:pt idx="257">
                  <c:v>-4.3460669631029602E-5</c:v>
                </c:pt>
                <c:pt idx="258">
                  <c:v>-2.8560947712859701E-5</c:v>
                </c:pt>
                <c:pt idx="259">
                  <c:v>-7.0420877343876402E-5</c:v>
                </c:pt>
                <c:pt idx="260">
                  <c:v>4.5734934370463799E-5</c:v>
                </c:pt>
                <c:pt idx="261">
                  <c:v>-3.50264307022272E-6</c:v>
                </c:pt>
                <c:pt idx="262">
                  <c:v>-2.0437176881162201E-5</c:v>
                </c:pt>
                <c:pt idx="263">
                  <c:v>-3.7604944539125897E-5</c:v>
                </c:pt>
                <c:pt idx="264">
                  <c:v>2.34993932535906E-5</c:v>
                </c:pt>
                <c:pt idx="265">
                  <c:v>-6.4661168557451006E-5</c:v>
                </c:pt>
                <c:pt idx="266">
                  <c:v>-5.4392005206858697E-5</c:v>
                </c:pt>
                <c:pt idx="267">
                  <c:v>-4.4145389095653299E-5</c:v>
                </c:pt>
                <c:pt idx="268">
                  <c:v>-3.9278131982223797E-6</c:v>
                </c:pt>
                <c:pt idx="269">
                  <c:v>-4.6931440225201102E-5</c:v>
                </c:pt>
                <c:pt idx="270">
                  <c:v>-6.4991652700430204E-5</c:v>
                </c:pt>
                <c:pt idx="271">
                  <c:v>-3.2480901402093498E-5</c:v>
                </c:pt>
                <c:pt idx="272">
                  <c:v>-2.9198541094154899E-5</c:v>
                </c:pt>
                <c:pt idx="273">
                  <c:v>-7.7542623299443804E-6</c:v>
                </c:pt>
                <c:pt idx="274">
                  <c:v>5.7334467781098103E-6</c:v>
                </c:pt>
                <c:pt idx="275">
                  <c:v>-3.16071902047031E-5</c:v>
                </c:pt>
                <c:pt idx="276">
                  <c:v>5.8804480138165698E-5</c:v>
                </c:pt>
                <c:pt idx="277">
                  <c:v>5.4479286126852E-5</c:v>
                </c:pt>
                <c:pt idx="278">
                  <c:v>-5.5103748780188604E-6</c:v>
                </c:pt>
                <c:pt idx="279">
                  <c:v>3.0493245058031099E-5</c:v>
                </c:pt>
                <c:pt idx="280">
                  <c:v>5.8043152426973898E-6</c:v>
                </c:pt>
                <c:pt idx="281">
                  <c:v>3.0115186407025699E-5</c:v>
                </c:pt>
                <c:pt idx="282">
                  <c:v>-6.1686761697508702E-5</c:v>
                </c:pt>
                <c:pt idx="283">
                  <c:v>3.0587759945912002E-5</c:v>
                </c:pt>
                <c:pt idx="284">
                  <c:v>-8.1160424228515004E-5</c:v>
                </c:pt>
                <c:pt idx="285">
                  <c:v>-3.1748873624547902E-5</c:v>
                </c:pt>
                <c:pt idx="286">
                  <c:v>-1.5288628748940201E-5</c:v>
                </c:pt>
                <c:pt idx="287">
                  <c:v>2.3554420332809001E-6</c:v>
                </c:pt>
                <c:pt idx="288">
                  <c:v>1.7970818860375902E-5</c:v>
                </c:pt>
                <c:pt idx="289">
                  <c:v>-1.9672913215475398E-6</c:v>
                </c:pt>
                <c:pt idx="290">
                  <c:v>-6.6677547456872304E-6</c:v>
                </c:pt>
                <c:pt idx="291">
                  <c:v>5.3699353176251301E-5</c:v>
                </c:pt>
                <c:pt idx="292">
                  <c:v>5.7362727848824299E-5</c:v>
                </c:pt>
                <c:pt idx="293">
                  <c:v>2.96426151195706E-5</c:v>
                </c:pt>
                <c:pt idx="294">
                  <c:v>-7.9413851864200199E-5</c:v>
                </c:pt>
                <c:pt idx="295">
                  <c:v>-3.9352253546798999E-5</c:v>
                </c:pt>
                <c:pt idx="296">
                  <c:v>-8.1085557077435604E-6</c:v>
                </c:pt>
                <c:pt idx="297">
                  <c:v>-7.8487406877858499E-6</c:v>
                </c:pt>
                <c:pt idx="298">
                  <c:v>-1.212379220039E-5</c:v>
                </c:pt>
                <c:pt idx="299">
                  <c:v>2.69017460492567E-5</c:v>
                </c:pt>
                <c:pt idx="300">
                  <c:v>3.77277267198039E-6</c:v>
                </c:pt>
                <c:pt idx="301">
                  <c:v>-1.1065868666409099E-4</c:v>
                </c:pt>
                <c:pt idx="302">
                  <c:v>-1.7626764013212701E-5</c:v>
                </c:pt>
                <c:pt idx="303">
                  <c:v>4.47660130985578E-5</c:v>
                </c:pt>
                <c:pt idx="304">
                  <c:v>4.5049598832693002E-5</c:v>
                </c:pt>
                <c:pt idx="305">
                  <c:v>7.0191522050149904E-7</c:v>
                </c:pt>
                <c:pt idx="306">
                  <c:v>5.5448302273780701E-5</c:v>
                </c:pt>
                <c:pt idx="307">
                  <c:v>7.4050520128464805E-5</c:v>
                </c:pt>
                <c:pt idx="308">
                  <c:v>2.37829181957813E-5</c:v>
                </c:pt>
                <c:pt idx="309">
                  <c:v>6.9630109228078699E-5</c:v>
                </c:pt>
                <c:pt idx="310">
                  <c:v>3.1863719746815597E-5</c:v>
                </c:pt>
                <c:pt idx="311">
                  <c:v>8.0031389547085405E-5</c:v>
                </c:pt>
                <c:pt idx="312">
                  <c:v>-3.4440820138748502E-5</c:v>
                </c:pt>
                <c:pt idx="313">
                  <c:v>4.4246108024822699E-5</c:v>
                </c:pt>
                <c:pt idx="314">
                  <c:v>6.3957143172940095E-5</c:v>
                </c:pt>
                <c:pt idx="315">
                  <c:v>-2.5585457727582799E-5</c:v>
                </c:pt>
                <c:pt idx="316">
                  <c:v>-3.1380901028909E-7</c:v>
                </c:pt>
                <c:pt idx="317">
                  <c:v>3.41085036781622E-5</c:v>
                </c:pt>
                <c:pt idx="318">
                  <c:v>-1.7036331017864799E-5</c:v>
                </c:pt>
                <c:pt idx="319">
                  <c:v>8.6816448653993802E-5</c:v>
                </c:pt>
                <c:pt idx="320">
                  <c:v>3.51292720527474E-6</c:v>
                </c:pt>
                <c:pt idx="321">
                  <c:v>-2.65772976428529E-5</c:v>
                </c:pt>
                <c:pt idx="322">
                  <c:v>-1.5548424278391301E-5</c:v>
                </c:pt>
                <c:pt idx="323">
                  <c:v>8.6627188578011197E-6</c:v>
                </c:pt>
                <c:pt idx="324">
                  <c:v>-4.3248169525449502E-5</c:v>
                </c:pt>
                <c:pt idx="325">
                  <c:v>-1.0494098165789601E-5</c:v>
                </c:pt>
                <c:pt idx="326">
                  <c:v>1.9302467912645201E-6</c:v>
                </c:pt>
                <c:pt idx="327">
                  <c:v>-6.4873622775817204E-5</c:v>
                </c:pt>
                <c:pt idx="328">
                  <c:v>3.1958235940558697E-5</c:v>
                </c:pt>
                <c:pt idx="329">
                  <c:v>4.3869555722361603E-6</c:v>
                </c:pt>
                <c:pt idx="330">
                  <c:v>2.7894120931678999E-5</c:v>
                </c:pt>
                <c:pt idx="331">
                  <c:v>-7.9432189556162993E-6</c:v>
                </c:pt>
                <c:pt idx="332">
                  <c:v>-2.2940502786949499E-5</c:v>
                </c:pt>
                <c:pt idx="333">
                  <c:v>-3.2664366559538699E-6</c:v>
                </c:pt>
                <c:pt idx="334">
                  <c:v>-2.22556368844774E-5</c:v>
                </c:pt>
                <c:pt idx="335">
                  <c:v>-2.33419737031845E-5</c:v>
                </c:pt>
                <c:pt idx="336">
                  <c:v>3.0233329580691999E-5</c:v>
                </c:pt>
                <c:pt idx="337">
                  <c:v>-2.6199455035348198E-5</c:v>
                </c:pt>
                <c:pt idx="338">
                  <c:v>-3.7604944539125897E-5</c:v>
                </c:pt>
                <c:pt idx="339">
                  <c:v>-6.0766093870673801E-5</c:v>
                </c:pt>
                <c:pt idx="340">
                  <c:v>1.7356551838099601E-5</c:v>
                </c:pt>
                <c:pt idx="341">
                  <c:v>-2.8726250094258798E-5</c:v>
                </c:pt>
                <c:pt idx="342">
                  <c:v>-8.6281837057244092E-6</c:v>
                </c:pt>
                <c:pt idx="343">
                  <c:v>8.4973544201547898E-6</c:v>
                </c:pt>
                <c:pt idx="344">
                  <c:v>-2.47353013330061E-5</c:v>
                </c:pt>
                <c:pt idx="345">
                  <c:v>-3.04737155582298E-5</c:v>
                </c:pt>
                <c:pt idx="346">
                  <c:v>-4.5183242411191502E-6</c:v>
                </c:pt>
                <c:pt idx="347">
                  <c:v>1.1781071301807501E-5</c:v>
                </c:pt>
                <c:pt idx="348">
                  <c:v>4.5923993283052699E-5</c:v>
                </c:pt>
                <c:pt idx="349">
                  <c:v>4.3111779140062399E-5</c:v>
                </c:pt>
                <c:pt idx="350">
                  <c:v>-5.7909608510880103E-5</c:v>
                </c:pt>
                <c:pt idx="351">
                  <c:v>-3.15835762817232E-5</c:v>
                </c:pt>
                <c:pt idx="352">
                  <c:v>-9.7855271888447694E-6</c:v>
                </c:pt>
                <c:pt idx="353">
                  <c:v>2.2609540441962099E-6</c:v>
                </c:pt>
                <c:pt idx="354">
                  <c:v>5.5401032973863298E-5</c:v>
                </c:pt>
                <c:pt idx="355">
                  <c:v>-2.6364761353265501E-5</c:v>
                </c:pt>
                <c:pt idx="356">
                  <c:v>-1.49579789089589E-5</c:v>
                </c:pt>
                <c:pt idx="357">
                  <c:v>-2.7356593474060501E-5</c:v>
                </c:pt>
                <c:pt idx="358">
                  <c:v>-3.6495151208125301E-5</c:v>
                </c:pt>
                <c:pt idx="359">
                  <c:v>3.9853740147272997E-6</c:v>
                </c:pt>
                <c:pt idx="360">
                  <c:v>2.5035163051453598E-5</c:v>
                </c:pt>
                <c:pt idx="361">
                  <c:v>-4.3106502535375397E-5</c:v>
                </c:pt>
                <c:pt idx="362">
                  <c:v>4.3749837541722802E-5</c:v>
                </c:pt>
                <c:pt idx="363">
                  <c:v>8.7808364820424294E-6</c:v>
                </c:pt>
                <c:pt idx="364">
                  <c:v>-3.7152283620615202E-6</c:v>
                </c:pt>
                <c:pt idx="365">
                  <c:v>3.8436397355934802E-6</c:v>
                </c:pt>
                <c:pt idx="366">
                  <c:v>1.6458783802338399E-5</c:v>
                </c:pt>
                <c:pt idx="367">
                  <c:v>-2.81358831811432E-5</c:v>
                </c:pt>
                <c:pt idx="368">
                  <c:v>-2.1798799044327398E-6</c:v>
                </c:pt>
                <c:pt idx="369">
                  <c:v>1.8892226526661999E-5</c:v>
                </c:pt>
                <c:pt idx="370">
                  <c:v>-7.2214816658394403E-5</c:v>
                </c:pt>
                <c:pt idx="371">
                  <c:v>6.6311177377510203E-6</c:v>
                </c:pt>
                <c:pt idx="372">
                  <c:v>1.6907666804455299E-5</c:v>
                </c:pt>
                <c:pt idx="373">
                  <c:v>6.9145944655922899E-6</c:v>
                </c:pt>
                <c:pt idx="374">
                  <c:v>-3.4393593636718498E-5</c:v>
                </c:pt>
                <c:pt idx="375">
                  <c:v>3.3777690223085201E-5</c:v>
                </c:pt>
                <c:pt idx="376">
                  <c:v>5.0626949692358201E-5</c:v>
                </c:pt>
                <c:pt idx="377">
                  <c:v>-1.17005565113034E-4</c:v>
                </c:pt>
                <c:pt idx="378">
                  <c:v>8.8517071241249495E-6</c:v>
                </c:pt>
                <c:pt idx="379">
                  <c:v>1.6246155720887899E-5</c:v>
                </c:pt>
                <c:pt idx="380">
                  <c:v>5.8284501487004002E-5</c:v>
                </c:pt>
                <c:pt idx="381">
                  <c:v>9.8141674881770607E-5</c:v>
                </c:pt>
                <c:pt idx="382">
                  <c:v>5.1075987341234502E-5</c:v>
                </c:pt>
                <c:pt idx="383">
                  <c:v>3.71567652901274E-5</c:v>
                </c:pt>
                <c:pt idx="384">
                  <c:v>4.8594065451613902E-6</c:v>
                </c:pt>
                <c:pt idx="385">
                  <c:v>3.4510207213998503E-5</c:v>
                </c:pt>
                <c:pt idx="386">
                  <c:v>2.9831643364374501E-5</c:v>
                </c:pt>
                <c:pt idx="387">
                  <c:v>-4.2657889064867898E-5</c:v>
                </c:pt>
                <c:pt idx="388">
                  <c:v>8.6154718474827893E-6</c:v>
                </c:pt>
                <c:pt idx="389">
                  <c:v>-4.9316048930935401E-5</c:v>
                </c:pt>
                <c:pt idx="390">
                  <c:v>-3.1630804122060097E-5</c:v>
                </c:pt>
                <c:pt idx="391">
                  <c:v>4.8712654096960898E-5</c:v>
                </c:pt>
                <c:pt idx="392">
                  <c:v>-1.05868765821935E-4</c:v>
                </c:pt>
                <c:pt idx="393">
                  <c:v>-5.1842255000754198E-5</c:v>
                </c:pt>
                <c:pt idx="394">
                  <c:v>-3.0237573376116001E-5</c:v>
                </c:pt>
                <c:pt idx="395">
                  <c:v>-2.3200278271271899E-5</c:v>
                </c:pt>
                <c:pt idx="396">
                  <c:v>-7.6133044914141495E-5</c:v>
                </c:pt>
                <c:pt idx="397">
                  <c:v>6.7148146664535702E-5</c:v>
                </c:pt>
                <c:pt idx="398">
                  <c:v>2.14674882171457E-5</c:v>
                </c:pt>
                <c:pt idx="399">
                  <c:v>6.4657566873515001E-6</c:v>
                </c:pt>
                <c:pt idx="400">
                  <c:v>-4.0931566446500299E-6</c:v>
                </c:pt>
                <c:pt idx="401">
                  <c:v>1.4167149608592E-5</c:v>
                </c:pt>
                <c:pt idx="402">
                  <c:v>8.3412040442013799E-5</c:v>
                </c:pt>
                <c:pt idx="403">
                  <c:v>-9.4784781932927193E-6</c:v>
                </c:pt>
                <c:pt idx="404">
                  <c:v>4.02523826361109E-5</c:v>
                </c:pt>
                <c:pt idx="405">
                  <c:v>1.2159060078465399E-5</c:v>
                </c:pt>
                <c:pt idx="406">
                  <c:v>-2.6695373162450201E-5</c:v>
                </c:pt>
                <c:pt idx="407">
                  <c:v>-5.7177768440130502E-5</c:v>
                </c:pt>
                <c:pt idx="408">
                  <c:v>-5.5576151369920702E-6</c:v>
                </c:pt>
                <c:pt idx="409">
                  <c:v>-2.3058582636914099E-5</c:v>
                </c:pt>
                <c:pt idx="410">
                  <c:v>4.3348096588094001E-5</c:v>
                </c:pt>
                <c:pt idx="411">
                  <c:v>3.57153275820084E-5</c:v>
                </c:pt>
                <c:pt idx="412">
                  <c:v>-7.1010992543181595E-5</c:v>
                </c:pt>
                <c:pt idx="413">
                  <c:v>-7.0680528464308102E-5</c:v>
                </c:pt>
                <c:pt idx="414">
                  <c:v>-3.3944940745549398E-5</c:v>
                </c:pt>
                <c:pt idx="415">
                  <c:v>-2.3483668932628899E-5</c:v>
                </c:pt>
                <c:pt idx="416">
                  <c:v>-1.2336359013132699E-5</c:v>
                </c:pt>
                <c:pt idx="417">
                  <c:v>4.1788411834654297E-5</c:v>
                </c:pt>
                <c:pt idx="418">
                  <c:v>-3.7439656957867703E-5</c:v>
                </c:pt>
                <c:pt idx="419">
                  <c:v>3.8220134401888798E-5</c:v>
                </c:pt>
                <c:pt idx="420">
                  <c:v>-2.78288909973043E-5</c:v>
                </c:pt>
                <c:pt idx="421">
                  <c:v>-7.3135378177791393E-5</c:v>
                </c:pt>
                <c:pt idx="422">
                  <c:v>-5.1488117841868898E-5</c:v>
                </c:pt>
                <c:pt idx="423">
                  <c:v>3.1485655872475201E-5</c:v>
                </c:pt>
                <c:pt idx="424">
                  <c:v>-5.8646762719875904E-6</c:v>
                </c:pt>
                <c:pt idx="425">
                  <c:v>-2.9741672963243699E-5</c:v>
                </c:pt>
                <c:pt idx="426">
                  <c:v>-4.8041116757065499E-5</c:v>
                </c:pt>
                <c:pt idx="427">
                  <c:v>2.71380248826219E-5</c:v>
                </c:pt>
                <c:pt idx="428">
                  <c:v>-1.5194157478591E-5</c:v>
                </c:pt>
                <c:pt idx="429">
                  <c:v>2.69017460492567E-5</c:v>
                </c:pt>
                <c:pt idx="430">
                  <c:v>-9.9882645525278598E-7</c:v>
                </c:pt>
                <c:pt idx="431">
                  <c:v>-2.5561842370594199E-5</c:v>
                </c:pt>
                <c:pt idx="432">
                  <c:v>1.23870582863633E-4</c:v>
                </c:pt>
                <c:pt idx="433">
                  <c:v>4.2615514331667701E-5</c:v>
                </c:pt>
                <c:pt idx="434">
                  <c:v>6.18771368933542E-5</c:v>
                </c:pt>
                <c:pt idx="435">
                  <c:v>-4.2445387238853801E-5</c:v>
                </c:pt>
                <c:pt idx="436">
                  <c:v>-9.3131437249958605E-6</c:v>
                </c:pt>
                <c:pt idx="437">
                  <c:v>8.1757161975448106E-5</c:v>
                </c:pt>
                <c:pt idx="438">
                  <c:v>3.0138815030499699E-5</c:v>
                </c:pt>
                <c:pt idx="439">
                  <c:v>4.5900360899273598E-5</c:v>
                </c:pt>
                <c:pt idx="440">
                  <c:v>-3.4790224540986302E-6</c:v>
                </c:pt>
                <c:pt idx="441">
                  <c:v>4.2095620528532003E-5</c:v>
                </c:pt>
                <c:pt idx="442">
                  <c:v>-1.2785109677179301E-5</c:v>
                </c:pt>
                <c:pt idx="443">
                  <c:v>1.80416960692697E-5</c:v>
                </c:pt>
                <c:pt idx="444">
                  <c:v>-7.3999676864593199E-6</c:v>
                </c:pt>
                <c:pt idx="445">
                  <c:v>-3.1465506582435801E-5</c:v>
                </c:pt>
                <c:pt idx="446">
                  <c:v>1.68131649509811E-5</c:v>
                </c:pt>
                <c:pt idx="447">
                  <c:v>-2.0578876261178599E-5</c:v>
                </c:pt>
                <c:pt idx="448">
                  <c:v>-7.9668385085225592E-6</c:v>
                </c:pt>
                <c:pt idx="449">
                  <c:v>1.25134258648633E-5</c:v>
                </c:pt>
                <c:pt idx="450">
                  <c:v>2.8650222744137102E-5</c:v>
                </c:pt>
                <c:pt idx="451">
                  <c:v>-2.2090323716633601E-5</c:v>
                </c:pt>
                <c:pt idx="452">
                  <c:v>1.12710519648989E-6</c:v>
                </c:pt>
                <c:pt idx="453">
                  <c:v>6.4240783771694296E-5</c:v>
                </c:pt>
                <c:pt idx="454">
                  <c:v>-5.32351822206161E-5</c:v>
                </c:pt>
                <c:pt idx="455">
                  <c:v>1.534839773559E-5</c:v>
                </c:pt>
                <c:pt idx="456">
                  <c:v>-8.3683700470639701E-6</c:v>
                </c:pt>
                <c:pt idx="457">
                  <c:v>-7.3054889010771402E-6</c:v>
                </c:pt>
                <c:pt idx="458">
                  <c:v>-5.8098469587739202E-5</c:v>
                </c:pt>
                <c:pt idx="459">
                  <c:v>-3.8148030366236199E-5</c:v>
                </c:pt>
                <c:pt idx="460">
                  <c:v>-3.5054762618488799E-5</c:v>
                </c:pt>
                <c:pt idx="461">
                  <c:v>-4.4782882277810203E-5</c:v>
                </c:pt>
                <c:pt idx="462">
                  <c:v>-7.2332837843689106E-5</c:v>
                </c:pt>
                <c:pt idx="463">
                  <c:v>-7.08929697843271E-5</c:v>
                </c:pt>
                <c:pt idx="464">
                  <c:v>-6.78007234389342E-5</c:v>
                </c:pt>
                <c:pt idx="465">
                  <c:v>-4.1524540730217998E-5</c:v>
                </c:pt>
                <c:pt idx="466">
                  <c:v>1.14150514659001E-4</c:v>
                </c:pt>
                <c:pt idx="467">
                  <c:v>-1.0376003354526099E-5</c:v>
                </c:pt>
                <c:pt idx="468">
                  <c:v>3.15859357508544E-6</c:v>
                </c:pt>
                <c:pt idx="469">
                  <c:v>-3.8903623090788197E-5</c:v>
                </c:pt>
                <c:pt idx="470">
                  <c:v>-2.22084045789382E-5</c:v>
                </c:pt>
                <c:pt idx="471">
                  <c:v>-6.9571105286132096E-5</c:v>
                </c:pt>
                <c:pt idx="472">
                  <c:v>2.1940020557732799E-5</c:v>
                </c:pt>
                <c:pt idx="473">
                  <c:v>-3.2410060240444601E-5</c:v>
                </c:pt>
                <c:pt idx="474">
                  <c:v>1.3576530820598301E-5</c:v>
                </c:pt>
                <c:pt idx="475">
                  <c:v>2.4680752526060001E-5</c:v>
                </c:pt>
                <c:pt idx="476">
                  <c:v>-6.2347748711193105E-5</c:v>
                </c:pt>
                <c:pt idx="477">
                  <c:v>-1.71780352573633E-5</c:v>
                </c:pt>
                <c:pt idx="478">
                  <c:v>-5.1865864099712301E-5</c:v>
                </c:pt>
                <c:pt idx="479">
                  <c:v>7.3459544699292794E-5</c:v>
                </c:pt>
                <c:pt idx="480">
                  <c:v>6.7829360863375305E-7</c:v>
                </c:pt>
                <c:pt idx="481">
                  <c:v>6.3886233149941402E-5</c:v>
                </c:pt>
                <c:pt idx="482">
                  <c:v>-2.8088653676260601E-5</c:v>
                </c:pt>
                <c:pt idx="483">
                  <c:v>-5.5265515661051199E-5</c:v>
                </c:pt>
                <c:pt idx="484">
                  <c:v>1.30331646417874E-5</c:v>
                </c:pt>
                <c:pt idx="485">
                  <c:v>-1.2218266395642999E-5</c:v>
                </c:pt>
                <c:pt idx="486">
                  <c:v>4.2851830597471898E-5</c:v>
                </c:pt>
                <c:pt idx="487">
                  <c:v>-6.0300164893562797E-6</c:v>
                </c:pt>
                <c:pt idx="488">
                  <c:v>5.4263506834152403E-6</c:v>
                </c:pt>
                <c:pt idx="489">
                  <c:v>6.3003959126305401E-6</c:v>
                </c:pt>
                <c:pt idx="490">
                  <c:v>2.1609247682939801E-5</c:v>
                </c:pt>
                <c:pt idx="491">
                  <c:v>6.1569866935348602E-5</c:v>
                </c:pt>
                <c:pt idx="492">
                  <c:v>-2.8631791624332899E-5</c:v>
                </c:pt>
                <c:pt idx="493">
                  <c:v>5.8402678213862703E-5</c:v>
                </c:pt>
                <c:pt idx="494">
                  <c:v>9.4595014082088805E-5</c:v>
                </c:pt>
                <c:pt idx="495">
                  <c:v>7.9913187054503294E-5</c:v>
                </c:pt>
                <c:pt idx="496">
                  <c:v>1.9979026058052098E-5</c:v>
                </c:pt>
                <c:pt idx="497">
                  <c:v>-1.74614431288656E-5</c:v>
                </c:pt>
                <c:pt idx="498">
                  <c:v>-5.8499798181577199E-5</c:v>
                </c:pt>
                <c:pt idx="499">
                  <c:v>2.8154030279633E-5</c:v>
                </c:pt>
                <c:pt idx="500">
                  <c:v>1.1781071301807501E-5</c:v>
                </c:pt>
                <c:pt idx="501">
                  <c:v>-7.8941799997209105E-5</c:v>
                </c:pt>
                <c:pt idx="502">
                  <c:v>6.3240188635761504E-6</c:v>
                </c:pt>
                <c:pt idx="503">
                  <c:v>-1.97286769439236E-5</c:v>
                </c:pt>
                <c:pt idx="504">
                  <c:v>-1.36117503217378E-5</c:v>
                </c:pt>
                <c:pt idx="505">
                  <c:v>-7.8068498117805004E-5</c:v>
                </c:pt>
                <c:pt idx="506">
                  <c:v>-1.3021293421581301E-5</c:v>
                </c:pt>
                <c:pt idx="507">
                  <c:v>-1.5893549379249601E-6</c:v>
                </c:pt>
                <c:pt idx="508">
                  <c:v>5.5117417647223E-5</c:v>
                </c:pt>
                <c:pt idx="509">
                  <c:v>3.7416698909236802E-5</c:v>
                </c:pt>
                <c:pt idx="510">
                  <c:v>2.7468816194929001E-5</c:v>
                </c:pt>
                <c:pt idx="511">
                  <c:v>3.0091557789197399E-5</c:v>
                </c:pt>
                <c:pt idx="512">
                  <c:v>3.1485655872475201E-5</c:v>
                </c:pt>
                <c:pt idx="513">
                  <c:v>-3.7604944539125897E-5</c:v>
                </c:pt>
                <c:pt idx="514">
                  <c:v>1.91521122878158E-5</c:v>
                </c:pt>
                <c:pt idx="515">
                  <c:v>2.9264559710593001E-5</c:v>
                </c:pt>
                <c:pt idx="516">
                  <c:v>-2.2444565881720101E-5</c:v>
                </c:pt>
                <c:pt idx="517">
                  <c:v>5.3179401282339599E-5</c:v>
                </c:pt>
                <c:pt idx="518">
                  <c:v>-5.0331260974789301E-5</c:v>
                </c:pt>
                <c:pt idx="519">
                  <c:v>-1.01398133101262E-5</c:v>
                </c:pt>
                <c:pt idx="520">
                  <c:v>-3.2008626035132801E-5</c:v>
                </c:pt>
                <c:pt idx="521">
                  <c:v>-5.2977934340703503E-6</c:v>
                </c:pt>
                <c:pt idx="522">
                  <c:v>2.3924680970805301E-5</c:v>
                </c:pt>
                <c:pt idx="523">
                  <c:v>-4.5891853299982204E-6</c:v>
                </c:pt>
                <c:pt idx="524">
                  <c:v>-3.0119502074179501E-5</c:v>
                </c:pt>
                <c:pt idx="525">
                  <c:v>1.6364282376518399E-5</c:v>
                </c:pt>
                <c:pt idx="526">
                  <c:v>9.1379484527632094E-5</c:v>
                </c:pt>
                <c:pt idx="527">
                  <c:v>7.2466713902782695E-5</c:v>
                </c:pt>
                <c:pt idx="528">
                  <c:v>-6.7021745411024702E-5</c:v>
                </c:pt>
                <c:pt idx="529">
                  <c:v>3.14147690564619E-5</c:v>
                </c:pt>
                <c:pt idx="530">
                  <c:v>1.6624161514133701E-5</c:v>
                </c:pt>
                <c:pt idx="531">
                  <c:v>3.7605741969123297E-5</c:v>
                </c:pt>
                <c:pt idx="532">
                  <c:v>-6.3716922078836894E-5</c:v>
                </c:pt>
                <c:pt idx="533">
                  <c:v>7.9818625161821399E-5</c:v>
                </c:pt>
                <c:pt idx="534">
                  <c:v>-3.5668701297089897E-5</c:v>
                </c:pt>
                <c:pt idx="535">
                  <c:v>-4.6553675168121701E-5</c:v>
                </c:pt>
                <c:pt idx="536">
                  <c:v>-4.25162212314566E-5</c:v>
                </c:pt>
                <c:pt idx="537">
                  <c:v>3.8432809592117901E-5</c:v>
                </c:pt>
                <c:pt idx="538">
                  <c:v>1.1001473999329801E-5</c:v>
                </c:pt>
                <c:pt idx="539">
                  <c:v>-3.5857604741166702E-5</c:v>
                </c:pt>
                <c:pt idx="540">
                  <c:v>-5.4108702866341901E-5</c:v>
                </c:pt>
                <c:pt idx="541">
                  <c:v>-3.7038243113493699E-5</c:v>
                </c:pt>
                <c:pt idx="542">
                  <c:v>-2.91513120953972E-5</c:v>
                </c:pt>
                <c:pt idx="543">
                  <c:v>4.95634475789164E-5</c:v>
                </c:pt>
                <c:pt idx="544">
                  <c:v>8.4168565505569101E-5</c:v>
                </c:pt>
                <c:pt idx="545">
                  <c:v>6.8590041167399099E-5</c:v>
                </c:pt>
                <c:pt idx="546">
                  <c:v>-4.7238373274340498E-5</c:v>
                </c:pt>
                <c:pt idx="547">
                  <c:v>-7.86585677981479E-5</c:v>
                </c:pt>
                <c:pt idx="548">
                  <c:v>-4.69078299512936E-5</c:v>
                </c:pt>
                <c:pt idx="549">
                  <c:v>2.6389065406688598E-6</c:v>
                </c:pt>
                <c:pt idx="550">
                  <c:v>-1.6705687004994898E-5</c:v>
                </c:pt>
                <c:pt idx="551">
                  <c:v>-1.1344376655526699E-5</c:v>
                </c:pt>
                <c:pt idx="552">
                  <c:v>-6.6242761262640403E-5</c:v>
                </c:pt>
                <c:pt idx="553">
                  <c:v>2.6122029892308801E-5</c:v>
                </c:pt>
                <c:pt idx="554">
                  <c:v>-3.9824493939232699E-5</c:v>
                </c:pt>
                <c:pt idx="555">
                  <c:v>3.0162443659596501E-5</c:v>
                </c:pt>
                <c:pt idx="556">
                  <c:v>-3.7770231844864297E-5</c:v>
                </c:pt>
                <c:pt idx="557">
                  <c:v>-2.0696958923204201E-5</c:v>
                </c:pt>
                <c:pt idx="558">
                  <c:v>6.4618972498138602E-5</c:v>
                </c:pt>
                <c:pt idx="559">
                  <c:v>4.0323275767879601E-5</c:v>
                </c:pt>
                <c:pt idx="560">
                  <c:v>7.9156694436552003E-5</c:v>
                </c:pt>
                <c:pt idx="561">
                  <c:v>-2.2846038805743999E-5</c:v>
                </c:pt>
                <c:pt idx="562">
                  <c:v>6.7019868437517199E-6</c:v>
                </c:pt>
                <c:pt idx="563">
                  <c:v>4.2733672394193403E-5</c:v>
                </c:pt>
                <c:pt idx="564">
                  <c:v>1.74983054286706E-5</c:v>
                </c:pt>
                <c:pt idx="565">
                  <c:v>1.1899192639761299E-5</c:v>
                </c:pt>
                <c:pt idx="566">
                  <c:v>-4.9245219795796899E-5</c:v>
                </c:pt>
                <c:pt idx="567">
                  <c:v>-3.0774711194892002E-6</c:v>
                </c:pt>
                <c:pt idx="568">
                  <c:v>1.5088521940601699E-5</c:v>
                </c:pt>
                <c:pt idx="569">
                  <c:v>6.2657134137779897E-5</c:v>
                </c:pt>
                <c:pt idx="570">
                  <c:v>-7.6125446244399003E-6</c:v>
                </c:pt>
                <c:pt idx="571">
                  <c:v>-6.4079359510952596E-6</c:v>
                </c:pt>
                <c:pt idx="572">
                  <c:v>-4.48773253636347E-5</c:v>
                </c:pt>
                <c:pt idx="573">
                  <c:v>-3.5735048847897601E-6</c:v>
                </c:pt>
                <c:pt idx="574">
                  <c:v>-3.7935518875082998E-5</c:v>
                </c:pt>
                <c:pt idx="575">
                  <c:v>3.7121316607829602E-7</c:v>
                </c:pt>
                <c:pt idx="576">
                  <c:v>-9.6201932324315995E-6</c:v>
                </c:pt>
                <c:pt idx="577">
                  <c:v>4.9043517361780903E-5</c:v>
                </c:pt>
                <c:pt idx="578">
                  <c:v>7.4263272144700496E-5</c:v>
                </c:pt>
                <c:pt idx="579">
                  <c:v>3.1113491866938899E-6</c:v>
                </c:pt>
                <c:pt idx="580">
                  <c:v>7.0859294629721194E-5</c:v>
                </c:pt>
                <c:pt idx="581">
                  <c:v>-5.4533656073562503E-5</c:v>
                </c:pt>
                <c:pt idx="582">
                  <c:v>2.5791243071345801E-5</c:v>
                </c:pt>
                <c:pt idx="583">
                  <c:v>-1.51469218096564E-5</c:v>
                </c:pt>
                <c:pt idx="584">
                  <c:v>5.3770255918381703E-5</c:v>
                </c:pt>
                <c:pt idx="585">
                  <c:v>8.9934485601749692E-6</c:v>
                </c:pt>
                <c:pt idx="586">
                  <c:v>-5.9821810295608499E-5</c:v>
                </c:pt>
                <c:pt idx="587">
                  <c:v>-1.9752293690051499E-5</c:v>
                </c:pt>
                <c:pt idx="588">
                  <c:v>-1.54211278869855E-6</c:v>
                </c:pt>
                <c:pt idx="589">
                  <c:v>-3.5498842855569599E-6</c:v>
                </c:pt>
                <c:pt idx="590">
                  <c:v>4.47660130985578E-5</c:v>
                </c:pt>
                <c:pt idx="591">
                  <c:v>8.3556136930602407E-6</c:v>
                </c:pt>
                <c:pt idx="592">
                  <c:v>2.0120783396571501E-5</c:v>
                </c:pt>
                <c:pt idx="593">
                  <c:v>3.3045178641469001E-5</c:v>
                </c:pt>
                <c:pt idx="594">
                  <c:v>-2.37670587841137E-5</c:v>
                </c:pt>
                <c:pt idx="595">
                  <c:v>-6.31739762815413E-5</c:v>
                </c:pt>
                <c:pt idx="596">
                  <c:v>-5.1393681052527898E-5</c:v>
                </c:pt>
                <c:pt idx="597">
                  <c:v>-6.0506416784045901E-5</c:v>
                </c:pt>
                <c:pt idx="598">
                  <c:v>-5.0661792885531701E-5</c:v>
                </c:pt>
                <c:pt idx="599">
                  <c:v>1.5230272289825E-5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640448"/>
        <c:axId val="97641024"/>
      </c:scatterChart>
      <c:valAx>
        <c:axId val="97640448"/>
        <c:scaling>
          <c:orientation val="minMax"/>
          <c:max val="1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/>
                  <a:t># cycle</a:t>
                </a:r>
              </a:p>
            </c:rich>
          </c:tx>
          <c:layout>
            <c:manualLayout>
              <c:xMode val="edge"/>
              <c:yMode val="edge"/>
              <c:x val="0.52627765777065461"/>
              <c:y val="0.8771040136836832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97641024"/>
        <c:crossesAt val="0"/>
        <c:crossBetween val="midCat"/>
      </c:valAx>
      <c:valAx>
        <c:axId val="97641024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/>
                  <a:t>173Yb++ (V)</a:t>
                </a:r>
              </a:p>
            </c:rich>
          </c:tx>
          <c:layout>
            <c:manualLayout>
              <c:xMode val="edge"/>
              <c:yMode val="edge"/>
              <c:x val="5.1448586625786816E-2"/>
              <c:y val="0.3422035447816212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97640448"/>
        <c:crossesAt val="1"/>
        <c:crossBetween val="midCat"/>
      </c:valAx>
      <c:spPr>
        <a:noFill/>
        <a:ln w="3175">
          <a:solidFill>
            <a:srgbClr val="B3B3B3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22" r="0.75000000000000022" t="1" header="0.51180555555555562" footer="0.51180555555555562"/>
    <c:pageSetup firstPageNumber="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525293060464756"/>
          <c:y val="4.3667727374786122E-2"/>
          <c:w val="0.79082485560848137"/>
          <c:h val="0.75160600500158781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Data!$E$1</c:f>
              <c:strCache>
                <c:ptCount val="1"/>
                <c:pt idx="0">
                  <c:v>Unc.†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9"/>
            <c:spPr>
              <a:solidFill>
                <a:srgbClr val="FFC000"/>
              </a:solidFill>
              <a:ln>
                <a:solidFill>
                  <a:schemeClr val="tx1"/>
                </a:solidFill>
              </a:ln>
            </c:spPr>
          </c:marker>
          <c:dLbls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errBars>
            <c:errDir val="y"/>
            <c:errBarType val="both"/>
            <c:errValType val="cust"/>
            <c:noEndCap val="0"/>
            <c:plus>
              <c:numRef>
                <c:f>Data!$E$3</c:f>
                <c:numCache>
                  <c:formatCode>General</c:formatCode>
                  <c:ptCount val="1"/>
                  <c:pt idx="0">
                    <c:v>3.4420704089162013E-5</c:v>
                  </c:pt>
                </c:numCache>
              </c:numRef>
            </c:plus>
            <c:minus>
              <c:numRef>
                <c:f>Data!$E$3</c:f>
                <c:numCache>
                  <c:formatCode>General</c:formatCode>
                  <c:ptCount val="1"/>
                  <c:pt idx="0">
                    <c:v>3.4420704089162013E-5</c:v>
                  </c:pt>
                </c:numCache>
              </c:numRef>
            </c:minus>
          </c:errBars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Ref>
              <c:f>Data!$E$2</c:f>
              <c:numCache>
                <c:formatCode>0.00000</c:formatCode>
                <c:ptCount val="1"/>
                <c:pt idx="0">
                  <c:v>0.70873894826244943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Data!$F$1</c:f>
              <c:strCache>
                <c:ptCount val="1"/>
                <c:pt idx="0">
                  <c:v>REE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8"/>
            <c:spPr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errBars>
            <c:errDir val="y"/>
            <c:errBarType val="both"/>
            <c:errValType val="cust"/>
            <c:noEndCap val="0"/>
            <c:plus>
              <c:numRef>
                <c:f>Data!$F$3</c:f>
                <c:numCache>
                  <c:formatCode>General</c:formatCode>
                  <c:ptCount val="1"/>
                  <c:pt idx="0">
                    <c:v>3.5966561003984655E-5</c:v>
                  </c:pt>
                </c:numCache>
              </c:numRef>
            </c:plus>
            <c:minus>
              <c:numRef>
                <c:f>Data!$F$3</c:f>
                <c:numCache>
                  <c:formatCode>General</c:formatCode>
                  <c:ptCount val="1"/>
                  <c:pt idx="0">
                    <c:v>3.5966561003984655E-5</c:v>
                  </c:pt>
                </c:numCache>
              </c:numRef>
            </c:minus>
          </c:errBars>
          <c:xVal>
            <c:numLit>
              <c:formatCode>General</c:formatCode>
              <c:ptCount val="1"/>
              <c:pt idx="0">
                <c:v>2</c:v>
              </c:pt>
            </c:numLit>
          </c:xVal>
          <c:yVal>
            <c:numRef>
              <c:f>Data!$F$2</c:f>
              <c:numCache>
                <c:formatCode>0.00000</c:formatCode>
                <c:ptCount val="1"/>
                <c:pt idx="0">
                  <c:v>0.70868237630213315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642752"/>
        <c:axId val="97643328"/>
      </c:scatterChart>
      <c:valAx>
        <c:axId val="97642752"/>
        <c:scaling>
          <c:orientation val="minMax"/>
          <c:max val="3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97643328"/>
        <c:crosses val="autoZero"/>
        <c:crossBetween val="midCat"/>
        <c:majorUnit val="1"/>
      </c:valAx>
      <c:valAx>
        <c:axId val="9764332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 sz="1000" b="1" i="0" u="none" strike="noStrike" baseline="30000">
                    <a:solidFill>
                      <a:srgbClr val="000000"/>
                    </a:solidFill>
                    <a:latin typeface="Calibri"/>
                    <a:cs typeface="Calibri"/>
                  </a:rPr>
                  <a:t>87</a:t>
                </a:r>
                <a:r>
                  <a:rPr lang="it-IT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Sr/</a:t>
                </a:r>
                <a:r>
                  <a:rPr lang="it-IT" sz="1000" b="1" i="0" u="none" strike="noStrike" baseline="30000">
                    <a:solidFill>
                      <a:srgbClr val="000000"/>
                    </a:solidFill>
                    <a:latin typeface="Calibri"/>
                    <a:cs typeface="Calibri"/>
                  </a:rPr>
                  <a:t>86</a:t>
                </a:r>
                <a:r>
                  <a:rPr lang="it-IT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Sr (results)</a:t>
                </a:r>
              </a:p>
            </c:rich>
          </c:tx>
          <c:layout>
            <c:manualLayout>
              <c:xMode val="edge"/>
              <c:yMode val="edge"/>
              <c:x val="1.0025062656641598E-2"/>
              <c:y val="0.28048499372361091"/>
            </c:manualLayout>
          </c:layout>
          <c:overlay val="0"/>
        </c:title>
        <c:numFmt formatCode="0.00000" sourceLinked="1"/>
        <c:majorTickMark val="out"/>
        <c:minorTickMark val="none"/>
        <c:tickLblPos val="nextTo"/>
        <c:spPr>
          <a:ln>
            <a:solidFill>
              <a:schemeClr val="bg1">
                <a:lumMod val="65000"/>
              </a:schemeClr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97642752"/>
        <c:crosses val="autoZero"/>
        <c:crossBetween val="midCat"/>
      </c:valAx>
      <c:spPr>
        <a:ln>
          <a:solidFill>
            <a:schemeClr val="bg1">
              <a:lumMod val="65000"/>
            </a:schemeClr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387519417215704"/>
          <c:y val="5.6596508542699195E-2"/>
          <c:w val="0.74513815694298069"/>
          <c:h val="0.7131294565516425"/>
        </c:manualLayout>
      </c:layout>
      <c:scatterChart>
        <c:scatterStyle val="lineMarker"/>
        <c:varyColors val="0"/>
        <c:ser>
          <c:idx val="4"/>
          <c:order val="0"/>
          <c:spPr>
            <a:ln w="12700">
              <a:solidFill>
                <a:srgbClr val="FFC000"/>
              </a:solidFill>
              <a:prstDash val="solid"/>
            </a:ln>
          </c:spPr>
          <c:marker>
            <c:symbol val="none"/>
          </c:marker>
          <c:trendline>
            <c:spPr>
              <a:ln w="19050">
                <a:solidFill>
                  <a:schemeClr val="accent6">
                    <a:lumMod val="50000"/>
                  </a:schemeClr>
                </a:solidFill>
              </a:ln>
            </c:spPr>
            <c:trendlineType val="movingAvg"/>
            <c:period val="10"/>
            <c:dispRSqr val="0"/>
            <c:dispEq val="0"/>
          </c:trendline>
          <c:yVal>
            <c:numRef>
              <c:f>Data!$AW$67:$AW$1633</c:f>
              <c:numCache>
                <c:formatCode>0.00000</c:formatCode>
                <c:ptCount val="156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0.70925255800452403</c:v>
                </c:pt>
                <c:pt idx="108">
                  <c:v>0.70894228787283498</c:v>
                </c:pt>
                <c:pt idx="109">
                  <c:v>0.70909038744848685</c:v>
                </c:pt>
                <c:pt idx="110">
                  <c:v>#N/A</c:v>
                </c:pt>
                <c:pt idx="111">
                  <c:v>0.70898705966998166</c:v>
                </c:pt>
                <c:pt idx="112">
                  <c:v>0.70881384922249235</c:v>
                </c:pt>
                <c:pt idx="113">
                  <c:v>0.7092610634315869</c:v>
                </c:pt>
                <c:pt idx="114">
                  <c:v>0.70907033436489575</c:v>
                </c:pt>
                <c:pt idx="115">
                  <c:v>0.70877455608523932</c:v>
                </c:pt>
                <c:pt idx="116">
                  <c:v>0.70869211806850729</c:v>
                </c:pt>
                <c:pt idx="117">
                  <c:v>0.70871515398486884</c:v>
                </c:pt>
                <c:pt idx="118">
                  <c:v>0.70918035784980027</c:v>
                </c:pt>
                <c:pt idx="119">
                  <c:v>0.70911570993053419</c:v>
                </c:pt>
                <c:pt idx="120">
                  <c:v>0.70916268998320375</c:v>
                </c:pt>
                <c:pt idx="121">
                  <c:v>0.70909217301657634</c:v>
                </c:pt>
                <c:pt idx="122">
                  <c:v>0.70928630731504705</c:v>
                </c:pt>
                <c:pt idx="123">
                  <c:v>0.70875644598805709</c:v>
                </c:pt>
                <c:pt idx="124">
                  <c:v>0.70852379235226737</c:v>
                </c:pt>
                <c:pt idx="125">
                  <c:v>0.70908545278228641</c:v>
                </c:pt>
                <c:pt idx="126">
                  <c:v>0.70939820204356052</c:v>
                </c:pt>
                <c:pt idx="127">
                  <c:v>0.70829609786852465</c:v>
                </c:pt>
                <c:pt idx="128">
                  <c:v>0.70890636975003896</c:v>
                </c:pt>
                <c:pt idx="129">
                  <c:v>0.70910143575188911</c:v>
                </c:pt>
                <c:pt idx="130">
                  <c:v>0.7087348459842544</c:v>
                </c:pt>
                <c:pt idx="131">
                  <c:v>0.70906713549452161</c:v>
                </c:pt>
                <c:pt idx="132">
                  <c:v>0.70918662756862216</c:v>
                </c:pt>
                <c:pt idx="133">
                  <c:v>0.70848083500119763</c:v>
                </c:pt>
                <c:pt idx="134">
                  <c:v>0.70841607479632784</c:v>
                </c:pt>
                <c:pt idx="135">
                  <c:v>0.70870487566990936</c:v>
                </c:pt>
                <c:pt idx="136">
                  <c:v>0.70875549451092557</c:v>
                </c:pt>
                <c:pt idx="137">
                  <c:v>0.70890055730715995</c:v>
                </c:pt>
                <c:pt idx="138">
                  <c:v>0.70924562158118587</c:v>
                </c:pt>
                <c:pt idx="139">
                  <c:v>0.70881064661407134</c:v>
                </c:pt>
                <c:pt idx="140">
                  <c:v>0.70911431222046328</c:v>
                </c:pt>
                <c:pt idx="141">
                  <c:v>0.7092271817732958</c:v>
                </c:pt>
                <c:pt idx="142">
                  <c:v>0.70913735042768133</c:v>
                </c:pt>
                <c:pt idx="143">
                  <c:v>0.70834478827613756</c:v>
                </c:pt>
                <c:pt idx="144">
                  <c:v>0.70855043463548839</c:v>
                </c:pt>
                <c:pt idx="145">
                  <c:v>0.70903981654498749</c:v>
                </c:pt>
                <c:pt idx="146">
                  <c:v>0.70834360233526095</c:v>
                </c:pt>
                <c:pt idx="147">
                  <c:v>0.70885874223176992</c:v>
                </c:pt>
                <c:pt idx="148">
                  <c:v>0.70869501588752415</c:v>
                </c:pt>
                <c:pt idx="149">
                  <c:v>0.70867987403118793</c:v>
                </c:pt>
                <c:pt idx="150">
                  <c:v>0.70892121514774886</c:v>
                </c:pt>
                <c:pt idx="151">
                  <c:v>0.70858807636444476</c:v>
                </c:pt>
                <c:pt idx="152">
                  <c:v>0.70920829453787027</c:v>
                </c:pt>
                <c:pt idx="153">
                  <c:v>0.7089789080612362</c:v>
                </c:pt>
                <c:pt idx="154">
                  <c:v>0.70926697764635127</c:v>
                </c:pt>
                <c:pt idx="155">
                  <c:v>0.70849569781260802</c:v>
                </c:pt>
                <c:pt idx="156">
                  <c:v>0.70842275725147152</c:v>
                </c:pt>
                <c:pt idx="157">
                  <c:v>0.70803658410489179</c:v>
                </c:pt>
                <c:pt idx="158">
                  <c:v>0.70859737425257519</c:v>
                </c:pt>
                <c:pt idx="159">
                  <c:v>0.70895552115048599</c:v>
                </c:pt>
                <c:pt idx="160">
                  <c:v>0.70862148473691489</c:v>
                </c:pt>
                <c:pt idx="161">
                  <c:v>0.7085122275224196</c:v>
                </c:pt>
                <c:pt idx="162">
                  <c:v>0.70879132516060805</c:v>
                </c:pt>
                <c:pt idx="163">
                  <c:v>0.70886832670270883</c:v>
                </c:pt>
                <c:pt idx="164">
                  <c:v>0.70872719726145339</c:v>
                </c:pt>
                <c:pt idx="165">
                  <c:v>0.70866629151705984</c:v>
                </c:pt>
                <c:pt idx="166">
                  <c:v>0.70918985899498288</c:v>
                </c:pt>
                <c:pt idx="167">
                  <c:v>0.7081636403678131</c:v>
                </c:pt>
                <c:pt idx="168">
                  <c:v>0.70853555399152768</c:v>
                </c:pt>
                <c:pt idx="169">
                  <c:v>0.70842929608936478</c:v>
                </c:pt>
                <c:pt idx="170">
                  <c:v>0.70889533452713405</c:v>
                </c:pt>
                <c:pt idx="171">
                  <c:v>0.70895566465218884</c:v>
                </c:pt>
                <c:pt idx="172">
                  <c:v>0.70839614632233272</c:v>
                </c:pt>
                <c:pt idx="173">
                  <c:v>0.70865379953630159</c:v>
                </c:pt>
                <c:pt idx="174">
                  <c:v>#N/A</c:v>
                </c:pt>
                <c:pt idx="175">
                  <c:v>0.70903658053065199</c:v>
                </c:pt>
                <c:pt idx="176">
                  <c:v>0.70799293189918178</c:v>
                </c:pt>
                <c:pt idx="177">
                  <c:v>0.70925437193024177</c:v>
                </c:pt>
                <c:pt idx="178">
                  <c:v>0.70891101423462755</c:v>
                </c:pt>
                <c:pt idx="179">
                  <c:v>0.70853987765777382</c:v>
                </c:pt>
                <c:pt idx="180">
                  <c:v>0.70876889443744218</c:v>
                </c:pt>
                <c:pt idx="181">
                  <c:v>0.7086774266671465</c:v>
                </c:pt>
                <c:pt idx="182">
                  <c:v>0.70858904436245995</c:v>
                </c:pt>
                <c:pt idx="183">
                  <c:v>0.70836393994713098</c:v>
                </c:pt>
                <c:pt idx="184">
                  <c:v>0.70837061977806715</c:v>
                </c:pt>
                <c:pt idx="185">
                  <c:v>0.70906497094056364</c:v>
                </c:pt>
                <c:pt idx="186">
                  <c:v>0.70831456267151838</c:v>
                </c:pt>
                <c:pt idx="187">
                  <c:v>0.70862723703902264</c:v>
                </c:pt>
                <c:pt idx="188">
                  <c:v>0.70899525688715737</c:v>
                </c:pt>
                <c:pt idx="189">
                  <c:v>0.70820379829177316</c:v>
                </c:pt>
                <c:pt idx="190">
                  <c:v>0.70857245441687089</c:v>
                </c:pt>
                <c:pt idx="191">
                  <c:v>0.7084336186158422</c:v>
                </c:pt>
                <c:pt idx="192">
                  <c:v>0.70879442524406921</c:v>
                </c:pt>
                <c:pt idx="193">
                  <c:v>0.70854124046112743</c:v>
                </c:pt>
                <c:pt idx="194">
                  <c:v>0.70856498253224176</c:v>
                </c:pt>
                <c:pt idx="195">
                  <c:v>0.70931214422987721</c:v>
                </c:pt>
                <c:pt idx="196">
                  <c:v>0.70806619907640633</c:v>
                </c:pt>
                <c:pt idx="197">
                  <c:v>0.70816502183015295</c:v>
                </c:pt>
                <c:pt idx="198">
                  <c:v>0.70859621914356663</c:v>
                </c:pt>
                <c:pt idx="199">
                  <c:v>0.70855907852709765</c:v>
                </c:pt>
                <c:pt idx="200">
                  <c:v>0.70854477389759973</c:v>
                </c:pt>
                <c:pt idx="201">
                  <c:v>0.70921165535245656</c:v>
                </c:pt>
                <c:pt idx="202">
                  <c:v>0.70881716727793587</c:v>
                </c:pt>
                <c:pt idx="203">
                  <c:v>0.70873883895279</c:v>
                </c:pt>
                <c:pt idx="204">
                  <c:v>0.70850036941135064</c:v>
                </c:pt>
                <c:pt idx="205">
                  <c:v>0.70847062968498919</c:v>
                </c:pt>
                <c:pt idx="206">
                  <c:v>0.70915487436933156</c:v>
                </c:pt>
                <c:pt idx="207">
                  <c:v>0.70844076490690311</c:v>
                </c:pt>
                <c:pt idx="208">
                  <c:v>0.70879956756840756</c:v>
                </c:pt>
                <c:pt idx="209">
                  <c:v>0.7086182400007397</c:v>
                </c:pt>
                <c:pt idx="210">
                  <c:v>0.70891884981311726</c:v>
                </c:pt>
                <c:pt idx="211">
                  <c:v>0.70816278481415618</c:v>
                </c:pt>
                <c:pt idx="212">
                  <c:v>0.70915945507119138</c:v>
                </c:pt>
                <c:pt idx="213">
                  <c:v>0.70833907423645448</c:v>
                </c:pt>
                <c:pt idx="214">
                  <c:v>0.70878059711367047</c:v>
                </c:pt>
                <c:pt idx="215">
                  <c:v>0.70927383908729769</c:v>
                </c:pt>
                <c:pt idx="216">
                  <c:v>0.70834767482757699</c:v>
                </c:pt>
                <c:pt idx="217">
                  <c:v>0.70873255741081298</c:v>
                </c:pt>
                <c:pt idx="218">
                  <c:v>0.70893003228822993</c:v>
                </c:pt>
                <c:pt idx="219">
                  <c:v>0.70850979765253908</c:v>
                </c:pt>
                <c:pt idx="220">
                  <c:v>0.70931087779913993</c:v>
                </c:pt>
                <c:pt idx="221">
                  <c:v>0.70880478651800449</c:v>
                </c:pt>
                <c:pt idx="222">
                  <c:v>0.70845955541819894</c:v>
                </c:pt>
                <c:pt idx="223">
                  <c:v>0.70883369464878476</c:v>
                </c:pt>
                <c:pt idx="224">
                  <c:v>0.70843174337561654</c:v>
                </c:pt>
                <c:pt idx="225">
                  <c:v>0.70911719677803808</c:v>
                </c:pt>
                <c:pt idx="226">
                  <c:v>0.70916192787271859</c:v>
                </c:pt>
                <c:pt idx="227">
                  <c:v>0.70915609094599907</c:v>
                </c:pt>
                <c:pt idx="228">
                  <c:v>0.70840412351198345</c:v>
                </c:pt>
                <c:pt idx="229">
                  <c:v>0.70865121130148423</c:v>
                </c:pt>
                <c:pt idx="230">
                  <c:v>0.70859654661316396</c:v>
                </c:pt>
                <c:pt idx="231">
                  <c:v>0.70859617483979265</c:v>
                </c:pt>
                <c:pt idx="232">
                  <c:v>0.70887206642008616</c:v>
                </c:pt>
                <c:pt idx="233">
                  <c:v>0.70900754289325552</c:v>
                </c:pt>
                <c:pt idx="234">
                  <c:v>0.70847608220146296</c:v>
                </c:pt>
                <c:pt idx="235">
                  <c:v>0.70893471391627305</c:v>
                </c:pt>
                <c:pt idx="236">
                  <c:v>0.70860841099067384</c:v>
                </c:pt>
                <c:pt idx="237">
                  <c:v>0.70866636569469377</c:v>
                </c:pt>
                <c:pt idx="238">
                  <c:v>0.70880234692917143</c:v>
                </c:pt>
                <c:pt idx="239">
                  <c:v>0.70837297815185618</c:v>
                </c:pt>
                <c:pt idx="240">
                  <c:v>0.70841050253103244</c:v>
                </c:pt>
                <c:pt idx="241">
                  <c:v>0.70873432445606699</c:v>
                </c:pt>
                <c:pt idx="242">
                  <c:v>0.7092600035096478</c:v>
                </c:pt>
                <c:pt idx="243">
                  <c:v>0.70883900389566645</c:v>
                </c:pt>
                <c:pt idx="244">
                  <c:v>0.70857112994354132</c:v>
                </c:pt>
                <c:pt idx="245">
                  <c:v>0.70913641721831877</c:v>
                </c:pt>
                <c:pt idx="246">
                  <c:v>0.7088224968357526</c:v>
                </c:pt>
                <c:pt idx="247">
                  <c:v>0.70866686169073234</c:v>
                </c:pt>
                <c:pt idx="248">
                  <c:v>0.70837938120117983</c:v>
                </c:pt>
                <c:pt idx="249">
                  <c:v>0.7088072450152455</c:v>
                </c:pt>
                <c:pt idx="250">
                  <c:v>0.70947855407864779</c:v>
                </c:pt>
                <c:pt idx="251">
                  <c:v>0.70949355459563945</c:v>
                </c:pt>
                <c:pt idx="252">
                  <c:v>0.70838560634882464</c:v>
                </c:pt>
                <c:pt idx="253">
                  <c:v>0.70884634077158049</c:v>
                </c:pt>
                <c:pt idx="254">
                  <c:v>0.70870594982696078</c:v>
                </c:pt>
                <c:pt idx="255">
                  <c:v>0.70893489670319576</c:v>
                </c:pt>
                <c:pt idx="256">
                  <c:v>0.7085314511926275</c:v>
                </c:pt>
                <c:pt idx="257">
                  <c:v>0.70843017398123354</c:v>
                </c:pt>
                <c:pt idx="258">
                  <c:v>0.70924923833389131</c:v>
                </c:pt>
                <c:pt idx="259">
                  <c:v>0.70897355186520195</c:v>
                </c:pt>
                <c:pt idx="260">
                  <c:v>0.70865864895409347</c:v>
                </c:pt>
                <c:pt idx="261">
                  <c:v>0.70840396978703557</c:v>
                </c:pt>
                <c:pt idx="262">
                  <c:v>0.70897458935193169</c:v>
                </c:pt>
                <c:pt idx="263">
                  <c:v>0.70911476130354778</c:v>
                </c:pt>
                <c:pt idx="264">
                  <c:v>0.70879248217374424</c:v>
                </c:pt>
                <c:pt idx="265">
                  <c:v>0.70846436737219853</c:v>
                </c:pt>
                <c:pt idx="266">
                  <c:v>0.70878517537197994</c:v>
                </c:pt>
                <c:pt idx="267">
                  <c:v>0.70866060407625919</c:v>
                </c:pt>
                <c:pt idx="268">
                  <c:v>0.70840908284490933</c:v>
                </c:pt>
                <c:pt idx="269">
                  <c:v>0.70907481445113885</c:v>
                </c:pt>
                <c:pt idx="270">
                  <c:v>0.70861313052292774</c:v>
                </c:pt>
                <c:pt idx="271">
                  <c:v>0.70832658841425089</c:v>
                </c:pt>
                <c:pt idx="272">
                  <c:v>0.70888265994714694</c:v>
                </c:pt>
                <c:pt idx="273">
                  <c:v>0.70873913530041976</c:v>
                </c:pt>
                <c:pt idx="274">
                  <c:v>0.70920054107259878</c:v>
                </c:pt>
                <c:pt idx="275">
                  <c:v>0.70878728917351141</c:v>
                </c:pt>
                <c:pt idx="276">
                  <c:v>0.70876894868304052</c:v>
                </c:pt>
                <c:pt idx="277">
                  <c:v>0.70869942285261922</c:v>
                </c:pt>
                <c:pt idx="278">
                  <c:v>0.70867866582510508</c:v>
                </c:pt>
                <c:pt idx="279">
                  <c:v>0.70909284065647482</c:v>
                </c:pt>
                <c:pt idx="280">
                  <c:v>0.70904337223730118</c:v>
                </c:pt>
                <c:pt idx="281">
                  <c:v>#N/A</c:v>
                </c:pt>
                <c:pt idx="282">
                  <c:v>0.70861064817489727</c:v>
                </c:pt>
                <c:pt idx="283">
                  <c:v>0.70938170039771198</c:v>
                </c:pt>
                <c:pt idx="284">
                  <c:v>#N/A</c:v>
                </c:pt>
                <c:pt idx="285">
                  <c:v>0.70877358883204178</c:v>
                </c:pt>
                <c:pt idx="286">
                  <c:v>0.70875766755738756</c:v>
                </c:pt>
                <c:pt idx="287">
                  <c:v>0.70909026848594925</c:v>
                </c:pt>
                <c:pt idx="288">
                  <c:v>0.70887307737977978</c:v>
                </c:pt>
                <c:pt idx="289">
                  <c:v>0.70879831373784741</c:v>
                </c:pt>
                <c:pt idx="290">
                  <c:v>0.70848657345030519</c:v>
                </c:pt>
                <c:pt idx="291">
                  <c:v>0.70860125986231037</c:v>
                </c:pt>
                <c:pt idx="292">
                  <c:v>0.70811462338896902</c:v>
                </c:pt>
                <c:pt idx="293">
                  <c:v>0.70920423384036491</c:v>
                </c:pt>
                <c:pt idx="294">
                  <c:v>0.70806024345009422</c:v>
                </c:pt>
                <c:pt idx="295">
                  <c:v>0.709002419449275</c:v>
                </c:pt>
                <c:pt idx="296">
                  <c:v>0.70885544645015763</c:v>
                </c:pt>
                <c:pt idx="297">
                  <c:v>0.70840113489233703</c:v>
                </c:pt>
                <c:pt idx="298">
                  <c:v>0.70865214139393062</c:v>
                </c:pt>
                <c:pt idx="299">
                  <c:v>0.70831418742944341</c:v>
                </c:pt>
                <c:pt idx="300">
                  <c:v>0.70834303247597019</c:v>
                </c:pt>
                <c:pt idx="301">
                  <c:v>0.70868940815813797</c:v>
                </c:pt>
                <c:pt idx="302">
                  <c:v>0.70801664844672463</c:v>
                </c:pt>
                <c:pt idx="303">
                  <c:v>0.70814080181291128</c:v>
                </c:pt>
                <c:pt idx="304">
                  <c:v>0.70907068744233548</c:v>
                </c:pt>
                <c:pt idx="305">
                  <c:v>0.7085249265501703</c:v>
                </c:pt>
                <c:pt idx="306">
                  <c:v>0.70913130513154776</c:v>
                </c:pt>
                <c:pt idx="307">
                  <c:v>0.70935861566122305</c:v>
                </c:pt>
                <c:pt idx="308">
                  <c:v>0.70873350089942266</c:v>
                </c:pt>
                <c:pt idx="309">
                  <c:v>0.70819646167960937</c:v>
                </c:pt>
                <c:pt idx="310">
                  <c:v>0.70853522780405176</c:v>
                </c:pt>
                <c:pt idx="311">
                  <c:v>0.70886052469753258</c:v>
                </c:pt>
                <c:pt idx="312">
                  <c:v>#N/A</c:v>
                </c:pt>
                <c:pt idx="313">
                  <c:v>0.70840126723788444</c:v>
                </c:pt>
                <c:pt idx="314">
                  <c:v>#N/A</c:v>
                </c:pt>
                <c:pt idx="315">
                  <c:v>#N/A</c:v>
                </c:pt>
                <c:pt idx="316">
                  <c:v>0.70834814271591651</c:v>
                </c:pt>
                <c:pt idx="317">
                  <c:v>0.70872283362367661</c:v>
                </c:pt>
                <c:pt idx="318">
                  <c:v>0.70845285147634218</c:v>
                </c:pt>
                <c:pt idx="319">
                  <c:v>0.70839151645954623</c:v>
                </c:pt>
                <c:pt idx="320">
                  <c:v>0.70843670480229393</c:v>
                </c:pt>
                <c:pt idx="321">
                  <c:v>0.70812557908113627</c:v>
                </c:pt>
                <c:pt idx="322">
                  <c:v>0.70879120347589797</c:v>
                </c:pt>
                <c:pt idx="323">
                  <c:v>0.70847891388879947</c:v>
                </c:pt>
                <c:pt idx="324">
                  <c:v>0.70879214686075509</c:v>
                </c:pt>
                <c:pt idx="325">
                  <c:v>0.70819989829739904</c:v>
                </c:pt>
                <c:pt idx="326">
                  <c:v>0.70886507537871735</c:v>
                </c:pt>
                <c:pt idx="327">
                  <c:v>0.70842997944949515</c:v>
                </c:pt>
                <c:pt idx="328">
                  <c:v>0.70859640154288162</c:v>
                </c:pt>
                <c:pt idx="329">
                  <c:v>0.70892236145827014</c:v>
                </c:pt>
                <c:pt idx="330">
                  <c:v>0.70865535550734005</c:v>
                </c:pt>
                <c:pt idx="331">
                  <c:v>0.70855694046656015</c:v>
                </c:pt>
                <c:pt idx="332">
                  <c:v>0.70847540443890322</c:v>
                </c:pt>
                <c:pt idx="333">
                  <c:v>0.70863023196080133</c:v>
                </c:pt>
                <c:pt idx="334">
                  <c:v>0.70903605006212378</c:v>
                </c:pt>
                <c:pt idx="335">
                  <c:v>0.70926012434292529</c:v>
                </c:pt>
                <c:pt idx="336">
                  <c:v>0.70856581222493686</c:v>
                </c:pt>
                <c:pt idx="337">
                  <c:v>0.70914647700982947</c:v>
                </c:pt>
                <c:pt idx="338">
                  <c:v>0.70916758252342182</c:v>
                </c:pt>
                <c:pt idx="339">
                  <c:v>0.7085986638314522</c:v>
                </c:pt>
                <c:pt idx="340">
                  <c:v>0.70825177618705248</c:v>
                </c:pt>
                <c:pt idx="341">
                  <c:v>0.70884852776901697</c:v>
                </c:pt>
                <c:pt idx="342">
                  <c:v>0.70821382328465476</c:v>
                </c:pt>
                <c:pt idx="343">
                  <c:v>0.70865854612679835</c:v>
                </c:pt>
                <c:pt idx="344">
                  <c:v>0.70853346583412424</c:v>
                </c:pt>
                <c:pt idx="345">
                  <c:v>0.7086910745871251</c:v>
                </c:pt>
                <c:pt idx="346">
                  <c:v>0.709125854927247</c:v>
                </c:pt>
                <c:pt idx="347">
                  <c:v>0.70901944225013547</c:v>
                </c:pt>
                <c:pt idx="348">
                  <c:v>0.70857531924539885</c:v>
                </c:pt>
                <c:pt idx="349">
                  <c:v>0.70878812061857688</c:v>
                </c:pt>
                <c:pt idx="350">
                  <c:v>0.70850448207804873</c:v>
                </c:pt>
                <c:pt idx="351">
                  <c:v>0.70831137737038852</c:v>
                </c:pt>
                <c:pt idx="352">
                  <c:v>0.70880497691460032</c:v>
                </c:pt>
                <c:pt idx="353">
                  <c:v>0.70814944004737079</c:v>
                </c:pt>
                <c:pt idx="354">
                  <c:v>0.70811074473375812</c:v>
                </c:pt>
                <c:pt idx="355">
                  <c:v>0.70877080169484274</c:v>
                </c:pt>
                <c:pt idx="356">
                  <c:v>0.70878751890638925</c:v>
                </c:pt>
                <c:pt idx="357">
                  <c:v>0.70898586765628702</c:v>
                </c:pt>
                <c:pt idx="358">
                  <c:v>0.70827767483514437</c:v>
                </c:pt>
                <c:pt idx="359">
                  <c:v>0.70833627462184678</c:v>
                </c:pt>
                <c:pt idx="360">
                  <c:v>0.7086469140696956</c:v>
                </c:pt>
                <c:pt idx="361">
                  <c:v>0.70838502602182407</c:v>
                </c:pt>
                <c:pt idx="362">
                  <c:v>0.70895377720578845</c:v>
                </c:pt>
                <c:pt idx="363">
                  <c:v>0.7089174603719095</c:v>
                </c:pt>
                <c:pt idx="364">
                  <c:v>0.70845291936336274</c:v>
                </c:pt>
                <c:pt idx="365">
                  <c:v>0.70904249338464476</c:v>
                </c:pt>
                <c:pt idx="366">
                  <c:v>#N/A</c:v>
                </c:pt>
                <c:pt idx="367">
                  <c:v>0.70869311859907469</c:v>
                </c:pt>
                <c:pt idx="368">
                  <c:v>#N/A</c:v>
                </c:pt>
                <c:pt idx="369">
                  <c:v>0.70866698907368331</c:v>
                </c:pt>
                <c:pt idx="370">
                  <c:v>0.70915661146061471</c:v>
                </c:pt>
                <c:pt idx="371">
                  <c:v>0.70857109871744384</c:v>
                </c:pt>
                <c:pt idx="372">
                  <c:v>0.70937154197293661</c:v>
                </c:pt>
                <c:pt idx="373">
                  <c:v>0.70907409166582491</c:v>
                </c:pt>
                <c:pt idx="374">
                  <c:v>#N/A</c:v>
                </c:pt>
                <c:pt idx="375">
                  <c:v>0.70860616810757704</c:v>
                </c:pt>
                <c:pt idx="376">
                  <c:v>0.70896665331141473</c:v>
                </c:pt>
                <c:pt idx="377">
                  <c:v>0.70932745571127054</c:v>
                </c:pt>
                <c:pt idx="378">
                  <c:v>0.70799883281075349</c:v>
                </c:pt>
                <c:pt idx="379">
                  <c:v>0.70817673838321538</c:v>
                </c:pt>
                <c:pt idx="380">
                  <c:v>0.70889888713533944</c:v>
                </c:pt>
                <c:pt idx="381">
                  <c:v>0.70847672473304291</c:v>
                </c:pt>
                <c:pt idx="382">
                  <c:v>0.70834742975529541</c:v>
                </c:pt>
                <c:pt idx="383">
                  <c:v>0.70897127869067178</c:v>
                </c:pt>
                <c:pt idx="384">
                  <c:v>#N/A</c:v>
                </c:pt>
                <c:pt idx="385">
                  <c:v>0.70902409023008217</c:v>
                </c:pt>
                <c:pt idx="386">
                  <c:v>0.70887650839349536</c:v>
                </c:pt>
                <c:pt idx="387">
                  <c:v>0.70893272726986112</c:v>
                </c:pt>
                <c:pt idx="388">
                  <c:v>0.70924922560755765</c:v>
                </c:pt>
                <c:pt idx="389">
                  <c:v>0.70862768474530469</c:v>
                </c:pt>
                <c:pt idx="390">
                  <c:v>0.70834681248358577</c:v>
                </c:pt>
                <c:pt idx="391">
                  <c:v>0.70854319567394164</c:v>
                </c:pt>
                <c:pt idx="392">
                  <c:v>0.7087249021453832</c:v>
                </c:pt>
                <c:pt idx="393">
                  <c:v>0.70886952981357398</c:v>
                </c:pt>
                <c:pt idx="394">
                  <c:v>#N/A</c:v>
                </c:pt>
                <c:pt idx="395">
                  <c:v>0.70909949513395087</c:v>
                </c:pt>
                <c:pt idx="396">
                  <c:v>0.70898791864783117</c:v>
                </c:pt>
                <c:pt idx="397">
                  <c:v>0.70809183841086343</c:v>
                </c:pt>
                <c:pt idx="398">
                  <c:v>0.70846068555366559</c:v>
                </c:pt>
                <c:pt idx="399">
                  <c:v>0.70860423082040846</c:v>
                </c:pt>
                <c:pt idx="400">
                  <c:v>0.70840018144244532</c:v>
                </c:pt>
                <c:pt idx="401">
                  <c:v>0.70940113693681361</c:v>
                </c:pt>
                <c:pt idx="402">
                  <c:v>0.70869759332975801</c:v>
                </c:pt>
                <c:pt idx="403">
                  <c:v>0.70853355146755903</c:v>
                </c:pt>
                <c:pt idx="404">
                  <c:v>0.70804053492542562</c:v>
                </c:pt>
                <c:pt idx="405">
                  <c:v>0.70923162881450674</c:v>
                </c:pt>
                <c:pt idx="406">
                  <c:v>0.7088951693861576</c:v>
                </c:pt>
                <c:pt idx="407">
                  <c:v>0.70905682781676527</c:v>
                </c:pt>
                <c:pt idx="408">
                  <c:v>0.7094339136417499</c:v>
                </c:pt>
                <c:pt idx="409">
                  <c:v>0.7092592060405557</c:v>
                </c:pt>
                <c:pt idx="410">
                  <c:v>0.7087399748105927</c:v>
                </c:pt>
                <c:pt idx="411">
                  <c:v>0.70817155443491475</c:v>
                </c:pt>
                <c:pt idx="412">
                  <c:v>0.70836975674363845</c:v>
                </c:pt>
                <c:pt idx="413">
                  <c:v>0.70848734952304182</c:v>
                </c:pt>
                <c:pt idx="414">
                  <c:v>0.70819565646531346</c:v>
                </c:pt>
                <c:pt idx="415">
                  <c:v>0.70875106454436132</c:v>
                </c:pt>
                <c:pt idx="416">
                  <c:v>0.70885485473036391</c:v>
                </c:pt>
                <c:pt idx="417">
                  <c:v>0.70901489286024355</c:v>
                </c:pt>
                <c:pt idx="418">
                  <c:v>0.70806861370017593</c:v>
                </c:pt>
                <c:pt idx="419">
                  <c:v>0.70887876242001124</c:v>
                </c:pt>
                <c:pt idx="420">
                  <c:v>0.70911296873181473</c:v>
                </c:pt>
                <c:pt idx="421">
                  <c:v>0.70933655893081471</c:v>
                </c:pt>
                <c:pt idx="422">
                  <c:v>0.70878242098359612</c:v>
                </c:pt>
                <c:pt idx="423">
                  <c:v>0.70898330492116157</c:v>
                </c:pt>
                <c:pt idx="424">
                  <c:v>0.70845695229096239</c:v>
                </c:pt>
                <c:pt idx="425">
                  <c:v>0.70870376788094946</c:v>
                </c:pt>
                <c:pt idx="426">
                  <c:v>0.70845784817988255</c:v>
                </c:pt>
                <c:pt idx="427">
                  <c:v>0.70845851611855837</c:v>
                </c:pt>
                <c:pt idx="428">
                  <c:v>0.7094507664363322</c:v>
                </c:pt>
                <c:pt idx="429">
                  <c:v>0.70891722462403728</c:v>
                </c:pt>
                <c:pt idx="430">
                  <c:v>0.7086242985455018</c:v>
                </c:pt>
                <c:pt idx="431">
                  <c:v>0.70911444566127013</c:v>
                </c:pt>
                <c:pt idx="432">
                  <c:v>0.7094257910672539</c:v>
                </c:pt>
                <c:pt idx="433">
                  <c:v>#N/A</c:v>
                </c:pt>
                <c:pt idx="434">
                  <c:v>0.70883073557021692</c:v>
                </c:pt>
                <c:pt idx="435">
                  <c:v>0.70909729614415484</c:v>
                </c:pt>
                <c:pt idx="436">
                  <c:v>#N/A</c:v>
                </c:pt>
                <c:pt idx="437">
                  <c:v>0.70882720989293335</c:v>
                </c:pt>
                <c:pt idx="438">
                  <c:v>0.7091518324522712</c:v>
                </c:pt>
                <c:pt idx="439">
                  <c:v>0.70902812181953045</c:v>
                </c:pt>
                <c:pt idx="440">
                  <c:v>0.7087328255182771</c:v>
                </c:pt>
                <c:pt idx="441">
                  <c:v>0.709137720663087</c:v>
                </c:pt>
                <c:pt idx="442">
                  <c:v>0.70910625776191583</c:v>
                </c:pt>
                <c:pt idx="443">
                  <c:v>#N/A</c:v>
                </c:pt>
                <c:pt idx="444">
                  <c:v>0.70880022020203171</c:v>
                </c:pt>
                <c:pt idx="445">
                  <c:v>0.70842206700770216</c:v>
                </c:pt>
                <c:pt idx="446">
                  <c:v>0.70892728259188842</c:v>
                </c:pt>
                <c:pt idx="447">
                  <c:v>0.70820107872994753</c:v>
                </c:pt>
                <c:pt idx="448">
                  <c:v>0.70839142711920444</c:v>
                </c:pt>
                <c:pt idx="449">
                  <c:v>0.70905693456029384</c:v>
                </c:pt>
                <c:pt idx="450">
                  <c:v>0.70819813072458038</c:v>
                </c:pt>
                <c:pt idx="451">
                  <c:v>0.70906982867602675</c:v>
                </c:pt>
                <c:pt idx="452">
                  <c:v>0.70905146091285653</c:v>
                </c:pt>
                <c:pt idx="453">
                  <c:v>0.7092708868431391</c:v>
                </c:pt>
                <c:pt idx="454">
                  <c:v>0.70891400649721925</c:v>
                </c:pt>
                <c:pt idx="455">
                  <c:v>0.7089174925134919</c:v>
                </c:pt>
                <c:pt idx="456">
                  <c:v>0.70858039399741524</c:v>
                </c:pt>
                <c:pt idx="457">
                  <c:v>0.70885424045980694</c:v>
                </c:pt>
                <c:pt idx="458">
                  <c:v>0.70903302740830143</c:v>
                </c:pt>
                <c:pt idx="459">
                  <c:v>0.70842005598141922</c:v>
                </c:pt>
                <c:pt idx="460">
                  <c:v>0.70879820754873124</c:v>
                </c:pt>
                <c:pt idx="461">
                  <c:v>0.70903138581709646</c:v>
                </c:pt>
                <c:pt idx="462">
                  <c:v>0.70897871935012935</c:v>
                </c:pt>
                <c:pt idx="463">
                  <c:v>#N/A</c:v>
                </c:pt>
                <c:pt idx="464">
                  <c:v>0.708383260618491</c:v>
                </c:pt>
                <c:pt idx="465">
                  <c:v>0.70879455969983785</c:v>
                </c:pt>
                <c:pt idx="466">
                  <c:v>0.70858529457126385</c:v>
                </c:pt>
                <c:pt idx="467">
                  <c:v>#N/A</c:v>
                </c:pt>
                <c:pt idx="468">
                  <c:v>0.70866156036489358</c:v>
                </c:pt>
                <c:pt idx="469">
                  <c:v>#N/A</c:v>
                </c:pt>
                <c:pt idx="470">
                  <c:v>0.70886614332030118</c:v>
                </c:pt>
                <c:pt idx="471">
                  <c:v>0.70907878262188662</c:v>
                </c:pt>
                <c:pt idx="472">
                  <c:v>0.70831848200857928</c:v>
                </c:pt>
                <c:pt idx="473">
                  <c:v>0.70819011994446235</c:v>
                </c:pt>
                <c:pt idx="474">
                  <c:v>0.70934490990717847</c:v>
                </c:pt>
                <c:pt idx="475">
                  <c:v>0.70897083013521234</c:v>
                </c:pt>
                <c:pt idx="476">
                  <c:v>0.70891550188502517</c:v>
                </c:pt>
                <c:pt idx="477">
                  <c:v>0.70936727997013449</c:v>
                </c:pt>
                <c:pt idx="478">
                  <c:v>0.70826362229656292</c:v>
                </c:pt>
                <c:pt idx="479">
                  <c:v>0.70857040170985763</c:v>
                </c:pt>
                <c:pt idx="480">
                  <c:v>0.70827655696666991</c:v>
                </c:pt>
                <c:pt idx="481">
                  <c:v>0.70873589485040411</c:v>
                </c:pt>
                <c:pt idx="482">
                  <c:v>0.70873937775544116</c:v>
                </c:pt>
                <c:pt idx="483">
                  <c:v>0.70926448180698587</c:v>
                </c:pt>
                <c:pt idx="484">
                  <c:v>0.70888584130143817</c:v>
                </c:pt>
                <c:pt idx="485">
                  <c:v>0.70863510593957979</c:v>
                </c:pt>
                <c:pt idx="486">
                  <c:v>0.70897626291417382</c:v>
                </c:pt>
                <c:pt idx="487">
                  <c:v>0.70865228313940043</c:v>
                </c:pt>
                <c:pt idx="488">
                  <c:v>0.70871200268428858</c:v>
                </c:pt>
                <c:pt idx="489">
                  <c:v>0.70853260542297047</c:v>
                </c:pt>
                <c:pt idx="490">
                  <c:v>0.70854210763320802</c:v>
                </c:pt>
                <c:pt idx="491">
                  <c:v>0.70817845917516375</c:v>
                </c:pt>
                <c:pt idx="492">
                  <c:v>0.70882513285595228</c:v>
                </c:pt>
                <c:pt idx="493">
                  <c:v>0.7089572762166616</c:v>
                </c:pt>
                <c:pt idx="494">
                  <c:v>0.70902253629240231</c:v>
                </c:pt>
                <c:pt idx="495">
                  <c:v>0.70806723880864608</c:v>
                </c:pt>
                <c:pt idx="496">
                  <c:v>0.70839737285811522</c:v>
                </c:pt>
                <c:pt idx="497">
                  <c:v>0.70895577992374992</c:v>
                </c:pt>
                <c:pt idx="498">
                  <c:v>0.70901061750042471</c:v>
                </c:pt>
                <c:pt idx="499">
                  <c:v>0.70881911646947071</c:v>
                </c:pt>
                <c:pt idx="500">
                  <c:v>0.70856206299938562</c:v>
                </c:pt>
                <c:pt idx="501">
                  <c:v>#N/A</c:v>
                </c:pt>
                <c:pt idx="502">
                  <c:v>0.70929385343199858</c:v>
                </c:pt>
                <c:pt idx="503">
                  <c:v>0.70854955350447546</c:v>
                </c:pt>
                <c:pt idx="504">
                  <c:v>0.70891167978497294</c:v>
                </c:pt>
                <c:pt idx="505">
                  <c:v>0.70856806412831996</c:v>
                </c:pt>
                <c:pt idx="506">
                  <c:v>0.70869474769616492</c:v>
                </c:pt>
                <c:pt idx="507">
                  <c:v>0.70834549838979377</c:v>
                </c:pt>
                <c:pt idx="508">
                  <c:v>0.70945838280776208</c:v>
                </c:pt>
                <c:pt idx="509">
                  <c:v>0.70855735810318632</c:v>
                </c:pt>
                <c:pt idx="510">
                  <c:v>0.70818612380873402</c:v>
                </c:pt>
                <c:pt idx="511">
                  <c:v>0.70841088259970109</c:v>
                </c:pt>
                <c:pt idx="512">
                  <c:v>0.70916264637496551</c:v>
                </c:pt>
                <c:pt idx="513">
                  <c:v>0.70824404565659715</c:v>
                </c:pt>
                <c:pt idx="514">
                  <c:v>0.70873363600496597</c:v>
                </c:pt>
                <c:pt idx="515">
                  <c:v>0.70929187265951155</c:v>
                </c:pt>
                <c:pt idx="516">
                  <c:v>0.70917955037494729</c:v>
                </c:pt>
                <c:pt idx="517">
                  <c:v>0.7088003389665265</c:v>
                </c:pt>
                <c:pt idx="518">
                  <c:v>#N/A</c:v>
                </c:pt>
                <c:pt idx="519">
                  <c:v>0.70923129436656707</c:v>
                </c:pt>
                <c:pt idx="520">
                  <c:v>0.70829582950086911</c:v>
                </c:pt>
                <c:pt idx="521">
                  <c:v>0.70948544197509078</c:v>
                </c:pt>
                <c:pt idx="522">
                  <c:v>0.70901905248335284</c:v>
                </c:pt>
                <c:pt idx="523">
                  <c:v>#N/A</c:v>
                </c:pt>
                <c:pt idx="524">
                  <c:v>0.70908159451603148</c:v>
                </c:pt>
                <c:pt idx="525">
                  <c:v>0.70869281116194949</c:v>
                </c:pt>
                <c:pt idx="526">
                  <c:v>0.70886744544784541</c:v>
                </c:pt>
                <c:pt idx="527">
                  <c:v>0.70942776408888908</c:v>
                </c:pt>
                <c:pt idx="528">
                  <c:v>0.70898737343484752</c:v>
                </c:pt>
                <c:pt idx="529">
                  <c:v>0.70908555857777045</c:v>
                </c:pt>
                <c:pt idx="530">
                  <c:v>0.70916587433918554</c:v>
                </c:pt>
                <c:pt idx="531">
                  <c:v>0.70844383950853029</c:v>
                </c:pt>
                <c:pt idx="532">
                  <c:v>0.70902037505812809</c:v>
                </c:pt>
                <c:pt idx="533">
                  <c:v>0.70909527543607453</c:v>
                </c:pt>
                <c:pt idx="534">
                  <c:v>0.70838382725253812</c:v>
                </c:pt>
                <c:pt idx="535">
                  <c:v>0.70864820965246866</c:v>
                </c:pt>
                <c:pt idx="536">
                  <c:v>0.70891576028525805</c:v>
                </c:pt>
                <c:pt idx="537">
                  <c:v>#N/A</c:v>
                </c:pt>
                <c:pt idx="538">
                  <c:v>0.70845549584569567</c:v>
                </c:pt>
                <c:pt idx="539">
                  <c:v>0.70890332159773239</c:v>
                </c:pt>
                <c:pt idx="540">
                  <c:v>0.70800329240294002</c:v>
                </c:pt>
                <c:pt idx="541">
                  <c:v>0.7085721843466366</c:v>
                </c:pt>
                <c:pt idx="542">
                  <c:v>0.70871111231691652</c:v>
                </c:pt>
                <c:pt idx="543">
                  <c:v>#N/A</c:v>
                </c:pt>
                <c:pt idx="544">
                  <c:v>0.70937274211618606</c:v>
                </c:pt>
                <c:pt idx="545">
                  <c:v>0.70941625488432092</c:v>
                </c:pt>
                <c:pt idx="546">
                  <c:v>0.70918771468797759</c:v>
                </c:pt>
                <c:pt idx="547">
                  <c:v>#N/A</c:v>
                </c:pt>
                <c:pt idx="548">
                  <c:v>0.70885490149528529</c:v>
                </c:pt>
                <c:pt idx="549">
                  <c:v>0.70914031628331997</c:v>
                </c:pt>
                <c:pt idx="550">
                  <c:v>0.70890110082486035</c:v>
                </c:pt>
                <c:pt idx="551">
                  <c:v>0.70900428656680503</c:v>
                </c:pt>
                <c:pt idx="552">
                  <c:v>0.70855397393812436</c:v>
                </c:pt>
                <c:pt idx="553">
                  <c:v>0.70896089169487897</c:v>
                </c:pt>
                <c:pt idx="554">
                  <c:v>0.70841556354811763</c:v>
                </c:pt>
                <c:pt idx="555">
                  <c:v>0.70906562449888833</c:v>
                </c:pt>
                <c:pt idx="556">
                  <c:v>0.70896841341486005</c:v>
                </c:pt>
                <c:pt idx="557">
                  <c:v>0.70877863168745159</c:v>
                </c:pt>
                <c:pt idx="558">
                  <c:v>0.7094517926382401</c:v>
                </c:pt>
                <c:pt idx="559">
                  <c:v>0.70927178397770207</c:v>
                </c:pt>
                <c:pt idx="560">
                  <c:v>0.70918868547103797</c:v>
                </c:pt>
                <c:pt idx="561">
                  <c:v>0.70865990224791453</c:v>
                </c:pt>
                <c:pt idx="562">
                  <c:v>0.7093853033669073</c:v>
                </c:pt>
                <c:pt idx="563">
                  <c:v>0.70827934723307751</c:v>
                </c:pt>
                <c:pt idx="564">
                  <c:v>0.70947933508377048</c:v>
                </c:pt>
                <c:pt idx="565">
                  <c:v>0.70934598123114923</c:v>
                </c:pt>
                <c:pt idx="566">
                  <c:v>0.70927212194395961</c:v>
                </c:pt>
                <c:pt idx="567">
                  <c:v>0.7088877446354872</c:v>
                </c:pt>
                <c:pt idx="568">
                  <c:v>0.70903336437500786</c:v>
                </c:pt>
                <c:pt idx="569">
                  <c:v>0.70948406022841237</c:v>
                </c:pt>
                <c:pt idx="570">
                  <c:v>0.70906360589937456</c:v>
                </c:pt>
                <c:pt idx="571">
                  <c:v>0.70875221807814381</c:v>
                </c:pt>
                <c:pt idx="572">
                  <c:v>#N/A</c:v>
                </c:pt>
                <c:pt idx="573">
                  <c:v>0.70846751499389227</c:v>
                </c:pt>
                <c:pt idx="574">
                  <c:v>0.70889447261214167</c:v>
                </c:pt>
                <c:pt idx="575">
                  <c:v>0.70928140752344992</c:v>
                </c:pt>
                <c:pt idx="576">
                  <c:v>0.70878908450143308</c:v>
                </c:pt>
                <c:pt idx="577">
                  <c:v>0.70900826408743156</c:v>
                </c:pt>
                <c:pt idx="578">
                  <c:v>0.7087316641844007</c:v>
                </c:pt>
                <c:pt idx="579">
                  <c:v>0.70890987222670976</c:v>
                </c:pt>
                <c:pt idx="580">
                  <c:v>0.70947652390207783</c:v>
                </c:pt>
                <c:pt idx="581">
                  <c:v>0.70940001300047462</c:v>
                </c:pt>
                <c:pt idx="582">
                  <c:v>#N/A</c:v>
                </c:pt>
                <c:pt idx="583">
                  <c:v>#N/A</c:v>
                </c:pt>
                <c:pt idx="584">
                  <c:v>0.70883806332046784</c:v>
                </c:pt>
                <c:pt idx="585">
                  <c:v>#N/A</c:v>
                </c:pt>
                <c:pt idx="586">
                  <c:v>0.70883401398175427</c:v>
                </c:pt>
                <c:pt idx="587">
                  <c:v>#N/A</c:v>
                </c:pt>
                <c:pt idx="588">
                  <c:v>0.70896203519015832</c:v>
                </c:pt>
                <c:pt idx="589">
                  <c:v>0.70890712441062265</c:v>
                </c:pt>
                <c:pt idx="590">
                  <c:v>0.70922464228093829</c:v>
                </c:pt>
                <c:pt idx="591">
                  <c:v>0.70942746468757001</c:v>
                </c:pt>
                <c:pt idx="592">
                  <c:v>#N/A</c:v>
                </c:pt>
                <c:pt idx="593">
                  <c:v>0.70882102817102466</c:v>
                </c:pt>
                <c:pt idx="594">
                  <c:v>#N/A</c:v>
                </c:pt>
                <c:pt idx="595">
                  <c:v>0.70911994060683115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645632"/>
        <c:axId val="97646208"/>
      </c:scatterChart>
      <c:valAx>
        <c:axId val="97645632"/>
        <c:scaling>
          <c:orientation val="minMax"/>
          <c:max val="1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/>
                  <a:t># cycle</a:t>
                </a:r>
              </a:p>
            </c:rich>
          </c:tx>
          <c:layout>
            <c:manualLayout>
              <c:xMode val="edge"/>
              <c:yMode val="edge"/>
              <c:x val="0.4832700198189514"/>
              <c:y val="0.87669563102977321"/>
            </c:manualLayout>
          </c:layout>
          <c:overlay val="0"/>
          <c:spPr>
            <a:noFill/>
            <a:ln w="25400">
              <a:noFill/>
            </a:ln>
          </c:spPr>
        </c:title>
        <c:numFmt formatCode="#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97646208"/>
        <c:crossesAt val="0"/>
        <c:crossBetween val="midCat"/>
        <c:majorUnit val="100"/>
        <c:minorUnit val="25"/>
      </c:valAx>
      <c:valAx>
        <c:axId val="9764620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 sz="1000" b="1" i="0" u="none" strike="noStrike" baseline="30000">
                    <a:solidFill>
                      <a:srgbClr val="000000"/>
                    </a:solidFill>
                    <a:latin typeface="Calibri"/>
                    <a:cs typeface="Calibri"/>
                  </a:rPr>
                  <a:t>87</a:t>
                </a:r>
                <a:r>
                  <a:rPr lang="it-IT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Sr/</a:t>
                </a:r>
                <a:r>
                  <a:rPr lang="it-IT" sz="1000" b="1" i="0" u="none" strike="noStrike" baseline="30000">
                    <a:solidFill>
                      <a:srgbClr val="000000"/>
                    </a:solidFill>
                    <a:latin typeface="Calibri"/>
                    <a:cs typeface="Calibri"/>
                  </a:rPr>
                  <a:t>86</a:t>
                </a:r>
                <a:r>
                  <a:rPr lang="it-IT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Sr profile (2</a:t>
                </a:r>
                <a:r>
                  <a:rPr lang="el-GR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σ-</a:t>
                </a:r>
                <a:r>
                  <a:rPr lang="it-IT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filtered - Unc.†)</a:t>
                </a:r>
              </a:p>
            </c:rich>
          </c:tx>
          <c:layout>
            <c:manualLayout>
              <c:xMode val="edge"/>
              <c:yMode val="edge"/>
              <c:x val="3.5653971824950469E-2"/>
              <c:y val="0.1188534403226844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97645632"/>
        <c:crossesAt val="0"/>
        <c:crossBetween val="midCat"/>
      </c:valAx>
      <c:spPr>
        <a:noFill/>
        <a:ln w="3175">
          <a:solidFill>
            <a:srgbClr val="B3B3B3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22" r="0.75000000000000022" t="1" header="0.51180555555555562" footer="0.51180555555555562"/>
    <c:pageSetup firstPageNumber="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650793208371078"/>
          <c:y val="8.6381464193774821E-2"/>
          <c:w val="0.71992214247555364"/>
          <c:h val="0.68772934954274578"/>
        </c:manualLayout>
      </c:layout>
      <c:scatterChart>
        <c:scatterStyle val="lineMarker"/>
        <c:varyColors val="0"/>
        <c:ser>
          <c:idx val="0"/>
          <c:order val="0"/>
          <c:tx>
            <c:v>m/z 82</c:v>
          </c:tx>
          <c:spPr>
            <a:ln w="12700">
              <a:solidFill>
                <a:srgbClr val="7030A0"/>
              </a:solidFill>
              <a:prstDash val="solid"/>
            </a:ln>
          </c:spPr>
          <c:marker>
            <c:symbol val="none"/>
          </c:marker>
          <c:yVal>
            <c:numRef>
              <c:f>Data!$O$67:$O$1633</c:f>
              <c:numCache>
                <c:formatCode>0.00E+00</c:formatCode>
                <c:ptCount val="1567"/>
                <c:pt idx="0">
                  <c:v>-8.1080156342352587E-5</c:v>
                </c:pt>
                <c:pt idx="1">
                  <c:v>3.0492956216621419E-5</c:v>
                </c:pt>
                <c:pt idx="2">
                  <c:v>4.6195077192088402E-5</c:v>
                </c:pt>
                <c:pt idx="3">
                  <c:v>-1.2329755176236591E-5</c:v>
                </c:pt>
                <c:pt idx="4">
                  <c:v>4.1061709238408677E-8</c:v>
                </c:pt>
                <c:pt idx="5">
                  <c:v>4.0723097913869391E-5</c:v>
                </c:pt>
                <c:pt idx="6">
                  <c:v>-2.3273042362110597E-5</c:v>
                </c:pt>
                <c:pt idx="7">
                  <c:v>-6.7264343074256109E-7</c:v>
                </c:pt>
                <c:pt idx="8">
                  <c:v>3.6202789821756435E-5</c:v>
                </c:pt>
                <c:pt idx="9">
                  <c:v>-5.1344404571421572E-5</c:v>
                </c:pt>
                <c:pt idx="10">
                  <c:v>-5.3723297300110596E-5</c:v>
                </c:pt>
                <c:pt idx="11">
                  <c:v>3.2872049584345398E-5</c:v>
                </c:pt>
                <c:pt idx="12">
                  <c:v>-1.0188663220872594E-5</c:v>
                </c:pt>
                <c:pt idx="13">
                  <c:v>-2.5176210500041596E-5</c:v>
                </c:pt>
                <c:pt idx="14">
                  <c:v>2.1214546240653435E-5</c:v>
                </c:pt>
                <c:pt idx="15">
                  <c:v>5.5128180628254315E-6</c:v>
                </c:pt>
                <c:pt idx="16">
                  <c:v>5.761495662091041E-5</c:v>
                </c:pt>
                <c:pt idx="17">
                  <c:v>3.3109959232867424E-5</c:v>
                </c:pt>
                <c:pt idx="18">
                  <c:v>3.3716924405864288E-6</c:v>
                </c:pt>
                <c:pt idx="19">
                  <c:v>-3.0172009604260578E-5</c:v>
                </c:pt>
                <c:pt idx="20">
                  <c:v>-6.7264343074256109E-7</c:v>
                </c:pt>
                <c:pt idx="21">
                  <c:v>5.2142914764875424E-5</c:v>
                </c:pt>
                <c:pt idx="22">
                  <c:v>-1.0129996174959059E-4</c:v>
                </c:pt>
                <c:pt idx="23">
                  <c:v>4.9050034805889426E-5</c:v>
                </c:pt>
                <c:pt idx="24">
                  <c:v>4.3233032615674211E-6</c:v>
                </c:pt>
                <c:pt idx="25">
                  <c:v>-6.3238811541728587E-5</c:v>
                </c:pt>
                <c:pt idx="26">
                  <c:v>-8.2983214306071575E-5</c:v>
                </c:pt>
                <c:pt idx="27">
                  <c:v>-3.3264634619492589E-5</c:v>
                </c:pt>
                <c:pt idx="28">
                  <c:v>-2.8744640982144594E-5</c:v>
                </c:pt>
                <c:pt idx="29">
                  <c:v>-8.9991657064805871E-6</c:v>
                </c:pt>
                <c:pt idx="30">
                  <c:v>-2.2559353375255583E-5</c:v>
                </c:pt>
                <c:pt idx="31">
                  <c:v>-2.9458325548163596E-5</c:v>
                </c:pt>
                <c:pt idx="32">
                  <c:v>-8.5837794450799591E-5</c:v>
                </c:pt>
                <c:pt idx="33">
                  <c:v>-4.8251835551175581E-5</c:v>
                </c:pt>
                <c:pt idx="34">
                  <c:v>7.3079584851395432E-5</c:v>
                </c:pt>
                <c:pt idx="35">
                  <c:v>5.2749149891764303E-6</c:v>
                </c:pt>
                <c:pt idx="36">
                  <c:v>2.8589685603316395E-5</c:v>
                </c:pt>
                <c:pt idx="37">
                  <c:v>-3.4454103228854588E-5</c:v>
                </c:pt>
                <c:pt idx="38">
                  <c:v>-5.8481065755706582E-5</c:v>
                </c:pt>
                <c:pt idx="39">
                  <c:v>3.3716924405864288E-6</c:v>
                </c:pt>
                <c:pt idx="40">
                  <c:v>2.2107629305679341E-4</c:v>
                </c:pt>
                <c:pt idx="41">
                  <c:v>5.2618743301208442E-5</c:v>
                </c:pt>
                <c:pt idx="42">
                  <c:v>-7.7987679415812575E-5</c:v>
                </c:pt>
                <c:pt idx="43">
                  <c:v>-8.369686010736358E-5</c:v>
                </c:pt>
                <c:pt idx="44">
                  <c:v>-1.9466695204434594E-5</c:v>
                </c:pt>
                <c:pt idx="45">
                  <c:v>-1.6849823116869573E-5</c:v>
                </c:pt>
                <c:pt idx="46">
                  <c:v>-2.8137557902456023E-6</c:v>
                </c:pt>
                <c:pt idx="47">
                  <c:v>4.9050034805889426E-5</c:v>
                </c:pt>
                <c:pt idx="48">
                  <c:v>1.2018869754041141E-4</c:v>
                </c:pt>
                <c:pt idx="49">
                  <c:v>1.1709560682352844E-4</c:v>
                </c:pt>
                <c:pt idx="50">
                  <c:v>4.5957164426065436E-5</c:v>
                </c:pt>
                <c:pt idx="51">
                  <c:v>-9.2736329443110597E-5</c:v>
                </c:pt>
                <c:pt idx="52">
                  <c:v>-1.0153783937626358E-4</c:v>
                </c:pt>
                <c:pt idx="53">
                  <c:v>-5.4199075165968583E-5</c:v>
                </c:pt>
                <c:pt idx="54">
                  <c:v>2.2641988317852418E-5</c:v>
                </c:pt>
                <c:pt idx="55">
                  <c:v>2.041816691951444E-4</c:v>
                </c:pt>
                <c:pt idx="56">
                  <c:v>-4.3256126900866586E-5</c:v>
                </c:pt>
                <c:pt idx="57">
                  <c:v>-5.1344404571421572E-5</c:v>
                </c:pt>
                <c:pt idx="58">
                  <c:v>2.7162235024088416E-5</c:v>
                </c:pt>
                <c:pt idx="59">
                  <c:v>4.8812121359667398E-5</c:v>
                </c:pt>
                <c:pt idx="60">
                  <c:v>2.7162235024088416E-5</c:v>
                </c:pt>
                <c:pt idx="61">
                  <c:v>9.4016693904943422E-5</c:v>
                </c:pt>
                <c:pt idx="62">
                  <c:v>-1.0058632852924458E-4</c:v>
                </c:pt>
                <c:pt idx="63">
                  <c:v>-5.4912741539402587E-5</c:v>
                </c:pt>
                <c:pt idx="64">
                  <c:v>1.2305714094614276E-6</c:v>
                </c:pt>
                <c:pt idx="65">
                  <c:v>-2.8506746013362577E-5</c:v>
                </c:pt>
                <c:pt idx="66">
                  <c:v>2.1690360039729412E-5</c:v>
                </c:pt>
                <c:pt idx="67">
                  <c:v>1.1222508833756402E-5</c:v>
                </c:pt>
                <c:pt idx="68">
                  <c:v>-1.3863480608015651E-6</c:v>
                </c:pt>
                <c:pt idx="69">
                  <c:v>2.0500825967163436E-5</c:v>
                </c:pt>
                <c:pt idx="70">
                  <c:v>-6.3952471454412578E-5</c:v>
                </c:pt>
                <c:pt idx="71">
                  <c:v>1.2470938582170941E-4</c:v>
                </c:pt>
                <c:pt idx="72">
                  <c:v>-5.3009630076655584E-5</c:v>
                </c:pt>
                <c:pt idx="73">
                  <c:v>4.2864303625628425E-5</c:v>
                </c:pt>
                <c:pt idx="74">
                  <c:v>6.8083294158194417E-5</c:v>
                </c:pt>
                <c:pt idx="75">
                  <c:v>2.789635359314209E-7</c:v>
                </c:pt>
                <c:pt idx="76">
                  <c:v>-1.5315594400844358E-4</c:v>
                </c:pt>
                <c:pt idx="77">
                  <c:v>-5.7053737599267577E-5</c:v>
                </c:pt>
                <c:pt idx="78">
                  <c:v>-2.5414106262237586E-5</c:v>
                </c:pt>
                <c:pt idx="79">
                  <c:v>4.9763775484655418E-5</c:v>
                </c:pt>
                <c:pt idx="80">
                  <c:v>-7.5608844493546583E-5</c:v>
                </c:pt>
                <c:pt idx="81">
                  <c:v>2.2166174065462406E-5</c:v>
                </c:pt>
                <c:pt idx="82">
                  <c:v>-2.0418283354022558E-5</c:v>
                </c:pt>
                <c:pt idx="83">
                  <c:v>6.9272884912991405E-5</c:v>
                </c:pt>
                <c:pt idx="84">
                  <c:v>1.47910821441514E-5</c:v>
                </c:pt>
                <c:pt idx="85">
                  <c:v>-1.8039311279440559E-5</c:v>
                </c:pt>
                <c:pt idx="86">
                  <c:v>3.7392342599101402E-5</c:v>
                </c:pt>
                <c:pt idx="87">
                  <c:v>-3.8022500555366575E-5</c:v>
                </c:pt>
                <c:pt idx="88">
                  <c:v>1.1757146631026142E-4</c:v>
                </c:pt>
                <c:pt idx="89">
                  <c:v>1.7539008147188641E-4</c:v>
                </c:pt>
                <c:pt idx="90">
                  <c:v>1.2423352293352842E-4</c:v>
                </c:pt>
                <c:pt idx="91">
                  <c:v>6.4752447583599421E-5</c:v>
                </c:pt>
                <c:pt idx="92">
                  <c:v>-9.7018154776872591E-5</c:v>
                </c:pt>
                <c:pt idx="93">
                  <c:v>5.8090787764595426E-5</c:v>
                </c:pt>
                <c:pt idx="94">
                  <c:v>-1.1248014894852458E-4</c:v>
                </c:pt>
                <c:pt idx="95">
                  <c:v>6.1659528569574435E-5</c:v>
                </c:pt>
                <c:pt idx="96">
                  <c:v>-4.0401425022185573E-5</c:v>
                </c:pt>
                <c:pt idx="97">
                  <c:v>7.522085994386544E-5</c:v>
                </c:pt>
                <c:pt idx="98">
                  <c:v>6.64178694820824E-5</c:v>
                </c:pt>
                <c:pt idx="99">
                  <c:v>-1.280555276512459E-5</c:v>
                </c:pt>
                <c:pt idx="100">
                  <c:v>5.6187464550250395E-5</c:v>
                </c:pt>
                <c:pt idx="101">
                  <c:v>-1.3912179259006557E-4</c:v>
                </c:pt>
                <c:pt idx="102">
                  <c:v>8.2834319680196431E-5</c:v>
                </c:pt>
                <c:pt idx="103">
                  <c:v>-4.4790622291085804E-6</c:v>
                </c:pt>
                <c:pt idx="104">
                  <c:v>3.4775328359806432E-5</c:v>
                </c:pt>
                <c:pt idx="105">
                  <c:v>9.5682164609721398E-5</c:v>
                </c:pt>
                <c:pt idx="106">
                  <c:v>4.3578039883103393E-5</c:v>
                </c:pt>
                <c:pt idx="107">
                  <c:v>-7.8701328787465574E-5</c:v>
                </c:pt>
                <c:pt idx="108">
                  <c:v>-3.7653598096946007E-6</c:v>
                </c:pt>
                <c:pt idx="109">
                  <c:v>-4.1590885130202572E-5</c:v>
                </c:pt>
                <c:pt idx="110">
                  <c:v>1.0044066764251742E-4</c:v>
                </c:pt>
                <c:pt idx="111">
                  <c:v>-3.754671498203157E-5</c:v>
                </c:pt>
                <c:pt idx="112">
                  <c:v>-2.3986730839044594E-5</c:v>
                </c:pt>
                <c:pt idx="113">
                  <c:v>-2.3273042362110597E-5</c:v>
                </c:pt>
                <c:pt idx="114">
                  <c:v>-3.3264634619492589E-5</c:v>
                </c:pt>
                <c:pt idx="115">
                  <c:v>1.4255440781481943E-4</c:v>
                </c:pt>
                <c:pt idx="116">
                  <c:v>4.0485186451408393E-5</c:v>
                </c:pt>
                <c:pt idx="117">
                  <c:v>6.2373278260972431E-5</c:v>
                </c:pt>
                <c:pt idx="118">
                  <c:v>-4.7300273925694584E-5</c:v>
                </c:pt>
                <c:pt idx="119">
                  <c:v>-8.2745332258789582E-5</c:v>
                </c:pt>
                <c:pt idx="120">
                  <c:v>2.4069432435648423E-5</c:v>
                </c:pt>
                <c:pt idx="121">
                  <c:v>4.9525861868383435E-5</c:v>
                </c:pt>
                <c:pt idx="122">
                  <c:v>-4.6824492772967583E-5</c:v>
                </c:pt>
                <c:pt idx="123">
                  <c:v>2.2404081163240419E-5</c:v>
                </c:pt>
                <c:pt idx="124">
                  <c:v>-3.754671498203157E-5</c:v>
                </c:pt>
                <c:pt idx="125">
                  <c:v>1.8121762073272391E-5</c:v>
                </c:pt>
                <c:pt idx="126">
                  <c:v>-4.9548635586345877E-6</c:v>
                </c:pt>
                <c:pt idx="127">
                  <c:v>-6.4190357978683582E-5</c:v>
                </c:pt>
                <c:pt idx="128">
                  <c:v>-4.3494018355894591E-5</c:v>
                </c:pt>
                <c:pt idx="129">
                  <c:v>2.3831524940936405E-5</c:v>
                </c:pt>
                <c:pt idx="130">
                  <c:v>8.8434670449563896E-6</c:v>
                </c:pt>
                <c:pt idx="131">
                  <c:v>1.0091651919307042E-4</c:v>
                </c:pt>
                <c:pt idx="132">
                  <c:v>-6.7520763366966594E-5</c:v>
                </c:pt>
                <c:pt idx="133">
                  <c:v>7.2603746565624394E-5</c:v>
                </c:pt>
                <c:pt idx="134">
                  <c:v>-2.7555165571705587E-5</c:v>
                </c:pt>
                <c:pt idx="135">
                  <c:v>-4.444558360857157E-5</c:v>
                </c:pt>
                <c:pt idx="136">
                  <c:v>5.4046230270378426E-5</c:v>
                </c:pt>
                <c:pt idx="137">
                  <c:v>-2.4938314681239573E-5</c:v>
                </c:pt>
                <c:pt idx="138">
                  <c:v>1.6932232251947431E-5</c:v>
                </c:pt>
                <c:pt idx="139">
                  <c:v>-4.4790622291085804E-6</c:v>
                </c:pt>
                <c:pt idx="140">
                  <c:v>5.8328703421463399E-5</c:v>
                </c:pt>
                <c:pt idx="141">
                  <c:v>1.9442779098384055E-6</c:v>
                </c:pt>
                <c:pt idx="142">
                  <c:v>6.2373278260972431E-5</c:v>
                </c:pt>
                <c:pt idx="143">
                  <c:v>-7.4181540819938597E-5</c:v>
                </c:pt>
                <c:pt idx="144">
                  <c:v>-4.1115101256908581E-5</c:v>
                </c:pt>
                <c:pt idx="145">
                  <c:v>8.331016284102643E-5</c:v>
                </c:pt>
                <c:pt idx="146">
                  <c:v>1.7883855995792428E-5</c:v>
                </c:pt>
                <c:pt idx="147">
                  <c:v>-2.8744640982144594E-5</c:v>
                </c:pt>
                <c:pt idx="148">
                  <c:v>-2.2797249760814588E-5</c:v>
                </c:pt>
                <c:pt idx="149">
                  <c:v>7.6648379222923424E-5</c:v>
                </c:pt>
                <c:pt idx="150">
                  <c:v>-4.6110820618527589E-5</c:v>
                </c:pt>
                <c:pt idx="151">
                  <c:v>8.6165226567627424E-5</c:v>
                </c:pt>
                <c:pt idx="152">
                  <c:v>1.558788988441524E-4</c:v>
                </c:pt>
                <c:pt idx="153">
                  <c:v>4.5719251716649424E-5</c:v>
                </c:pt>
                <c:pt idx="154">
                  <c:v>7.7362139627675398E-5</c:v>
                </c:pt>
                <c:pt idx="155">
                  <c:v>1.3850950821480844E-4</c:v>
                </c:pt>
                <c:pt idx="156">
                  <c:v>1.2399559157457644E-4</c:v>
                </c:pt>
                <c:pt idx="157">
                  <c:v>3.3585778699962406E-5</c:v>
                </c:pt>
                <c:pt idx="158">
                  <c:v>3.6202789821756435E-5</c:v>
                </c:pt>
                <c:pt idx="159">
                  <c:v>-1.0664461830059565E-5</c:v>
                </c:pt>
                <c:pt idx="160">
                  <c:v>1.7063756862114427E-6</c:v>
                </c:pt>
                <c:pt idx="161">
                  <c:v>4.0961009432938429E-5</c:v>
                </c:pt>
                <c:pt idx="162">
                  <c:v>1.173335365385914E-4</c:v>
                </c:pt>
                <c:pt idx="163">
                  <c:v>7.8075900542804431E-5</c:v>
                </c:pt>
                <c:pt idx="164">
                  <c:v>1.456475773869984E-4</c:v>
                </c:pt>
                <c:pt idx="165">
                  <c:v>-4.3969801095447586E-5</c:v>
                </c:pt>
                <c:pt idx="166">
                  <c:v>-3.2895579131845794E-6</c:v>
                </c:pt>
                <c:pt idx="167">
                  <c:v>-2.3510938577847573E-5</c:v>
                </c:pt>
                <c:pt idx="168">
                  <c:v>8.3676593674404318E-6</c:v>
                </c:pt>
                <c:pt idx="169">
                  <c:v>1.050879570189744E-5</c:v>
                </c:pt>
                <c:pt idx="170">
                  <c:v>4.7622554978577402E-5</c:v>
                </c:pt>
                <c:pt idx="171">
                  <c:v>1.0746700022500424E-5</c:v>
                </c:pt>
                <c:pt idx="172">
                  <c:v>5.904245073216544E-5</c:v>
                </c:pt>
                <c:pt idx="173">
                  <c:v>6.9272884912991405E-5</c:v>
                </c:pt>
                <c:pt idx="174">
                  <c:v>1.4350615127816339E-4</c:v>
                </c:pt>
                <c:pt idx="175">
                  <c:v>1.7729363189393244E-4</c:v>
                </c:pt>
                <c:pt idx="176">
                  <c:v>6.4038696191705399E-5</c:v>
                </c:pt>
                <c:pt idx="177">
                  <c:v>1.0472333975919342E-4</c:v>
                </c:pt>
                <c:pt idx="178">
                  <c:v>-6.6331334146150594E-5</c:v>
                </c:pt>
                <c:pt idx="179">
                  <c:v>-1.6457341320446359E-4</c:v>
                </c:pt>
                <c:pt idx="180">
                  <c:v>-4.0032606726976019E-6</c:v>
                </c:pt>
                <c:pt idx="181">
                  <c:v>-8.7027200435968596E-5</c:v>
                </c:pt>
                <c:pt idx="182">
                  <c:v>1.1460413324182418E-5</c:v>
                </c:pt>
                <c:pt idx="183">
                  <c:v>1.2174127136240442E-5</c:v>
                </c:pt>
                <c:pt idx="184">
                  <c:v>5.2380829004738429E-5</c:v>
                </c:pt>
                <c:pt idx="185">
                  <c:v>8.426184984288641E-5</c:v>
                </c:pt>
                <c:pt idx="186">
                  <c:v>-2.6127793208951595E-5</c:v>
                </c:pt>
                <c:pt idx="187">
                  <c:v>2.8589685603316395E-5</c:v>
                </c:pt>
                <c:pt idx="188">
                  <c:v>7.5476735936740036E-7</c:v>
                </c:pt>
                <c:pt idx="189">
                  <c:v>-3.5167783714363572E-5</c:v>
                </c:pt>
                <c:pt idx="190">
                  <c:v>-2.1000521804835637E-6</c:v>
                </c:pt>
                <c:pt idx="191">
                  <c:v>-9.5828760692678584E-5</c:v>
                </c:pt>
                <c:pt idx="192">
                  <c:v>9.2589149797500431E-5</c:v>
                </c:pt>
                <c:pt idx="193">
                  <c:v>9.3064997606506425E-5</c:v>
                </c:pt>
                <c:pt idx="194">
                  <c:v>8.1644712770227409E-5</c:v>
                </c:pt>
                <c:pt idx="195">
                  <c:v>5.6901210330505443E-5</c:v>
                </c:pt>
                <c:pt idx="196">
                  <c:v>8.3676593674404318E-6</c:v>
                </c:pt>
                <c:pt idx="197">
                  <c:v>-6.8948076561536588E-5</c:v>
                </c:pt>
                <c:pt idx="198">
                  <c:v>4.9763775484655418E-5</c:v>
                </c:pt>
                <c:pt idx="199">
                  <c:v>9.0447837462565397E-5</c:v>
                </c:pt>
                <c:pt idx="200">
                  <c:v>-2.4700418805601585E-5</c:v>
                </c:pt>
                <c:pt idx="201">
                  <c:v>-2.5889897616578582E-5</c:v>
                </c:pt>
                <c:pt idx="202">
                  <c:v>-8.0475666748505573E-6</c:v>
                </c:pt>
                <c:pt idx="203">
                  <c:v>-5.2295962343050571E-5</c:v>
                </c:pt>
                <c:pt idx="204">
                  <c:v>-1.16160583680066E-5</c:v>
                </c:pt>
                <c:pt idx="205">
                  <c:v>4.7622554978577402E-5</c:v>
                </c:pt>
                <c:pt idx="206">
                  <c:v>1.342266912017364E-4</c:v>
                </c:pt>
                <c:pt idx="207">
                  <c:v>-1.3531588701904559E-4</c:v>
                </c:pt>
                <c:pt idx="208">
                  <c:v>9.5682164609721398E-5</c:v>
                </c:pt>
                <c:pt idx="209">
                  <c:v>-8.2031685777526577E-5</c:v>
                </c:pt>
                <c:pt idx="210">
                  <c:v>-1.0225147191663859E-4</c:v>
                </c:pt>
                <c:pt idx="211">
                  <c:v>1.1090945413088043E-4</c:v>
                </c:pt>
                <c:pt idx="212">
                  <c:v>1.6932232251947431E-5</c:v>
                </c:pt>
                <c:pt idx="213">
                  <c:v>2.5258970759000428E-5</c:v>
                </c:pt>
                <c:pt idx="214">
                  <c:v>-9.7128643852565592E-6</c:v>
                </c:pt>
                <c:pt idx="215">
                  <c:v>-1.7325618551947565E-5</c:v>
                </c:pt>
                <c:pt idx="216">
                  <c:v>7.355542336405041E-5</c:v>
                </c:pt>
                <c:pt idx="217">
                  <c:v>-6.0384166790409578E-5</c:v>
                </c:pt>
                <c:pt idx="218">
                  <c:v>3.2872049584345398E-5</c:v>
                </c:pt>
                <c:pt idx="219">
                  <c:v>2.5972694433256424E-5</c:v>
                </c:pt>
                <c:pt idx="220">
                  <c:v>-3.7308822110225574E-5</c:v>
                </c:pt>
                <c:pt idx="221">
                  <c:v>4.334012774067042E-5</c:v>
                </c:pt>
                <c:pt idx="222">
                  <c:v>1.080543196590784E-4</c:v>
                </c:pt>
                <c:pt idx="223">
                  <c:v>6.4038696191705399E-5</c:v>
                </c:pt>
                <c:pt idx="224">
                  <c:v>9.8537263708468415E-5</c:v>
                </c:pt>
                <c:pt idx="225">
                  <c:v>-3.1599376186235584E-5</c:v>
                </c:pt>
                <c:pt idx="226">
                  <c:v>9.663386340229643E-5</c:v>
                </c:pt>
                <c:pt idx="227">
                  <c:v>1.002027419524934E-4</c:v>
                </c:pt>
                <c:pt idx="228">
                  <c:v>6.1659528569574435E-5</c:v>
                </c:pt>
                <c:pt idx="229">
                  <c:v>-1.2091856296767586E-5</c:v>
                </c:pt>
                <c:pt idx="230">
                  <c:v>7.0462477084793414E-5</c:v>
                </c:pt>
                <c:pt idx="231">
                  <c:v>-1.1484465742075955E-6</c:v>
                </c:pt>
                <c:pt idx="232">
                  <c:v>4.334012774067042E-5</c:v>
                </c:pt>
                <c:pt idx="233">
                  <c:v>-1.3863480608015651E-6</c:v>
                </c:pt>
                <c:pt idx="234">
                  <c:v>-5.7053737599267577E-5</c:v>
                </c:pt>
                <c:pt idx="235">
                  <c:v>3.2396230457349404E-5</c:v>
                </c:pt>
                <c:pt idx="236">
                  <c:v>9.2827073673813439E-5</c:v>
                </c:pt>
                <c:pt idx="237">
                  <c:v>5.9518282556049408E-5</c:v>
                </c:pt>
                <c:pt idx="238">
                  <c:v>5.5711634313420429E-5</c:v>
                </c:pt>
                <c:pt idx="239">
                  <c:v>-2.575854643750567E-6</c:v>
                </c:pt>
                <c:pt idx="240">
                  <c:v>3.3109959232867424E-5</c:v>
                </c:pt>
                <c:pt idx="241">
                  <c:v>1.6325503282698544E-4</c:v>
                </c:pt>
                <c:pt idx="242">
                  <c:v>1.3755776951330942E-4</c:v>
                </c:pt>
                <c:pt idx="243">
                  <c:v>3.6678610762690426E-5</c:v>
                </c:pt>
                <c:pt idx="244">
                  <c:v>7.7837980181154429E-5</c:v>
                </c:pt>
                <c:pt idx="245">
                  <c:v>1.9549199729408412E-5</c:v>
                </c:pt>
                <c:pt idx="246">
                  <c:v>1.5302363579981239E-4</c:v>
                </c:pt>
                <c:pt idx="247">
                  <c:v>1.085301748375094E-4</c:v>
                </c:pt>
                <c:pt idx="248">
                  <c:v>-1.4232944171393557E-5</c:v>
                </c:pt>
                <c:pt idx="249">
                  <c:v>-3.6119356901629572E-5</c:v>
                </c:pt>
                <c:pt idx="250">
                  <c:v>2.5496878593811434E-5</c:v>
                </c:pt>
                <c:pt idx="251">
                  <c:v>-2.9696220290287593E-5</c:v>
                </c:pt>
                <c:pt idx="252">
                  <c:v>8.9020298456839414E-5</c:v>
                </c:pt>
                <c:pt idx="253">
                  <c:v>-1.0188663220872594E-5</c:v>
                </c:pt>
                <c:pt idx="254">
                  <c:v>2.0976639426140424E-5</c:v>
                </c:pt>
                <c:pt idx="255">
                  <c:v>1.2185421189475241E-4</c:v>
                </c:pt>
                <c:pt idx="256">
                  <c:v>1.9787106203822435E-5</c:v>
                </c:pt>
                <c:pt idx="257">
                  <c:v>5.9280366615917408E-5</c:v>
                </c:pt>
                <c:pt idx="258">
                  <c:v>8.7830684177673396E-5</c:v>
                </c:pt>
                <c:pt idx="259">
                  <c:v>-5.9908391871775572E-5</c:v>
                </c:pt>
                <c:pt idx="260">
                  <c:v>2.145245311177443E-5</c:v>
                </c:pt>
                <c:pt idx="261">
                  <c:v>-2.5176210500041596E-5</c:v>
                </c:pt>
                <c:pt idx="262">
                  <c:v>-5.668565128027559E-6</c:v>
                </c:pt>
                <c:pt idx="263">
                  <c:v>3.0730865298160407E-5</c:v>
                </c:pt>
                <c:pt idx="264">
                  <c:v>-5.2058072985225592E-5</c:v>
                </c:pt>
                <c:pt idx="265">
                  <c:v>-8.1793803503814571E-5</c:v>
                </c:pt>
                <c:pt idx="266">
                  <c:v>-2.5889897616578582E-5</c:v>
                </c:pt>
                <c:pt idx="267">
                  <c:v>1.2305714094614276E-6</c:v>
                </c:pt>
                <c:pt idx="268">
                  <c:v>-8.1080156342352587E-5</c:v>
                </c:pt>
                <c:pt idx="269">
                  <c:v>-4.3474177409858232E-7</c:v>
                </c:pt>
                <c:pt idx="270">
                  <c:v>-1.2699041800719058E-4</c:v>
                </c:pt>
                <c:pt idx="271">
                  <c:v>7.4982940262413415E-5</c:v>
                </c:pt>
                <c:pt idx="272">
                  <c:v>1.232817978378194E-4</c:v>
                </c:pt>
                <c:pt idx="273">
                  <c:v>4.2150567878302401E-5</c:v>
                </c:pt>
                <c:pt idx="274">
                  <c:v>-1.4232944171393557E-5</c:v>
                </c:pt>
                <c:pt idx="275">
                  <c:v>1.7895924148948939E-4</c:v>
                </c:pt>
                <c:pt idx="276">
                  <c:v>3.1206683631742401E-5</c:v>
                </c:pt>
                <c:pt idx="277">
                  <c:v>2.7638051656946429E-5</c:v>
                </c:pt>
                <c:pt idx="278">
                  <c:v>7.6410459201372411E-5</c:v>
                </c:pt>
                <c:pt idx="279">
                  <c:v>-1.4232944171393557E-5</c:v>
                </c:pt>
                <c:pt idx="280">
                  <c:v>3.5964879436427418E-5</c:v>
                </c:pt>
                <c:pt idx="281">
                  <c:v>6.9402376948343942E-6</c:v>
                </c:pt>
                <c:pt idx="282">
                  <c:v>-2.1369870596983588E-5</c:v>
                </c:pt>
                <c:pt idx="283">
                  <c:v>6.8797048440931441E-5</c:v>
                </c:pt>
                <c:pt idx="284">
                  <c:v>-2.1845663878250596E-5</c:v>
                </c:pt>
                <c:pt idx="285">
                  <c:v>2.1214546240653435E-5</c:v>
                </c:pt>
                <c:pt idx="286">
                  <c:v>1.1876111601908941E-4</c:v>
                </c:pt>
                <c:pt idx="287">
                  <c:v>2.4307339986967395E-5</c:v>
                </c:pt>
                <c:pt idx="288">
                  <c:v>9.4016693904943422E-5</c:v>
                </c:pt>
                <c:pt idx="289">
                  <c:v>-5.3723297300110596E-5</c:v>
                </c:pt>
                <c:pt idx="290">
                  <c:v>-7.0613272710016593E-5</c:v>
                </c:pt>
                <c:pt idx="291">
                  <c:v>1.1114738237210444E-4</c:v>
                </c:pt>
                <c:pt idx="292">
                  <c:v>1.5183394527406641E-4</c:v>
                </c:pt>
                <c:pt idx="293">
                  <c:v>-3.3978315955249586E-5</c:v>
                </c:pt>
                <c:pt idx="294">
                  <c:v>-1.0320298117705859E-4</c:v>
                </c:pt>
                <c:pt idx="295">
                  <c:v>7.416044692379407E-6</c:v>
                </c:pt>
                <c:pt idx="296">
                  <c:v>-5.8243177871265573E-5</c:v>
                </c:pt>
                <c:pt idx="297">
                  <c:v>5.285665765428644E-5</c:v>
                </c:pt>
                <c:pt idx="298">
                  <c:v>1.0115444505337144E-4</c:v>
                </c:pt>
                <c:pt idx="299">
                  <c:v>-1.2461169982514559E-4</c:v>
                </c:pt>
                <c:pt idx="300">
                  <c:v>3.0730865298160407E-5</c:v>
                </c:pt>
                <c:pt idx="301">
                  <c:v>-1.0391661252731258E-4</c:v>
                </c:pt>
                <c:pt idx="302">
                  <c:v>5.7507211930804113E-6</c:v>
                </c:pt>
                <c:pt idx="303">
                  <c:v>7.2603746565624394E-5</c:v>
                </c:pt>
                <c:pt idx="304">
                  <c:v>8.6055631778944185E-6</c:v>
                </c:pt>
                <c:pt idx="305">
                  <c:v>2.6448510499585409E-5</c:v>
                </c:pt>
                <c:pt idx="306">
                  <c:v>1.173335365385914E-4</c:v>
                </c:pt>
                <c:pt idx="307">
                  <c:v>6.4752447583599421E-5</c:v>
                </c:pt>
                <c:pt idx="308">
                  <c:v>6.3087028462518395E-5</c:v>
                </c:pt>
                <c:pt idx="309">
                  <c:v>1.1138531066970744E-4</c:v>
                </c:pt>
                <c:pt idx="310">
                  <c:v>1.080543196590784E-4</c:v>
                </c:pt>
                <c:pt idx="311">
                  <c:v>8.0930949304354417E-5</c:v>
                </c:pt>
                <c:pt idx="312">
                  <c:v>1.5992386879788543E-4</c:v>
                </c:pt>
                <c:pt idx="313">
                  <c:v>7.5476735936740036E-7</c:v>
                </c:pt>
                <c:pt idx="314">
                  <c:v>9.9964816318848422E-5</c:v>
                </c:pt>
                <c:pt idx="315">
                  <c:v>-3.6595143155163584E-5</c:v>
                </c:pt>
                <c:pt idx="316">
                  <c:v>9.2351225978022438E-5</c:v>
                </c:pt>
                <c:pt idx="317">
                  <c:v>-1.9704592326799588E-5</c:v>
                </c:pt>
                <c:pt idx="318">
                  <c:v>9.9251039758697435E-5</c:v>
                </c:pt>
                <c:pt idx="319">
                  <c:v>1.1138531066970744E-4</c:v>
                </c:pt>
                <c:pt idx="320">
                  <c:v>2.6448510499585409E-5</c:v>
                </c:pt>
                <c:pt idx="321">
                  <c:v>2.3831524940936405E-5</c:v>
                </c:pt>
                <c:pt idx="322">
                  <c:v>7.416044692379407E-6</c:v>
                </c:pt>
                <c:pt idx="323">
                  <c:v>-8.5599913083716578E-5</c:v>
                </c:pt>
                <c:pt idx="324">
                  <c:v>3.8819807802144399E-5</c:v>
                </c:pt>
                <c:pt idx="325">
                  <c:v>9.663386340229643E-5</c:v>
                </c:pt>
                <c:pt idx="326">
                  <c:v>2.3831524940936405E-5</c:v>
                </c:pt>
                <c:pt idx="327">
                  <c:v>3.7868164106792429E-5</c:v>
                </c:pt>
                <c:pt idx="328">
                  <c:v>8.1297556135933994E-6</c:v>
                </c:pt>
                <c:pt idx="329">
                  <c:v>1.6063768872592643E-4</c:v>
                </c:pt>
                <c:pt idx="330">
                  <c:v>4.9287948308719437E-5</c:v>
                </c:pt>
                <c:pt idx="331">
                  <c:v>5.5711634313420429E-5</c:v>
                </c:pt>
                <c:pt idx="332">
                  <c:v>-4.0032606726976019E-6</c:v>
                </c:pt>
                <c:pt idx="333">
                  <c:v>7.6172539236428406E-5</c:v>
                </c:pt>
                <c:pt idx="334">
                  <c:v>8.2596398184805434E-5</c:v>
                </c:pt>
                <c:pt idx="335">
                  <c:v>2.9779229311422404E-5</c:v>
                </c:pt>
                <c:pt idx="336">
                  <c:v>-5.1927641383725867E-6</c:v>
                </c:pt>
                <c:pt idx="337">
                  <c:v>6.9402376948343942E-6</c:v>
                </c:pt>
                <c:pt idx="338">
                  <c:v>3.0968774436761443E-5</c:v>
                </c:pt>
                <c:pt idx="339">
                  <c:v>6.9402376948343942E-6</c:v>
                </c:pt>
                <c:pt idx="340">
                  <c:v>2.8589685603316395E-5</c:v>
                </c:pt>
                <c:pt idx="341">
                  <c:v>-1.6849823116869573E-5</c:v>
                </c:pt>
                <c:pt idx="342">
                  <c:v>6.9510803234045415E-5</c:v>
                </c:pt>
                <c:pt idx="343">
                  <c:v>-3.754671498203157E-5</c:v>
                </c:pt>
                <c:pt idx="344">
                  <c:v>6.5466199485642441E-5</c:v>
                </c:pt>
                <c:pt idx="345">
                  <c:v>2.2879895529072402E-5</c:v>
                </c:pt>
                <c:pt idx="346">
                  <c:v>-2.3986730839044594E-5</c:v>
                </c:pt>
                <c:pt idx="347">
                  <c:v>-2.8137557902456023E-6</c:v>
                </c:pt>
                <c:pt idx="348">
                  <c:v>-4.1590885130202572E-5</c:v>
                </c:pt>
                <c:pt idx="349">
                  <c:v>9.4016693904943422E-5</c:v>
                </c:pt>
                <c:pt idx="350">
                  <c:v>-8.0475666748505573E-6</c:v>
                </c:pt>
                <c:pt idx="351">
                  <c:v>2.789635359314209E-7</c:v>
                </c:pt>
                <c:pt idx="352">
                  <c:v>-8.52336630410757E-6</c:v>
                </c:pt>
                <c:pt idx="353">
                  <c:v>1.1698317871670428E-5</c:v>
                </c:pt>
                <c:pt idx="354">
                  <c:v>-7.0959667361375793E-6</c:v>
                </c:pt>
                <c:pt idx="355">
                  <c:v>1.1376459676574742E-4</c:v>
                </c:pt>
                <c:pt idx="356">
                  <c:v>1.9311293311829406E-5</c:v>
                </c:pt>
                <c:pt idx="357">
                  <c:v>-6.9423847173002583E-5</c:v>
                </c:pt>
                <c:pt idx="358">
                  <c:v>7.2603746565624394E-5</c:v>
                </c:pt>
                <c:pt idx="359">
                  <c:v>2.7162235024088416E-5</c:v>
                </c:pt>
                <c:pt idx="360">
                  <c:v>1.2305714094614276E-6</c:v>
                </c:pt>
                <c:pt idx="361">
                  <c:v>-1.1961637319705558E-4</c:v>
                </c:pt>
                <c:pt idx="362">
                  <c:v>2.8113868516916392E-5</c:v>
                </c:pt>
                <c:pt idx="363">
                  <c:v>3.3716924405864288E-6</c:v>
                </c:pt>
                <c:pt idx="364">
                  <c:v>8.0930949304354417E-5</c:v>
                </c:pt>
                <c:pt idx="365">
                  <c:v>7.1414151842850418E-5</c:v>
                </c:pt>
                <c:pt idx="366">
                  <c:v>9.1875378509115432E-5</c:v>
                </c:pt>
                <c:pt idx="367">
                  <c:v>4.2626391653245407E-5</c:v>
                </c:pt>
                <c:pt idx="368">
                  <c:v>-3.8498285902272597E-5</c:v>
                </c:pt>
                <c:pt idx="369">
                  <c:v>-4.8965506175169585E-5</c:v>
                </c:pt>
                <c:pt idx="370">
                  <c:v>2.454524759489343E-5</c:v>
                </c:pt>
                <c:pt idx="371">
                  <c:v>1.318473563532814E-4</c:v>
                </c:pt>
                <c:pt idx="372">
                  <c:v>-3.278884677913158E-5</c:v>
                </c:pt>
                <c:pt idx="373">
                  <c:v>-5.3485408282384579E-5</c:v>
                </c:pt>
                <c:pt idx="374">
                  <c:v>-3.754671498203157E-5</c:v>
                </c:pt>
                <c:pt idx="375">
                  <c:v>-1.3519248723333572E-5</c:v>
                </c:pt>
                <c:pt idx="376">
                  <c:v>2.0976639426140424E-5</c:v>
                </c:pt>
                <c:pt idx="377">
                  <c:v>-6.8948076561536588E-5</c:v>
                </c:pt>
                <c:pt idx="378">
                  <c:v>7.4507101069559429E-5</c:v>
                </c:pt>
                <c:pt idx="379">
                  <c:v>7.8551741436155419E-5</c:v>
                </c:pt>
                <c:pt idx="380">
                  <c:v>5.0370119723634212E-6</c:v>
                </c:pt>
                <c:pt idx="381">
                  <c:v>8.235847674602242E-5</c:v>
                </c:pt>
                <c:pt idx="382">
                  <c:v>1.2827836470983742E-4</c:v>
                </c:pt>
                <c:pt idx="383">
                  <c:v>4.1674744330016413E-5</c:v>
                </c:pt>
                <c:pt idx="384">
                  <c:v>8.7592761491935424E-5</c:v>
                </c:pt>
                <c:pt idx="385">
                  <c:v>9.3064997606506425E-5</c:v>
                </c:pt>
                <c:pt idx="386">
                  <c:v>-1.0272722666029057E-4</c:v>
                </c:pt>
                <c:pt idx="387">
                  <c:v>-1.8277208741904595E-5</c:v>
                </c:pt>
                <c:pt idx="388">
                  <c:v>-3.2550952773812596E-5</c:v>
                </c:pt>
                <c:pt idx="389">
                  <c:v>5.9518282556049408E-5</c:v>
                </c:pt>
                <c:pt idx="390">
                  <c:v>6.0707863107867417E-5</c:v>
                </c:pt>
                <c:pt idx="391">
                  <c:v>9.4968391110464398E-5</c:v>
                </c:pt>
                <c:pt idx="392">
                  <c:v>-4.254245219636259E-5</c:v>
                </c:pt>
                <c:pt idx="393">
                  <c:v>1.3125746345579422E-5</c:v>
                </c:pt>
                <c:pt idx="394">
                  <c:v>-4.8965506175169585E-5</c:v>
                </c:pt>
                <c:pt idx="395">
                  <c:v>-4.2780343821213572E-5</c:v>
                </c:pt>
                <c:pt idx="396">
                  <c:v>-2.0418283354022558E-5</c:v>
                </c:pt>
                <c:pt idx="397">
                  <c:v>3.8819807802144399E-5</c:v>
                </c:pt>
                <c:pt idx="398">
                  <c:v>3.001713822313939E-5</c:v>
                </c:pt>
                <c:pt idx="399">
                  <c:v>-5.9908391871775572E-5</c:v>
                </c:pt>
                <c:pt idx="400">
                  <c:v>-2.9220430749430585E-5</c:v>
                </c:pt>
                <c:pt idx="401">
                  <c:v>-4.3256126900866586E-5</c:v>
                </c:pt>
                <c:pt idx="402">
                  <c:v>1.4160266525855739E-4</c:v>
                </c:pt>
                <c:pt idx="403">
                  <c:v>2.8589685603316395E-5</c:v>
                </c:pt>
                <c:pt idx="404">
                  <c:v>-4.1352993221859582E-5</c:v>
                </c:pt>
                <c:pt idx="405">
                  <c:v>4.8812121359667398E-5</c:v>
                </c:pt>
                <c:pt idx="406">
                  <c:v>-9.5115123562099571E-5</c:v>
                </c:pt>
                <c:pt idx="407">
                  <c:v>-8.060439128478058E-5</c:v>
                </c:pt>
                <c:pt idx="408">
                  <c:v>5.4759974520186426E-5</c:v>
                </c:pt>
                <c:pt idx="409">
                  <c:v>2.1821801898464291E-6</c:v>
                </c:pt>
                <c:pt idx="410">
                  <c:v>1.4553176860084406E-5</c:v>
                </c:pt>
                <c:pt idx="411">
                  <c:v>-3.5643570421211592E-5</c:v>
                </c:pt>
                <c:pt idx="412">
                  <c:v>-6.2049377220559586E-5</c:v>
                </c:pt>
                <c:pt idx="413">
                  <c:v>2.6924326792571412E-5</c:v>
                </c:pt>
                <c:pt idx="414">
                  <c:v>-7.1326927352071572E-5</c:v>
                </c:pt>
                <c:pt idx="415">
                  <c:v>-8.5837794450799591E-5</c:v>
                </c:pt>
                <c:pt idx="416">
                  <c:v>3.2396230457349404E-5</c:v>
                </c:pt>
                <c:pt idx="417">
                  <c:v>9.4016693904943422E-5</c:v>
                </c:pt>
                <c:pt idx="418">
                  <c:v>1.125749530091114E-4</c:v>
                </c:pt>
                <c:pt idx="419">
                  <c:v>3.3347868938224411E-5</c:v>
                </c:pt>
                <c:pt idx="420">
                  <c:v>1.5028987485052434E-5</c:v>
                </c:pt>
                <c:pt idx="421">
                  <c:v>-8.5599913083716578E-5</c:v>
                </c:pt>
                <c:pt idx="422">
                  <c:v>4.119892100861442E-5</c:v>
                </c:pt>
                <c:pt idx="423">
                  <c:v>-6.4904017211170573E-5</c:v>
                </c:pt>
                <c:pt idx="424">
                  <c:v>2.9065502916600394E-5</c:v>
                </c:pt>
                <c:pt idx="425">
                  <c:v>1.3684396608258539E-4</c:v>
                </c:pt>
                <c:pt idx="426">
                  <c:v>-6.0859941482385591E-5</c:v>
                </c:pt>
                <c:pt idx="427">
                  <c:v>7.1781411651893924E-6</c:v>
                </c:pt>
                <c:pt idx="428">
                  <c:v>-9.9507638314825998E-6</c:v>
                </c:pt>
                <c:pt idx="429">
                  <c:v>3.5489058835820424E-5</c:v>
                </c:pt>
                <c:pt idx="430">
                  <c:v>8.3786006228514422E-5</c:v>
                </c:pt>
                <c:pt idx="431">
                  <c:v>6.6655787122938434E-5</c:v>
                </c:pt>
                <c:pt idx="432">
                  <c:v>5.2142914764875424E-5</c:v>
                </c:pt>
                <c:pt idx="433">
                  <c:v>9.663386340229643E-5</c:v>
                </c:pt>
                <c:pt idx="434">
                  <c:v>9.8061413291883391E-5</c:v>
                </c:pt>
                <c:pt idx="435">
                  <c:v>-3.7070929181812597E-5</c:v>
                </c:pt>
                <c:pt idx="436">
                  <c:v>-1.5184537308575571E-5</c:v>
                </c:pt>
                <c:pt idx="437">
                  <c:v>9.0813709688524012E-6</c:v>
                </c:pt>
                <c:pt idx="438">
                  <c:v>1.423164720907284E-4</c:v>
                </c:pt>
                <c:pt idx="439">
                  <c:v>1.7348653467839941E-4</c:v>
                </c:pt>
                <c:pt idx="440">
                  <c:v>8.7116916290281426E-5</c:v>
                </c:pt>
                <c:pt idx="441">
                  <c:v>1.2351972902672142E-4</c:v>
                </c:pt>
                <c:pt idx="442">
                  <c:v>2.4069432435648423E-5</c:v>
                </c:pt>
                <c:pt idx="443">
                  <c:v>-7.4657308937949577E-5</c:v>
                </c:pt>
                <c:pt idx="444">
                  <c:v>5.9886243801714374E-6</c:v>
                </c:pt>
                <c:pt idx="445">
                  <c:v>-1.756351618446161E-5</c:v>
                </c:pt>
                <c:pt idx="446">
                  <c:v>-3.0172009604260578E-5</c:v>
                </c:pt>
                <c:pt idx="447">
                  <c:v>1.3755776951330942E-4</c:v>
                </c:pt>
                <c:pt idx="448">
                  <c:v>1.7408044010428392E-5</c:v>
                </c:pt>
                <c:pt idx="449">
                  <c:v>7.3317504079305413E-5</c:v>
                </c:pt>
                <c:pt idx="450">
                  <c:v>4.5481339064067398E-5</c:v>
                </c:pt>
                <c:pt idx="451">
                  <c:v>-1.280555276512459E-5</c:v>
                </c:pt>
                <c:pt idx="452">
                  <c:v>9.7347638091901435E-5</c:v>
                </c:pt>
                <c:pt idx="453">
                  <c:v>-7.3338668057276106E-6</c:v>
                </c:pt>
                <c:pt idx="454">
                  <c:v>5.8090787764595426E-5</c:v>
                </c:pt>
                <c:pt idx="455">
                  <c:v>1.6658620796751043E-4</c:v>
                </c:pt>
                <c:pt idx="456">
                  <c:v>6.64178694820824E-5</c:v>
                </c:pt>
                <c:pt idx="457">
                  <c:v>-4.6586602111352575E-5</c:v>
                </c:pt>
                <c:pt idx="458">
                  <c:v>-9.3687847770722587E-5</c:v>
                </c:pt>
                <c:pt idx="459">
                  <c:v>1.5980609414958404E-5</c:v>
                </c:pt>
                <c:pt idx="460">
                  <c:v>1.1186116743541942E-4</c:v>
                </c:pt>
                <c:pt idx="461">
                  <c:v>-5.6815849374955587E-5</c:v>
                </c:pt>
                <c:pt idx="462">
                  <c:v>-2.9934114975578579E-5</c:v>
                </c:pt>
                <c:pt idx="463">
                  <c:v>-4.9441286307824593E-5</c:v>
                </c:pt>
                <c:pt idx="464">
                  <c:v>-1.4470842540713564E-5</c:v>
                </c:pt>
                <c:pt idx="465">
                  <c:v>3.7154431930281435E-5</c:v>
                </c:pt>
                <c:pt idx="466">
                  <c:v>-5.7291625767200594E-5</c:v>
                </c:pt>
                <c:pt idx="467">
                  <c:v>-9.0833290067546577E-5</c:v>
                </c:pt>
                <c:pt idx="468">
                  <c:v>1.0091651919307042E-4</c:v>
                </c:pt>
                <c:pt idx="469">
                  <c:v>2.7400143312214433E-5</c:v>
                </c:pt>
                <c:pt idx="470">
                  <c:v>-3.8498285902272597E-5</c:v>
                </c:pt>
                <c:pt idx="471">
                  <c:v>2.454524759489343E-5</c:v>
                </c:pt>
                <c:pt idx="472">
                  <c:v>1.1305081034180739E-4</c:v>
                </c:pt>
                <c:pt idx="473">
                  <c:v>-5.9432616726485578E-5</c:v>
                </c:pt>
                <c:pt idx="474">
                  <c:v>1.2970595983649542E-4</c:v>
                </c:pt>
                <c:pt idx="475">
                  <c:v>-5.9432616726485578E-5</c:v>
                </c:pt>
                <c:pt idx="476">
                  <c:v>5.9280366615917408E-5</c:v>
                </c:pt>
                <c:pt idx="477">
                  <c:v>-2.3986730839044594E-5</c:v>
                </c:pt>
                <c:pt idx="478">
                  <c:v>3.1920411557011404E-5</c:v>
                </c:pt>
                <c:pt idx="479">
                  <c:v>-1.1438314706817959E-4</c:v>
                </c:pt>
                <c:pt idx="480">
                  <c:v>-4.8013945229659588E-5</c:v>
                </c:pt>
                <c:pt idx="481">
                  <c:v>7.2841665680092405E-5</c:v>
                </c:pt>
                <c:pt idx="482">
                  <c:v>-6.157360309533958E-5</c:v>
                </c:pt>
                <c:pt idx="483">
                  <c:v>1.0995774173319639E-4</c:v>
                </c:pt>
                <c:pt idx="484">
                  <c:v>9.7950830801874205E-6</c:v>
                </c:pt>
                <c:pt idx="485">
                  <c:v>3.9057718867671393E-5</c:v>
                </c:pt>
                <c:pt idx="486">
                  <c:v>9.7109713138683422E-5</c:v>
                </c:pt>
                <c:pt idx="487">
                  <c:v>1.0270891438129417E-5</c:v>
                </c:pt>
                <c:pt idx="488">
                  <c:v>2.4783155259655403E-5</c:v>
                </c:pt>
                <c:pt idx="489">
                  <c:v>6.7023342810874345E-6</c:v>
                </c:pt>
                <c:pt idx="490">
                  <c:v>-6.3822661870435791E-6</c:v>
                </c:pt>
                <c:pt idx="491">
                  <c:v>2.6686418617660442E-5</c:v>
                </c:pt>
                <c:pt idx="492">
                  <c:v>-6.1443658907965842E-6</c:v>
                </c:pt>
                <c:pt idx="493">
                  <c:v>1.3160942318016244E-4</c:v>
                </c:pt>
                <c:pt idx="494">
                  <c:v>1.1709560682352844E-4</c:v>
                </c:pt>
                <c:pt idx="495">
                  <c:v>8.3786006228514422E-5</c:v>
                </c:pt>
                <c:pt idx="496">
                  <c:v>3.8474977376344393E-6</c:v>
                </c:pt>
                <c:pt idx="497">
                  <c:v>-1.3757147262703588E-5</c:v>
                </c:pt>
                <c:pt idx="498">
                  <c:v>-1.6136129539128592E-5</c:v>
                </c:pt>
                <c:pt idx="499">
                  <c:v>-5.6577961093807577E-5</c:v>
                </c:pt>
                <c:pt idx="500">
                  <c:v>2.7875960058514418E-5</c:v>
                </c:pt>
                <c:pt idx="501">
                  <c:v>-3.3502528454761591E-5</c:v>
                </c:pt>
                <c:pt idx="502">
                  <c:v>1.0746700022500424E-5</c:v>
                </c:pt>
                <c:pt idx="503">
                  <c:v>-5.1820183570564594E-5</c:v>
                </c:pt>
                <c:pt idx="504">
                  <c:v>-9.6542397313335577E-5</c:v>
                </c:pt>
                <c:pt idx="505">
                  <c:v>-7.0375387715965578E-5</c:v>
                </c:pt>
                <c:pt idx="506">
                  <c:v>1.9787106203822435E-5</c:v>
                </c:pt>
                <c:pt idx="507">
                  <c:v>1.1566802972395244E-4</c:v>
                </c:pt>
                <c:pt idx="508">
                  <c:v>9.6871788242072418E-5</c:v>
                </c:pt>
                <c:pt idx="509">
                  <c:v>1.0139237097028044E-4</c:v>
                </c:pt>
                <c:pt idx="510">
                  <c:v>6.9402376948343942E-6</c:v>
                </c:pt>
                <c:pt idx="511">
                  <c:v>5.9756198553243402E-5</c:v>
                </c:pt>
                <c:pt idx="512">
                  <c:v>-4.4207692380427587E-5</c:v>
                </c:pt>
                <c:pt idx="513">
                  <c:v>3.8581896793224413E-5</c:v>
                </c:pt>
                <c:pt idx="514">
                  <c:v>2.9779229311422404E-5</c:v>
                </c:pt>
                <c:pt idx="515">
                  <c:v>8.3786006228514422E-5</c:v>
                </c:pt>
                <c:pt idx="516">
                  <c:v>1.7883855995792428E-5</c:v>
                </c:pt>
                <c:pt idx="517">
                  <c:v>1.2649936627467419E-5</c:v>
                </c:pt>
                <c:pt idx="518">
                  <c:v>5.4997889383413422E-5</c:v>
                </c:pt>
                <c:pt idx="519">
                  <c:v>9.4492542394375401E-5</c:v>
                </c:pt>
                <c:pt idx="520">
                  <c:v>8.331016284102643E-5</c:v>
                </c:pt>
                <c:pt idx="521">
                  <c:v>1.0032987230740396E-5</c:v>
                </c:pt>
                <c:pt idx="522">
                  <c:v>8.3548084506467437E-5</c:v>
                </c:pt>
                <c:pt idx="523">
                  <c:v>-5.3247519207823572E-5</c:v>
                </c:pt>
                <c:pt idx="524">
                  <c:v>-4.0401425022185573E-5</c:v>
                </c:pt>
                <c:pt idx="525">
                  <c:v>3.3823688518534441E-5</c:v>
                </c:pt>
                <c:pt idx="526">
                  <c:v>1.1923697629946439E-4</c:v>
                </c:pt>
                <c:pt idx="527">
                  <c:v>1.2649936627467419E-5</c:v>
                </c:pt>
                <c:pt idx="528">
                  <c:v>4.8336294637273407E-5</c:v>
                </c:pt>
                <c:pt idx="529">
                  <c:v>4.5612061083313967E-6</c:v>
                </c:pt>
                <c:pt idx="530">
                  <c:v>5.1686541923241748E-7</c:v>
                </c:pt>
                <c:pt idx="531">
                  <c:v>8.0455107277263409E-5</c:v>
                </c:pt>
                <c:pt idx="532">
                  <c:v>1.5266892882560422E-5</c:v>
                </c:pt>
                <c:pt idx="533">
                  <c:v>-4.6824492772967583E-5</c:v>
                </c:pt>
                <c:pt idx="534">
                  <c:v>-4.6824492772967583E-5</c:v>
                </c:pt>
                <c:pt idx="535">
                  <c:v>-1.0891201769833359E-4</c:v>
                </c:pt>
                <c:pt idx="536">
                  <c:v>6.2265276238694179E-6</c:v>
                </c:pt>
                <c:pt idx="537">
                  <c:v>-6.7282877636108587E-5</c:v>
                </c:pt>
                <c:pt idx="538">
                  <c:v>5.9756198553243402E-5</c:v>
                </c:pt>
                <c:pt idx="539">
                  <c:v>-3.3502528454761591E-5</c:v>
                </c:pt>
                <c:pt idx="540">
                  <c:v>-4.5872929787316581E-5</c:v>
                </c:pt>
                <c:pt idx="541">
                  <c:v>3.0968774436761443E-5</c:v>
                </c:pt>
                <c:pt idx="542">
                  <c:v>7.6539482761764301E-6</c:v>
                </c:pt>
                <c:pt idx="543">
                  <c:v>1.8728733113784941E-4</c:v>
                </c:pt>
                <c:pt idx="544">
                  <c:v>1.2827836470983742E-4</c:v>
                </c:pt>
                <c:pt idx="545">
                  <c:v>1.1638181801866543E-4</c:v>
                </c:pt>
                <c:pt idx="546">
                  <c:v>-1.090236104940058E-5</c:v>
                </c:pt>
                <c:pt idx="547">
                  <c:v>-6.3000924790800592E-5</c:v>
                </c:pt>
                <c:pt idx="548">
                  <c:v>-1.16160583680066E-5</c:v>
                </c:pt>
                <c:pt idx="549">
                  <c:v>-1.3043451474544561E-5</c:v>
                </c:pt>
                <c:pt idx="550">
                  <c:v>-4.9679176289014592E-5</c:v>
                </c:pt>
                <c:pt idx="551">
                  <c:v>-6.2287264198144571E-5</c:v>
                </c:pt>
                <c:pt idx="552">
                  <c:v>-4.634871139335759E-5</c:v>
                </c:pt>
                <c:pt idx="553">
                  <c:v>1.4731313420214543E-4</c:v>
                </c:pt>
                <c:pt idx="554">
                  <c:v>-1.2567653999097557E-5</c:v>
                </c:pt>
                <c:pt idx="555">
                  <c:v>-8.2031685777526577E-5</c:v>
                </c:pt>
                <c:pt idx="556">
                  <c:v>5.0239602887249392E-5</c:v>
                </c:pt>
                <c:pt idx="557">
                  <c:v>1.0995774173319639E-4</c:v>
                </c:pt>
                <c:pt idx="558">
                  <c:v>8.0217186348629393E-5</c:v>
                </c:pt>
                <c:pt idx="559">
                  <c:v>1.0567504716837544E-4</c:v>
                </c:pt>
                <c:pt idx="560">
                  <c:v>7.7837980181154429E-5</c:v>
                </c:pt>
                <c:pt idx="561">
                  <c:v>9.5920089222840423E-5</c:v>
                </c:pt>
                <c:pt idx="562">
                  <c:v>3.3823688518534441E-5</c:v>
                </c:pt>
                <c:pt idx="563">
                  <c:v>7.87896619678544E-5</c:v>
                </c:pt>
                <c:pt idx="564">
                  <c:v>6.2373278260972431E-5</c:v>
                </c:pt>
                <c:pt idx="565">
                  <c:v>-7.2040581484204586E-5</c:v>
                </c:pt>
                <c:pt idx="566">
                  <c:v>5.0370119723634212E-6</c:v>
                </c:pt>
                <c:pt idx="567">
                  <c:v>1.3363651289546397E-5</c:v>
                </c:pt>
                <c:pt idx="568">
                  <c:v>1.2018869754041141E-4</c:v>
                </c:pt>
                <c:pt idx="569">
                  <c:v>7.9503423903281429E-5</c:v>
                </c:pt>
                <c:pt idx="570">
                  <c:v>-5.1582294099296588E-5</c:v>
                </c:pt>
                <c:pt idx="571">
                  <c:v>-2.2321456932861589E-5</c:v>
                </c:pt>
                <c:pt idx="572">
                  <c:v>-4.3474177409858232E-7</c:v>
                </c:pt>
                <c:pt idx="573">
                  <c:v>-4.9548635586345877E-6</c:v>
                </c:pt>
                <c:pt idx="574">
                  <c:v>-1.6136129539128592E-5</c:v>
                </c:pt>
                <c:pt idx="575">
                  <c:v>2.1214546240653435E-5</c:v>
                </c:pt>
                <c:pt idx="576">
                  <c:v>4.4291776650954391E-5</c:v>
                </c:pt>
                <c:pt idx="577">
                  <c:v>8.5213537751829393E-5</c:v>
                </c:pt>
                <c:pt idx="578">
                  <c:v>2.8827594231540426E-5</c:v>
                </c:pt>
                <c:pt idx="579">
                  <c:v>1.468473519418412E-6</c:v>
                </c:pt>
                <c:pt idx="580">
                  <c:v>-1.8753003497011588E-5</c:v>
                </c:pt>
                <c:pt idx="581">
                  <c:v>1.2412031853550399E-5</c:v>
                </c:pt>
                <c:pt idx="582">
                  <c:v>-6.3822661870435791E-6</c:v>
                </c:pt>
                <c:pt idx="583">
                  <c:v>1.3922331283610739E-4</c:v>
                </c:pt>
                <c:pt idx="584">
                  <c:v>-2.7079375010777588E-5</c:v>
                </c:pt>
                <c:pt idx="585">
                  <c:v>1.1222508833756402E-5</c:v>
                </c:pt>
                <c:pt idx="586">
                  <c:v>-5.4199075165968583E-5</c:v>
                </c:pt>
                <c:pt idx="587">
                  <c:v>-5.5864295910493597E-5</c:v>
                </c:pt>
                <c:pt idx="588">
                  <c:v>-5.6815849374955587E-5</c:v>
                </c:pt>
                <c:pt idx="589">
                  <c:v>1.621851503912444E-5</c:v>
                </c:pt>
                <c:pt idx="590">
                  <c:v>1.2589904403370242E-4</c:v>
                </c:pt>
                <c:pt idx="591">
                  <c:v>8.0930949304354417E-5</c:v>
                </c:pt>
                <c:pt idx="592">
                  <c:v>7.1652070674054402E-5</c:v>
                </c:pt>
                <c:pt idx="593">
                  <c:v>2.2879895529072402E-5</c:v>
                </c:pt>
                <c:pt idx="594">
                  <c:v>-3.1361481897425596E-5</c:v>
                </c:pt>
                <c:pt idx="595">
                  <c:v>3.4061598393941438E-5</c:v>
                </c:pt>
                <c:pt idx="596">
                  <c:v>4.4291776650954391E-5</c:v>
                </c:pt>
                <c:pt idx="597">
                  <c:v>5.3094572064198424E-5</c:v>
                </c:pt>
                <c:pt idx="598">
                  <c:v>-1.5184537308575571E-5</c:v>
                </c:pt>
                <c:pt idx="599">
                  <c:v>-2.6841479645289574E-5</c:v>
                </c:pt>
              </c:numCache>
            </c:numRef>
          </c:yVal>
          <c:smooth val="1"/>
        </c:ser>
        <c:ser>
          <c:idx val="1"/>
          <c:order val="1"/>
          <c:tx>
            <c:v>m/z 83</c:v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</c:spPr>
          <c:marker>
            <c:symbol val="none"/>
          </c:marker>
          <c:yVal>
            <c:numRef>
              <c:f>Data!$P$67:$P$1633</c:f>
              <c:numCache>
                <c:formatCode>0.00E+00</c:formatCode>
                <c:ptCount val="1567"/>
                <c:pt idx="0">
                  <c:v>-3.4437958552469471E-5</c:v>
                </c:pt>
                <c:pt idx="1">
                  <c:v>7.587584403387262E-7</c:v>
                </c:pt>
                <c:pt idx="2">
                  <c:v>5.0366989687126135E-5</c:v>
                </c:pt>
                <c:pt idx="3">
                  <c:v>-5.876784512647137E-5</c:v>
                </c:pt>
                <c:pt idx="4">
                  <c:v>-6.9161012860099281E-5</c:v>
                </c:pt>
                <c:pt idx="5">
                  <c:v>-7.9814824438398235E-6</c:v>
                </c:pt>
                <c:pt idx="6">
                  <c:v>-1.6721646334168015E-5</c:v>
                </c:pt>
                <c:pt idx="7">
                  <c:v>-5.2862587682792773E-5</c:v>
                </c:pt>
                <c:pt idx="8">
                  <c:v>2.5326334374972631E-5</c:v>
                </c:pt>
                <c:pt idx="9">
                  <c:v>2.9106015435452431E-5</c:v>
                </c:pt>
                <c:pt idx="10">
                  <c:v>-9.6088259168935681E-5</c:v>
                </c:pt>
                <c:pt idx="11">
                  <c:v>7.3045864386984925E-5</c:v>
                </c:pt>
                <c:pt idx="12">
                  <c:v>-2.2627118890076371E-5</c:v>
                </c:pt>
                <c:pt idx="13">
                  <c:v>-1.0742582845060588E-4</c:v>
                </c:pt>
                <c:pt idx="14">
                  <c:v>-4.4358955215472575E-5</c:v>
                </c:pt>
                <c:pt idx="15">
                  <c:v>2.4123261877619273E-6</c:v>
                </c:pt>
                <c:pt idx="16">
                  <c:v>9.5725257467394826E-5</c:v>
                </c:pt>
                <c:pt idx="17">
                  <c:v>1.1108139085872181E-4</c:v>
                </c:pt>
                <c:pt idx="18">
                  <c:v>-7.7192022449073283E-5</c:v>
                </c:pt>
                <c:pt idx="19">
                  <c:v>-4.6248657618047469E-5</c:v>
                </c:pt>
                <c:pt idx="20">
                  <c:v>2.2727811998153626E-5</c:v>
                </c:pt>
                <c:pt idx="21">
                  <c:v>3.7374117953065526E-5</c:v>
                </c:pt>
                <c:pt idx="22">
                  <c:v>-1.2942125451586593E-5</c:v>
                </c:pt>
                <c:pt idx="23">
                  <c:v>-2.0501152819227913E-5</c:v>
                </c:pt>
                <c:pt idx="24">
                  <c:v>-6.1129938262491075E-5</c:v>
                </c:pt>
                <c:pt idx="25">
                  <c:v>-8.2860931254525577E-5</c:v>
                </c:pt>
                <c:pt idx="26">
                  <c:v>-1.3650786713841233E-5</c:v>
                </c:pt>
                <c:pt idx="27">
                  <c:v>-5.1209109300105469E-5</c:v>
                </c:pt>
                <c:pt idx="28">
                  <c:v>-8.926368738506904E-6</c:v>
                </c:pt>
                <c:pt idx="29">
                  <c:v>-5.735058654553067E-5</c:v>
                </c:pt>
                <c:pt idx="30">
                  <c:v>-3.6800109613294373E-5</c:v>
                </c:pt>
                <c:pt idx="31">
                  <c:v>9.8087724058721818E-5</c:v>
                </c:pt>
                <c:pt idx="32">
                  <c:v>1.1861337612237526E-5</c:v>
                </c:pt>
                <c:pt idx="33">
                  <c:v>-6.9869633968044177E-5</c:v>
                </c:pt>
                <c:pt idx="34">
                  <c:v>1.4674299947558269E-6</c:v>
                </c:pt>
                <c:pt idx="35">
                  <c:v>1.2124019433216882E-4</c:v>
                </c:pt>
                <c:pt idx="36">
                  <c:v>-4.8374568518587772E-5</c:v>
                </c:pt>
                <c:pt idx="37">
                  <c:v>2.6979943067295629E-5</c:v>
                </c:pt>
                <c:pt idx="38">
                  <c:v>-5.1681531976234868E-5</c:v>
                </c:pt>
                <c:pt idx="39">
                  <c:v>6.4541225627864527E-5</c:v>
                </c:pt>
                <c:pt idx="40">
                  <c:v>9.1709077171624816E-5</c:v>
                </c:pt>
                <c:pt idx="41">
                  <c:v>3.973644561322953E-5</c:v>
                </c:pt>
                <c:pt idx="42">
                  <c:v>1.9656839781390629E-5</c:v>
                </c:pt>
                <c:pt idx="43">
                  <c:v>-1.6249207011264514E-5</c:v>
                </c:pt>
                <c:pt idx="44">
                  <c:v>9.4780272405838823E-5</c:v>
                </c:pt>
                <c:pt idx="45">
                  <c:v>1.989306807603333E-5</c:v>
                </c:pt>
                <c:pt idx="46">
                  <c:v>-3.231201778932827E-5</c:v>
                </c:pt>
                <c:pt idx="47">
                  <c:v>3.8082815660583928E-5</c:v>
                </c:pt>
                <c:pt idx="48">
                  <c:v>7.0919697862996723E-5</c:v>
                </c:pt>
                <c:pt idx="49">
                  <c:v>-9.6350328689429326E-6</c:v>
                </c:pt>
                <c:pt idx="50">
                  <c:v>1.2572900109236081E-4</c:v>
                </c:pt>
                <c:pt idx="51">
                  <c:v>-9.8922663635641678E-5</c:v>
                </c:pt>
                <c:pt idx="52">
                  <c:v>1.7058332252986427E-5</c:v>
                </c:pt>
                <c:pt idx="53">
                  <c:v>-2.4753080405351571E-5</c:v>
                </c:pt>
                <c:pt idx="54">
                  <c:v>-1.3672531853340032E-6</c:v>
                </c:pt>
                <c:pt idx="55">
                  <c:v>-6.5858314959257377E-7</c:v>
                </c:pt>
                <c:pt idx="56">
                  <c:v>-3.8453612009667072E-5</c:v>
                </c:pt>
                <c:pt idx="57">
                  <c:v>-7.4829967553506185E-5</c:v>
                </c:pt>
                <c:pt idx="58">
                  <c:v>4.8477106860895827E-5</c:v>
                </c:pt>
                <c:pt idx="59">
                  <c:v>-1.5068107719675753E-5</c:v>
                </c:pt>
                <c:pt idx="60">
                  <c:v>-6.5858314959257377E-7</c:v>
                </c:pt>
                <c:pt idx="61">
                  <c:v>-4.2235969179307268E-7</c:v>
                </c:pt>
                <c:pt idx="62">
                  <c:v>-1.1238597427086418E-4</c:v>
                </c:pt>
                <c:pt idx="63">
                  <c:v>-3.6800109613294373E-5</c:v>
                </c:pt>
                <c:pt idx="64">
                  <c:v>1.2289396288126282E-4</c:v>
                </c:pt>
                <c:pt idx="65">
                  <c:v>-2.1918464039276073E-5</c:v>
                </c:pt>
                <c:pt idx="66">
                  <c:v>7.517203546699992E-5</c:v>
                </c:pt>
                <c:pt idx="67">
                  <c:v>6.4777464608945819E-5</c:v>
                </c:pt>
                <c:pt idx="68">
                  <c:v>5.9816457815500426E-5</c:v>
                </c:pt>
                <c:pt idx="69">
                  <c:v>-5.6405746366641471E-5</c:v>
                </c:pt>
                <c:pt idx="70">
                  <c:v>-5.5224694877996972E-5</c:v>
                </c:pt>
                <c:pt idx="71">
                  <c:v>1.6423907244111582E-4</c:v>
                </c:pt>
                <c:pt idx="72">
                  <c:v>2.8847746218111273E-6</c:v>
                </c:pt>
                <c:pt idx="73">
                  <c:v>7.3518346455413522E-5</c:v>
                </c:pt>
                <c:pt idx="74">
                  <c:v>1.3514923863222928E-5</c:v>
                </c:pt>
                <c:pt idx="75">
                  <c:v>-2.5461733231552872E-5</c:v>
                </c:pt>
                <c:pt idx="76">
                  <c:v>-7.3885144020712878E-5</c:v>
                </c:pt>
                <c:pt idx="77">
                  <c:v>7.587584403387262E-7</c:v>
                </c:pt>
                <c:pt idx="78">
                  <c:v>5.2965584451267031E-5</c:v>
                </c:pt>
                <c:pt idx="79">
                  <c:v>-4.0815753509812774E-5</c:v>
                </c:pt>
                <c:pt idx="80">
                  <c:v>-6.4909275582836172E-5</c:v>
                </c:pt>
                <c:pt idx="81">
                  <c:v>-5.6192627704140229E-6</c:v>
                </c:pt>
                <c:pt idx="82">
                  <c:v>-3.4674173911649073E-5</c:v>
                </c:pt>
                <c:pt idx="83">
                  <c:v>3.548425987471993E-5</c:v>
                </c:pt>
                <c:pt idx="84">
                  <c:v>3.9972678688551827E-5</c:v>
                </c:pt>
                <c:pt idx="85">
                  <c:v>-1.1356695771578817E-4</c:v>
                </c:pt>
                <c:pt idx="86">
                  <c:v>1.894815523512053E-5</c:v>
                </c:pt>
                <c:pt idx="87">
                  <c:v>3.6665420751922427E-5</c:v>
                </c:pt>
                <c:pt idx="88">
                  <c:v>2.1074210392604626E-5</c:v>
                </c:pt>
                <c:pt idx="89">
                  <c:v>1.1060889090271782E-4</c:v>
                </c:pt>
                <c:pt idx="90">
                  <c:v>8.8165402175079718E-5</c:v>
                </c:pt>
                <c:pt idx="91">
                  <c:v>1.9656839781390629E-5</c:v>
                </c:pt>
                <c:pt idx="92">
                  <c:v>-6.8003733100747829E-6</c:v>
                </c:pt>
                <c:pt idx="93">
                  <c:v>-1.1356695771578817E-4</c:v>
                </c:pt>
                <c:pt idx="94">
                  <c:v>2.3200270105889229E-5</c:v>
                </c:pt>
                <c:pt idx="95">
                  <c:v>-2.3121457791299133E-6</c:v>
                </c:pt>
                <c:pt idx="96">
                  <c:v>-5.4516063309853173E-5</c:v>
                </c:pt>
                <c:pt idx="97">
                  <c:v>-3.6091464885486671E-5</c:v>
                </c:pt>
                <c:pt idx="98">
                  <c:v>-3.9162255050082876E-5</c:v>
                </c:pt>
                <c:pt idx="99">
                  <c:v>-2.5225515679057873E-5</c:v>
                </c:pt>
                <c:pt idx="100">
                  <c:v>-9.6350328689429326E-6</c:v>
                </c:pt>
                <c:pt idx="101">
                  <c:v>-7.0365952494259234E-6</c:v>
                </c:pt>
                <c:pt idx="102">
                  <c:v>2.0601753297395729E-5</c:v>
                </c:pt>
                <c:pt idx="103">
                  <c:v>5.4855475827010425E-5</c:v>
                </c:pt>
                <c:pt idx="104">
                  <c:v>9.0055360598096824E-5</c:v>
                </c:pt>
                <c:pt idx="105">
                  <c:v>2.7688633350380228E-5</c:v>
                </c:pt>
                <c:pt idx="106">
                  <c:v>5.3438056957656628E-5</c:v>
                </c:pt>
                <c:pt idx="107">
                  <c:v>6.0525171553128434E-5</c:v>
                </c:pt>
                <c:pt idx="108">
                  <c:v>-5.404364198345597E-5</c:v>
                </c:pt>
                <c:pt idx="109">
                  <c:v>9.5489011117816825E-5</c:v>
                </c:pt>
                <c:pt idx="110">
                  <c:v>6.076140957807373E-5</c:v>
                </c:pt>
                <c:pt idx="111">
                  <c:v>-4.2469249213687673E-5</c:v>
                </c:pt>
                <c:pt idx="112">
                  <c:v>7.1368206514758272E-6</c:v>
                </c:pt>
                <c:pt idx="113">
                  <c:v>1.3514923863222928E-5</c:v>
                </c:pt>
                <c:pt idx="114">
                  <c:v>-4.5540019638901969E-5</c:v>
                </c:pt>
                <c:pt idx="115">
                  <c:v>1.2336646868731582E-4</c:v>
                </c:pt>
                <c:pt idx="116">
                  <c:v>3.1468323409906627E-5</c:v>
                </c:pt>
                <c:pt idx="117">
                  <c:v>-6.207477394219698E-5</c:v>
                </c:pt>
                <c:pt idx="118">
                  <c:v>-9.9158863642296474E-5</c:v>
                </c:pt>
                <c:pt idx="119">
                  <c:v>-2.6642820150444676E-5</c:v>
                </c:pt>
                <c:pt idx="120">
                  <c:v>-1.4167394883106717E-4</c:v>
                </c:pt>
                <c:pt idx="121">
                  <c:v>-4.6484870165209274E-5</c:v>
                </c:pt>
                <c:pt idx="122">
                  <c:v>5.2470201663894264E-6</c:v>
                </c:pt>
                <c:pt idx="123">
                  <c:v>-7.2728171323879834E-6</c:v>
                </c:pt>
                <c:pt idx="124">
                  <c:v>6.3596270265402023E-5</c:v>
                </c:pt>
                <c:pt idx="125">
                  <c:v>-4.5540019638901969E-5</c:v>
                </c:pt>
                <c:pt idx="126">
                  <c:v>1.6585877069822129E-5</c:v>
                </c:pt>
                <c:pt idx="127">
                  <c:v>-3.6563894760263571E-5</c:v>
                </c:pt>
                <c:pt idx="128">
                  <c:v>4.2571246229543031E-5</c:v>
                </c:pt>
                <c:pt idx="129">
                  <c:v>-7.7664432753411075E-5</c:v>
                </c:pt>
                <c:pt idx="130">
                  <c:v>-3.585524986373957E-5</c:v>
                </c:pt>
                <c:pt idx="131">
                  <c:v>-7.4829967553506185E-5</c:v>
                </c:pt>
                <c:pt idx="132">
                  <c:v>2.627125329035983E-5</c:v>
                </c:pt>
                <c:pt idx="133">
                  <c:v>-1.9792496449979185E-5</c:v>
                </c:pt>
                <c:pt idx="134">
                  <c:v>1.8711927165584025E-5</c:v>
                </c:pt>
                <c:pt idx="135">
                  <c:v>-1.0010366310705238E-4</c:v>
                </c:pt>
                <c:pt idx="136">
                  <c:v>-2.1209808682326893E-5</c:v>
                </c:pt>
                <c:pt idx="137">
                  <c:v>-7.317652578049578E-5</c:v>
                </c:pt>
                <c:pt idx="138">
                  <c:v>1.9420611543136931E-5</c:v>
                </c:pt>
                <c:pt idx="139">
                  <c:v>-1.0577244099979278E-4</c:v>
                </c:pt>
                <c:pt idx="140">
                  <c:v>5.719469950171628E-6</c:v>
                </c:pt>
                <c:pt idx="141">
                  <c:v>1.5877194716867424E-5</c:v>
                </c:pt>
                <c:pt idx="142">
                  <c:v>-2.2390900662715376E-5</c:v>
                </c:pt>
                <c:pt idx="143">
                  <c:v>-7.6955817212659872E-5</c:v>
                </c:pt>
                <c:pt idx="144">
                  <c:v>-1.0813442222896218E-4</c:v>
                </c:pt>
                <c:pt idx="145">
                  <c:v>1.7294559928926623E-5</c:v>
                </c:pt>
                <c:pt idx="146">
                  <c:v>5.060322529364993E-5</c:v>
                </c:pt>
                <c:pt idx="147">
                  <c:v>1.1202639144537082E-4</c:v>
                </c:pt>
                <c:pt idx="148">
                  <c:v>5.3674293295210026E-5</c:v>
                </c:pt>
                <c:pt idx="149">
                  <c:v>4.6587227634101232E-5</c:v>
                </c:pt>
                <c:pt idx="150">
                  <c:v>-3.4932602556606624E-6</c:v>
                </c:pt>
                <c:pt idx="151">
                  <c:v>3.5248027867859928E-5</c:v>
                </c:pt>
                <c:pt idx="152">
                  <c:v>9.9715281283324263E-6</c:v>
                </c:pt>
                <c:pt idx="153">
                  <c:v>9.5252764824176826E-5</c:v>
                </c:pt>
                <c:pt idx="154">
                  <c:v>-5.6641956495835371E-5</c:v>
                </c:pt>
                <c:pt idx="155">
                  <c:v>-2.9949856043198276E-5</c:v>
                </c:pt>
                <c:pt idx="156">
                  <c:v>3.312194233868113E-5</c:v>
                </c:pt>
                <c:pt idx="157">
                  <c:v>-8.4986763705723474E-5</c:v>
                </c:pt>
                <c:pt idx="158">
                  <c:v>-1.6249207011264514E-5</c:v>
                </c:pt>
                <c:pt idx="159">
                  <c:v>-6.4673067422077777E-5</c:v>
                </c:pt>
                <c:pt idx="160">
                  <c:v>-3.1603369855906571E-5</c:v>
                </c:pt>
                <c:pt idx="161">
                  <c:v>-8.1443707089946585E-5</c:v>
                </c:pt>
                <c:pt idx="162">
                  <c:v>-4.9083204473134975E-5</c:v>
                </c:pt>
                <c:pt idx="163">
                  <c:v>-1.6249207011264514E-5</c:v>
                </c:pt>
                <c:pt idx="164">
                  <c:v>-7.7452607295949334E-6</c:v>
                </c:pt>
                <c:pt idx="165">
                  <c:v>1.7530787661029624E-5</c:v>
                </c:pt>
                <c:pt idx="166">
                  <c:v>3.5248027867859928E-5</c:v>
                </c:pt>
                <c:pt idx="167">
                  <c:v>-2.8296339474635775E-5</c:v>
                </c:pt>
                <c:pt idx="168">
                  <c:v>-6.8452391245779075E-5</c:v>
                </c:pt>
                <c:pt idx="169">
                  <c:v>-1.0600863937589738E-4</c:v>
                </c:pt>
                <c:pt idx="170">
                  <c:v>1.0207754116880826E-5</c:v>
                </c:pt>
                <c:pt idx="171">
                  <c:v>3.4066868678049329E-5</c:v>
                </c:pt>
                <c:pt idx="172">
                  <c:v>-6.3492025774702476E-5</c:v>
                </c:pt>
                <c:pt idx="173">
                  <c:v>4.3043713786535928E-5</c:v>
                </c:pt>
                <c:pt idx="174">
                  <c:v>4.4933586263762829E-5</c:v>
                </c:pt>
                <c:pt idx="175">
                  <c:v>6.9029775888866223E-5</c:v>
                </c:pt>
                <c:pt idx="176">
                  <c:v>9.4990763197257264E-6</c:v>
                </c:pt>
                <c:pt idx="177">
                  <c:v>3.099586136507473E-5</c:v>
                </c:pt>
                <c:pt idx="178">
                  <c:v>-2.3571991236980872E-5</c:v>
                </c:pt>
                <c:pt idx="179">
                  <c:v>-1.1356695771578817E-4</c:v>
                </c:pt>
                <c:pt idx="180">
                  <c:v>-2.7823905663215173E-5</c:v>
                </c:pt>
                <c:pt idx="181">
                  <c:v>-1.2726626294176717E-4</c:v>
                </c:pt>
                <c:pt idx="182">
                  <c:v>4.0445145007913531E-5</c:v>
                </c:pt>
                <c:pt idx="183">
                  <c:v>-7.223170067308957E-5</c:v>
                </c:pt>
                <c:pt idx="184">
                  <c:v>-5.8554849908086734E-6</c:v>
                </c:pt>
                <c:pt idx="185">
                  <c:v>6.9266015938862423E-5</c:v>
                </c:pt>
                <c:pt idx="186">
                  <c:v>2.3908957689509627E-5</c:v>
                </c:pt>
                <c:pt idx="187">
                  <c:v>5.5564186021138223E-5</c:v>
                </c:pt>
                <c:pt idx="188">
                  <c:v>-5.5224694877996972E-5</c:v>
                </c:pt>
                <c:pt idx="189">
                  <c:v>-8.7112591602028083E-5</c:v>
                </c:pt>
                <c:pt idx="190">
                  <c:v>-1.0816138628150478E-5</c:v>
                </c:pt>
                <c:pt idx="191">
                  <c:v>-6.042131091203447E-5</c:v>
                </c:pt>
                <c:pt idx="192">
                  <c:v>3.028716871950493E-5</c:v>
                </c:pt>
                <c:pt idx="193">
                  <c:v>-1.3672531853340032E-6</c:v>
                </c:pt>
                <c:pt idx="194">
                  <c:v>4.3021212736918254E-6</c:v>
                </c:pt>
                <c:pt idx="195">
                  <c:v>-5.1468181609084134E-6</c:v>
                </c:pt>
                <c:pt idx="196">
                  <c:v>-1.3650786713841233E-5</c:v>
                </c:pt>
                <c:pt idx="197">
                  <c:v>-1.0553624256775088E-4</c:v>
                </c:pt>
                <c:pt idx="198">
                  <c:v>-8.7821199888421582E-5</c:v>
                </c:pt>
                <c:pt idx="199">
                  <c:v>4.8949577229906629E-5</c:v>
                </c:pt>
                <c:pt idx="200">
                  <c:v>7.6353243591175218E-5</c:v>
                </c:pt>
                <c:pt idx="201">
                  <c:v>-2.8768773061176474E-5</c:v>
                </c:pt>
                <c:pt idx="202">
                  <c:v>-2.0501152819227913E-5</c:v>
                </c:pt>
                <c:pt idx="203">
                  <c:v>-5.6878166568639171E-5</c:v>
                </c:pt>
                <c:pt idx="204">
                  <c:v>-1.1096879228134448E-4</c:v>
                </c:pt>
                <c:pt idx="205">
                  <c:v>-1.0506384553449717E-4</c:v>
                </c:pt>
                <c:pt idx="206">
                  <c:v>-9.6350328689429326E-6</c:v>
                </c:pt>
                <c:pt idx="207">
                  <c:v>-3.5382819651529172E-5</c:v>
                </c:pt>
                <c:pt idx="208">
                  <c:v>-3.4674173911649073E-5</c:v>
                </c:pt>
                <c:pt idx="209">
                  <c:v>2.3200270105889229E-5</c:v>
                </c:pt>
                <c:pt idx="210">
                  <c:v>2.7688633350380228E-5</c:v>
                </c:pt>
                <c:pt idx="211">
                  <c:v>-1.0107475341297673E-5</c:v>
                </c:pt>
                <c:pt idx="212">
                  <c:v>-5.1468181609084134E-6</c:v>
                </c:pt>
                <c:pt idx="213">
                  <c:v>3.1468323409906627E-5</c:v>
                </c:pt>
                <c:pt idx="214">
                  <c:v>5.7217845108979025E-5</c:v>
                </c:pt>
                <c:pt idx="215">
                  <c:v>-2.2154682379190674E-5</c:v>
                </c:pt>
                <c:pt idx="216">
                  <c:v>-5.6641956495835371E-5</c:v>
                </c:pt>
                <c:pt idx="217">
                  <c:v>-6.1129938262491075E-5</c:v>
                </c:pt>
                <c:pt idx="218">
                  <c:v>-8.3805746239618183E-5</c:v>
                </c:pt>
                <c:pt idx="219">
                  <c:v>-5.2862587682792773E-5</c:v>
                </c:pt>
                <c:pt idx="220">
                  <c:v>5.4383002645528332E-5</c:v>
                </c:pt>
                <c:pt idx="221">
                  <c:v>-6.9633426988301571E-5</c:v>
                </c:pt>
                <c:pt idx="222">
                  <c:v>2.8631101881442733E-7</c:v>
                </c:pt>
                <c:pt idx="223">
                  <c:v>-1.6957865911262043E-5</c:v>
                </c:pt>
                <c:pt idx="224">
                  <c:v>2.1074210392604626E-5</c:v>
                </c:pt>
                <c:pt idx="225">
                  <c:v>4.682346234065273E-5</c:v>
                </c:pt>
                <c:pt idx="226">
                  <c:v>9.8560218052125826E-5</c:v>
                </c:pt>
                <c:pt idx="227">
                  <c:v>4.5406054945382525E-5</c:v>
                </c:pt>
                <c:pt idx="228">
                  <c:v>1.0919139238534182E-4</c:v>
                </c:pt>
                <c:pt idx="229">
                  <c:v>-4.1524394863289375E-5</c:v>
                </c:pt>
                <c:pt idx="230">
                  <c:v>6.4281450478616256E-6</c:v>
                </c:pt>
                <c:pt idx="231">
                  <c:v>-4.2019282668039429E-6</c:v>
                </c:pt>
                <c:pt idx="232">
                  <c:v>2.1074210392604626E-5</c:v>
                </c:pt>
                <c:pt idx="233">
                  <c:v>-6.5858314959257377E-7</c:v>
                </c:pt>
                <c:pt idx="234">
                  <c:v>-3.703632440993437E-5</c:v>
                </c:pt>
                <c:pt idx="235">
                  <c:v>-2.3808209183299273E-5</c:v>
                </c:pt>
                <c:pt idx="236">
                  <c:v>-3.1839585889953175E-5</c:v>
                </c:pt>
                <c:pt idx="237">
                  <c:v>-1.9556277547752075E-5</c:v>
                </c:pt>
                <c:pt idx="238">
                  <c:v>-1.5776767463254774E-5</c:v>
                </c:pt>
                <c:pt idx="239">
                  <c:v>5.6745370802643927E-5</c:v>
                </c:pt>
                <c:pt idx="240">
                  <c:v>-2.1209808682326893E-5</c:v>
                </c:pt>
                <c:pt idx="241">
                  <c:v>6.076140957807373E-5</c:v>
                </c:pt>
                <c:pt idx="242">
                  <c:v>1.4297565806771083E-4</c:v>
                </c:pt>
                <c:pt idx="243">
                  <c:v>2.2019125258342829E-5</c:v>
                </c:pt>
                <c:pt idx="244">
                  <c:v>8.0817222438639257E-6</c:v>
                </c:pt>
                <c:pt idx="245">
                  <c:v>7.3045864386984925E-5</c:v>
                </c:pt>
                <c:pt idx="246">
                  <c:v>2.4145186996451926E-5</c:v>
                </c:pt>
                <c:pt idx="247">
                  <c:v>-6.7271354097360781E-5</c:v>
                </c:pt>
                <c:pt idx="248">
                  <c:v>5.4832450303118262E-6</c:v>
                </c:pt>
                <c:pt idx="249">
                  <c:v>3.4775564023309731E-5</c:v>
                </c:pt>
                <c:pt idx="250">
                  <c:v>-4.2235969179307268E-7</c:v>
                </c:pt>
                <c:pt idx="251">
                  <c:v>9.0266247362252253E-6</c:v>
                </c:pt>
                <c:pt idx="252">
                  <c:v>2.2964041024053226E-5</c:v>
                </c:pt>
                <c:pt idx="253">
                  <c:v>-4.7193507469489574E-5</c:v>
                </c:pt>
                <c:pt idx="254">
                  <c:v>-1.1310298964771733E-6</c:v>
                </c:pt>
                <c:pt idx="255">
                  <c:v>6.1233885796907017E-5</c:v>
                </c:pt>
                <c:pt idx="256">
                  <c:v>-5.3335009571729772E-5</c:v>
                </c:pt>
                <c:pt idx="257">
                  <c:v>-1.2750245620066518E-4</c:v>
                </c:pt>
                <c:pt idx="258">
                  <c:v>8.6039203252080023E-5</c:v>
                </c:pt>
                <c:pt idx="259">
                  <c:v>-3.9870897584575272E-5</c:v>
                </c:pt>
                <c:pt idx="260">
                  <c:v>-6.1129938262491075E-5</c:v>
                </c:pt>
                <c:pt idx="261">
                  <c:v>1.5404740096242927E-5</c:v>
                </c:pt>
                <c:pt idx="262">
                  <c:v>-1.0579917588771639E-5</c:v>
                </c:pt>
                <c:pt idx="263">
                  <c:v>6.1470123990567819E-5</c:v>
                </c:pt>
                <c:pt idx="264">
                  <c:v>5.8635269377941127E-5</c:v>
                </c:pt>
                <c:pt idx="265">
                  <c:v>6.4281450478616256E-6</c:v>
                </c:pt>
                <c:pt idx="266">
                  <c:v>-5.3335009571729772E-5</c:v>
                </c:pt>
                <c:pt idx="267">
                  <c:v>-2.4516862684140273E-5</c:v>
                </c:pt>
                <c:pt idx="268">
                  <c:v>-1.9883024774065519E-4</c:v>
                </c:pt>
                <c:pt idx="269">
                  <c:v>-3.9398469284410375E-5</c:v>
                </c:pt>
                <c:pt idx="270">
                  <c:v>-1.0270185699525828E-4</c:v>
                </c:pt>
                <c:pt idx="271">
                  <c:v>-7.6010995704237579E-5</c:v>
                </c:pt>
                <c:pt idx="272">
                  <c:v>3.2413248174435629E-5</c:v>
                </c:pt>
                <c:pt idx="273">
                  <c:v>-5.7586796449617473E-5</c:v>
                </c:pt>
                <c:pt idx="274">
                  <c:v>-1.9083839574580695E-5</c:v>
                </c:pt>
                <c:pt idx="275">
                  <c:v>1.5762373914029581E-4</c:v>
                </c:pt>
                <c:pt idx="276">
                  <c:v>9.4071534200461821E-5</c:v>
                </c:pt>
                <c:pt idx="277">
                  <c:v>-1.5304327690365122E-5</c:v>
                </c:pt>
                <c:pt idx="278">
                  <c:v>4.7745706074879263E-6</c:v>
                </c:pt>
                <c:pt idx="279">
                  <c:v>3.3830637008849132E-5</c:v>
                </c:pt>
                <c:pt idx="280">
                  <c:v>-6.3728234216730778E-5</c:v>
                </c:pt>
                <c:pt idx="281">
                  <c:v>3.5956724056703529E-5</c:v>
                </c:pt>
                <c:pt idx="282">
                  <c:v>1.9184383361046925E-5</c:v>
                </c:pt>
                <c:pt idx="283">
                  <c:v>5.2020640113127434E-5</c:v>
                </c:pt>
                <c:pt idx="284">
                  <c:v>-9.4671053898798174E-5</c:v>
                </c:pt>
                <c:pt idx="285">
                  <c:v>-8.4539257036133139E-6</c:v>
                </c:pt>
                <c:pt idx="286">
                  <c:v>1.2806243703809825E-5</c:v>
                </c:pt>
                <c:pt idx="287">
                  <c:v>-1.1052359611366571E-5</c:v>
                </c:pt>
                <c:pt idx="288">
                  <c:v>-6.0917071550405833E-6</c:v>
                </c:pt>
                <c:pt idx="289">
                  <c:v>-5.3830404938557635E-6</c:v>
                </c:pt>
                <c:pt idx="290">
                  <c:v>-9.3962450504731575E-5</c:v>
                </c:pt>
                <c:pt idx="291">
                  <c:v>1.6585877069822129E-5</c:v>
                </c:pt>
                <c:pt idx="292">
                  <c:v>5.8871506952900333E-5</c:v>
                </c:pt>
                <c:pt idx="293">
                  <c:v>-3.6800109613294373E-5</c:v>
                </c:pt>
                <c:pt idx="294">
                  <c:v>-5.6405746366641471E-5</c:v>
                </c:pt>
                <c:pt idx="295">
                  <c:v>-1.6485426700911244E-5</c:v>
                </c:pt>
                <c:pt idx="296">
                  <c:v>-9.3017645191964681E-5</c:v>
                </c:pt>
                <c:pt idx="297">
                  <c:v>-3.5619034785829774E-5</c:v>
                </c:pt>
                <c:pt idx="298">
                  <c:v>4.6350992983940626E-5</c:v>
                </c:pt>
                <c:pt idx="299">
                  <c:v>-4.742971979177147E-5</c:v>
                </c:pt>
                <c:pt idx="300">
                  <c:v>-8.4539257036133139E-6</c:v>
                </c:pt>
                <c:pt idx="301">
                  <c:v>-5.3335009571729772E-5</c:v>
                </c:pt>
                <c:pt idx="302">
                  <c:v>-4.270546266082267E-5</c:v>
                </c:pt>
                <c:pt idx="303">
                  <c:v>1.8003243294180026E-5</c:v>
                </c:pt>
                <c:pt idx="304">
                  <c:v>-7.7452607295949334E-6</c:v>
                </c:pt>
                <c:pt idx="305">
                  <c:v>-8.2624727367617079E-5</c:v>
                </c:pt>
                <c:pt idx="306">
                  <c:v>7.1864660200133225E-5</c:v>
                </c:pt>
                <c:pt idx="307">
                  <c:v>8.7692913131751717E-5</c:v>
                </c:pt>
                <c:pt idx="308">
                  <c:v>-4.4358955215472575E-5</c:v>
                </c:pt>
                <c:pt idx="309">
                  <c:v>9.6197750335718824E-5</c:v>
                </c:pt>
                <c:pt idx="310">
                  <c:v>-2.6170385551604374E-5</c:v>
                </c:pt>
                <c:pt idx="311">
                  <c:v>1.6822104633208825E-5</c:v>
                </c:pt>
                <c:pt idx="312">
                  <c:v>-1.8138962953372733E-5</c:v>
                </c:pt>
                <c:pt idx="313">
                  <c:v>9.0266247362252253E-6</c:v>
                </c:pt>
                <c:pt idx="314">
                  <c:v>5.4832450303118262E-6</c:v>
                </c:pt>
                <c:pt idx="315">
                  <c:v>-1.4521679035929918E-4</c:v>
                </c:pt>
                <c:pt idx="316">
                  <c:v>-1.7194085432191603E-5</c:v>
                </c:pt>
                <c:pt idx="317">
                  <c:v>-6.6090315543045874E-5</c:v>
                </c:pt>
                <c:pt idx="318">
                  <c:v>-1.6012987265455052E-5</c:v>
                </c:pt>
                <c:pt idx="319">
                  <c:v>1.0753764667435382E-4</c:v>
                </c:pt>
                <c:pt idx="320">
                  <c:v>-2.0264934085717101E-5</c:v>
                </c:pt>
                <c:pt idx="321">
                  <c:v>-1.7194085432191603E-5</c:v>
                </c:pt>
                <c:pt idx="322">
                  <c:v>4.3021212736918254E-6</c:v>
                </c:pt>
                <c:pt idx="323">
                  <c:v>4.422488366301133E-5</c:v>
                </c:pt>
                <c:pt idx="324">
                  <c:v>-1.1761022223353322E-5</c:v>
                </c:pt>
                <c:pt idx="325">
                  <c:v>-2.6170385551604374E-5</c:v>
                </c:pt>
                <c:pt idx="326">
                  <c:v>-5.6878166568639171E-5</c:v>
                </c:pt>
                <c:pt idx="327">
                  <c:v>9.9715281283324263E-6</c:v>
                </c:pt>
                <c:pt idx="328">
                  <c:v>-4.2233035710389873E-5</c:v>
                </c:pt>
                <c:pt idx="329">
                  <c:v>5.627289672118953E-5</c:v>
                </c:pt>
                <c:pt idx="330">
                  <c:v>3.8082815660583928E-5</c:v>
                </c:pt>
                <c:pt idx="331">
                  <c:v>-1.5776767463254774E-5</c:v>
                </c:pt>
                <c:pt idx="332">
                  <c:v>3.8319048342083731E-5</c:v>
                </c:pt>
                <c:pt idx="333">
                  <c:v>4.9894518643248534E-5</c:v>
                </c:pt>
                <c:pt idx="334">
                  <c:v>-1.3650786713841233E-5</c:v>
                </c:pt>
                <c:pt idx="335">
                  <c:v>-2.2627118890076371E-5</c:v>
                </c:pt>
                <c:pt idx="336">
                  <c:v>6.9266015938862423E-5</c:v>
                </c:pt>
                <c:pt idx="337">
                  <c:v>6.619489967735182E-5</c:v>
                </c:pt>
                <c:pt idx="338">
                  <c:v>-1.7666524305108955E-5</c:v>
                </c:pt>
                <c:pt idx="339">
                  <c:v>2.2727811998153626E-5</c:v>
                </c:pt>
                <c:pt idx="340">
                  <c:v>-1.0506384553449717E-4</c:v>
                </c:pt>
                <c:pt idx="341">
                  <c:v>-6.136614726683277E-5</c:v>
                </c:pt>
                <c:pt idx="342">
                  <c:v>9.0527850766502815E-5</c:v>
                </c:pt>
                <c:pt idx="343">
                  <c:v>-6.4909275582836172E-5</c:v>
                </c:pt>
                <c:pt idx="344">
                  <c:v>-8.5459170298523882E-5</c:v>
                </c:pt>
                <c:pt idx="345">
                  <c:v>-7.2940319588172783E-5</c:v>
                </c:pt>
                <c:pt idx="346">
                  <c:v>7.517203546699992E-5</c:v>
                </c:pt>
                <c:pt idx="347">
                  <c:v>-2.6642820150444676E-5</c:v>
                </c:pt>
                <c:pt idx="348">
                  <c:v>-8.9480655123027357E-7</c:v>
                </c:pt>
                <c:pt idx="349">
                  <c:v>6.7612336770810324E-5</c:v>
                </c:pt>
                <c:pt idx="350">
                  <c:v>5.8871506952900333E-5</c:v>
                </c:pt>
                <c:pt idx="351">
                  <c:v>-2.5461733231552872E-5</c:v>
                </c:pt>
                <c:pt idx="352">
                  <c:v>2.627125329035983E-5</c:v>
                </c:pt>
                <c:pt idx="353">
                  <c:v>2.934224597980043E-5</c:v>
                </c:pt>
                <c:pt idx="354">
                  <c:v>-1.5776767463254774E-5</c:v>
                </c:pt>
                <c:pt idx="355">
                  <c:v>-1.2942125451586593E-5</c:v>
                </c:pt>
                <c:pt idx="356">
                  <c:v>2.5562564019574626E-5</c:v>
                </c:pt>
                <c:pt idx="357">
                  <c:v>-8.3333338859624574E-5</c:v>
                </c:pt>
                <c:pt idx="358">
                  <c:v>-9.7269262014224072E-5</c:v>
                </c:pt>
                <c:pt idx="359">
                  <c:v>-6.6798938844306178E-5</c:v>
                </c:pt>
                <c:pt idx="360">
                  <c:v>-5.2862587682792773E-5</c:v>
                </c:pt>
                <c:pt idx="361">
                  <c:v>-1.1049639783477598E-4</c:v>
                </c:pt>
                <c:pt idx="362">
                  <c:v>4.5642289370663229E-5</c:v>
                </c:pt>
                <c:pt idx="363">
                  <c:v>3.8082815660583928E-5</c:v>
                </c:pt>
                <c:pt idx="364">
                  <c:v>-4.365031588659507E-5</c:v>
                </c:pt>
                <c:pt idx="365">
                  <c:v>-1.1545652830364118E-4</c:v>
                </c:pt>
                <c:pt idx="366">
                  <c:v>-6.8688598506791481E-5</c:v>
                </c:pt>
                <c:pt idx="367">
                  <c:v>-3.4437958552469471E-5</c:v>
                </c:pt>
                <c:pt idx="368">
                  <c:v>1.3514923863222928E-5</c:v>
                </c:pt>
                <c:pt idx="369">
                  <c:v>-2.1446027190957776E-5</c:v>
                </c:pt>
                <c:pt idx="370">
                  <c:v>9.9715281283324263E-6</c:v>
                </c:pt>
                <c:pt idx="371">
                  <c:v>1.0328517035976282E-4</c:v>
                </c:pt>
                <c:pt idx="372">
                  <c:v>-8.8529807668892479E-5</c:v>
                </c:pt>
                <c:pt idx="373">
                  <c:v>2.1310439024680831E-5</c:v>
                </c:pt>
                <c:pt idx="374">
                  <c:v>-3.2784449463824371E-5</c:v>
                </c:pt>
                <c:pt idx="375">
                  <c:v>-2.5934168167826574E-5</c:v>
                </c:pt>
                <c:pt idx="376">
                  <c:v>2.7216173105493832E-5</c:v>
                </c:pt>
                <c:pt idx="377">
                  <c:v>-5.3830404938557635E-6</c:v>
                </c:pt>
                <c:pt idx="378">
                  <c:v>2.8847746218111273E-6</c:v>
                </c:pt>
                <c:pt idx="379">
                  <c:v>6.7376097114636726E-5</c:v>
                </c:pt>
                <c:pt idx="380">
                  <c:v>9.4544026281140819E-5</c:v>
                </c:pt>
                <c:pt idx="381">
                  <c:v>-4.0343325659633974E-5</c:v>
                </c:pt>
                <c:pt idx="382">
                  <c:v>9.9741454019511825E-5</c:v>
                </c:pt>
                <c:pt idx="383">
                  <c:v>1.0824639449861083E-4</c:v>
                </c:pt>
                <c:pt idx="384">
                  <c:v>-5.9712683055655271E-5</c:v>
                </c:pt>
                <c:pt idx="385">
                  <c:v>2.6979943067295629E-5</c:v>
                </c:pt>
                <c:pt idx="386">
                  <c:v>-4.6484870165209274E-5</c:v>
                </c:pt>
                <c:pt idx="387">
                  <c:v>-1.3080915592061617E-4</c:v>
                </c:pt>
                <c:pt idx="388">
                  <c:v>1.7530787661029624E-5</c:v>
                </c:pt>
                <c:pt idx="389">
                  <c:v>2.5798793720113126E-5</c:v>
                </c:pt>
                <c:pt idx="390">
                  <c:v>8.5566715221277819E-5</c:v>
                </c:pt>
                <c:pt idx="391">
                  <c:v>1.1580640279214383E-4</c:v>
                </c:pt>
                <c:pt idx="392">
                  <c:v>-6.6090315543045874E-5</c:v>
                </c:pt>
                <c:pt idx="393">
                  <c:v>-1.6485426700911244E-5</c:v>
                </c:pt>
                <c:pt idx="394">
                  <c:v>-1.1026020052735998E-4</c:v>
                </c:pt>
                <c:pt idx="395">
                  <c:v>-2.2863337061047473E-5</c:v>
                </c:pt>
                <c:pt idx="396">
                  <c:v>-1.9556277547752075E-5</c:v>
                </c:pt>
                <c:pt idx="397">
                  <c:v>-3.8217397550233371E-5</c:v>
                </c:pt>
                <c:pt idx="398">
                  <c:v>1.9184383361046925E-5</c:v>
                </c:pt>
                <c:pt idx="399">
                  <c:v>-3.4201743137126177E-5</c:v>
                </c:pt>
                <c:pt idx="400">
                  <c:v>-1.3789490392275718E-4</c:v>
                </c:pt>
                <c:pt idx="401">
                  <c:v>-4.9791839921532571E-5</c:v>
                </c:pt>
                <c:pt idx="402">
                  <c:v>3.926397963130043E-5</c:v>
                </c:pt>
                <c:pt idx="403">
                  <c:v>-2.1918464039276073E-5</c:v>
                </c:pt>
                <c:pt idx="404">
                  <c:v>-4.0579539612917872E-5</c:v>
                </c:pt>
                <c:pt idx="405">
                  <c:v>9.4990763197257264E-6</c:v>
                </c:pt>
                <c:pt idx="406">
                  <c:v>-3.703632440993437E-5</c:v>
                </c:pt>
                <c:pt idx="407">
                  <c:v>-6.9869633968044177E-5</c:v>
                </c:pt>
                <c:pt idx="408">
                  <c:v>6.076140957807373E-5</c:v>
                </c:pt>
                <c:pt idx="409">
                  <c:v>-2.5461733231552872E-5</c:v>
                </c:pt>
                <c:pt idx="410">
                  <c:v>1.9398779788189261E-6</c:v>
                </c:pt>
                <c:pt idx="411">
                  <c:v>-3.8453612009667072E-5</c:v>
                </c:pt>
                <c:pt idx="412">
                  <c:v>-1.1761022223353322E-5</c:v>
                </c:pt>
                <c:pt idx="413">
                  <c:v>9.359904234466282E-5</c:v>
                </c:pt>
                <c:pt idx="414">
                  <c:v>-1.7194085432191603E-5</c:v>
                </c:pt>
                <c:pt idx="415">
                  <c:v>-4.861078055959987E-5</c:v>
                </c:pt>
                <c:pt idx="416">
                  <c:v>-1.8138962953372733E-5</c:v>
                </c:pt>
                <c:pt idx="417">
                  <c:v>-2.6879037365507076E-5</c:v>
                </c:pt>
                <c:pt idx="418">
                  <c:v>3.8791513874252126E-5</c:v>
                </c:pt>
                <c:pt idx="419">
                  <c:v>-7.3885144020712878E-5</c:v>
                </c:pt>
                <c:pt idx="420">
                  <c:v>-7.1286874665937478E-5</c:v>
                </c:pt>
                <c:pt idx="421">
                  <c:v>-9.372624926089818E-5</c:v>
                </c:pt>
                <c:pt idx="422">
                  <c:v>5.2965584451267031E-5</c:v>
                </c:pt>
                <c:pt idx="423">
                  <c:v>2.1310439024680831E-5</c:v>
                </c:pt>
                <c:pt idx="424">
                  <c:v>-2.5225515679057873E-5</c:v>
                </c:pt>
                <c:pt idx="425">
                  <c:v>1.9420611543136931E-5</c:v>
                </c:pt>
                <c:pt idx="426">
                  <c:v>-4.4595168212621474E-5</c:v>
                </c:pt>
                <c:pt idx="427">
                  <c:v>-2.0501152819227913E-5</c:v>
                </c:pt>
                <c:pt idx="428">
                  <c:v>-1.6034764182545137E-6</c:v>
                </c:pt>
                <c:pt idx="429">
                  <c:v>5.2965584451267031E-5</c:v>
                </c:pt>
                <c:pt idx="430">
                  <c:v>6.5013703646416127E-5</c:v>
                </c:pt>
                <c:pt idx="431">
                  <c:v>1.2097564050772026E-5</c:v>
                </c:pt>
                <c:pt idx="432">
                  <c:v>8.0841847287762921E-5</c:v>
                </c:pt>
                <c:pt idx="433">
                  <c:v>-5.6405746366641471E-5</c:v>
                </c:pt>
                <c:pt idx="434">
                  <c:v>1.3399790880932281E-4</c:v>
                </c:pt>
                <c:pt idx="435">
                  <c:v>-8.5222967030318674E-5</c:v>
                </c:pt>
                <c:pt idx="436">
                  <c:v>-3.0208146338555439E-6</c:v>
                </c:pt>
                <c:pt idx="437">
                  <c:v>1.1935017650847383E-4</c:v>
                </c:pt>
                <c:pt idx="438">
                  <c:v>2.2964041024053226E-5</c:v>
                </c:pt>
                <c:pt idx="439">
                  <c:v>7.4699552610927122E-5</c:v>
                </c:pt>
                <c:pt idx="440">
                  <c:v>3.9972678688551827E-5</c:v>
                </c:pt>
                <c:pt idx="441">
                  <c:v>4.9658283205441931E-5</c:v>
                </c:pt>
                <c:pt idx="442">
                  <c:v>-2.2627118890076371E-5</c:v>
                </c:pt>
                <c:pt idx="443">
                  <c:v>-5.4516063309853173E-5</c:v>
                </c:pt>
                <c:pt idx="444">
                  <c:v>-5.7586796449617473E-5</c:v>
                </c:pt>
                <c:pt idx="445">
                  <c:v>7.3990828748947616E-5</c:v>
                </c:pt>
                <c:pt idx="446">
                  <c:v>-1.2750245620066518E-4</c:v>
                </c:pt>
                <c:pt idx="447">
                  <c:v>6.5486181890073928E-5</c:v>
                </c:pt>
                <c:pt idx="448">
                  <c:v>-8.4539257036133139E-6</c:v>
                </c:pt>
                <c:pt idx="449">
                  <c:v>3.1940785679617627E-5</c:v>
                </c:pt>
                <c:pt idx="450">
                  <c:v>8.7456668694445828E-5</c:v>
                </c:pt>
                <c:pt idx="451">
                  <c:v>-1.1997242981462305E-5</c:v>
                </c:pt>
                <c:pt idx="452">
                  <c:v>-4.6743733262957031E-6</c:v>
                </c:pt>
                <c:pt idx="453">
                  <c:v>8.5541733776046262E-6</c:v>
                </c:pt>
                <c:pt idx="454">
                  <c:v>2.816109382037383E-5</c:v>
                </c:pt>
                <c:pt idx="455">
                  <c:v>1.3966805678499583E-4</c:v>
                </c:pt>
                <c:pt idx="456">
                  <c:v>4.3021212736918254E-6</c:v>
                </c:pt>
                <c:pt idx="457">
                  <c:v>-7.199549425566037E-5</c:v>
                </c:pt>
                <c:pt idx="458">
                  <c:v>-3.9398469284410375E-5</c:v>
                </c:pt>
                <c:pt idx="459">
                  <c:v>-4.2235969179307268E-7</c:v>
                </c:pt>
                <c:pt idx="460">
                  <c:v>-6.5854107663557374E-5</c:v>
                </c:pt>
                <c:pt idx="461">
                  <c:v>-7.4593761754552972E-5</c:v>
                </c:pt>
                <c:pt idx="462">
                  <c:v>-2.7115254524178576E-5</c:v>
                </c:pt>
                <c:pt idx="463">
                  <c:v>-1.0579917588771639E-5</c:v>
                </c:pt>
                <c:pt idx="464">
                  <c:v>-8.7348794420247079E-5</c:v>
                </c:pt>
                <c:pt idx="465">
                  <c:v>-7.7664432753411075E-5</c:v>
                </c:pt>
                <c:pt idx="466">
                  <c:v>1.7530787661029624E-5</c:v>
                </c:pt>
                <c:pt idx="467">
                  <c:v>9.0055360598096824E-5</c:v>
                </c:pt>
                <c:pt idx="468">
                  <c:v>1.3987377584101428E-5</c:v>
                </c:pt>
                <c:pt idx="469">
                  <c:v>-6.0917071550405833E-6</c:v>
                </c:pt>
                <c:pt idx="470">
                  <c:v>6.6431139052255524E-5</c:v>
                </c:pt>
                <c:pt idx="471">
                  <c:v>-1.4120156900463717E-4</c:v>
                </c:pt>
                <c:pt idx="472">
                  <c:v>-6.327929262881683E-6</c:v>
                </c:pt>
                <c:pt idx="473">
                  <c:v>4.1862545316183431E-5</c:v>
                </c:pt>
                <c:pt idx="474">
                  <c:v>-2.3571991236980872E-5</c:v>
                </c:pt>
                <c:pt idx="475">
                  <c:v>2.6743713085260929E-5</c:v>
                </c:pt>
                <c:pt idx="476">
                  <c:v>6.5249942740050018E-5</c:v>
                </c:pt>
                <c:pt idx="477">
                  <c:v>-5.9004054693125469E-5</c:v>
                </c:pt>
                <c:pt idx="478">
                  <c:v>-1.5277481000184318E-4</c:v>
                </c:pt>
                <c:pt idx="479">
                  <c:v>8.0817222438639257E-6</c:v>
                </c:pt>
                <c:pt idx="480">
                  <c:v>-6.5854107663557374E-5</c:v>
                </c:pt>
                <c:pt idx="481">
                  <c:v>2.2019125258342829E-5</c:v>
                </c:pt>
                <c:pt idx="482">
                  <c:v>-8.3097135085269584E-5</c:v>
                </c:pt>
                <c:pt idx="483">
                  <c:v>1.1625111229866626E-5</c:v>
                </c:pt>
                <c:pt idx="484">
                  <c:v>-4.0579539612917872E-5</c:v>
                </c:pt>
                <c:pt idx="485">
                  <c:v>2.627125329035983E-5</c:v>
                </c:pt>
                <c:pt idx="486">
                  <c:v>-3.1367153765697271E-5</c:v>
                </c:pt>
                <c:pt idx="487">
                  <c:v>5.4383002645528332E-5</c:v>
                </c:pt>
                <c:pt idx="488">
                  <c:v>-7.4829967553506185E-5</c:v>
                </c:pt>
                <c:pt idx="489">
                  <c:v>5.8399031859146426E-5</c:v>
                </c:pt>
                <c:pt idx="490">
                  <c:v>-2.8296339474635775E-5</c:v>
                </c:pt>
                <c:pt idx="491">
                  <c:v>7.587584403387262E-7</c:v>
                </c:pt>
                <c:pt idx="492">
                  <c:v>2.8631101881442733E-7</c:v>
                </c:pt>
                <c:pt idx="493">
                  <c:v>4.2571246229543031E-5</c:v>
                </c:pt>
                <c:pt idx="494">
                  <c:v>6.784857648314672E-5</c:v>
                </c:pt>
                <c:pt idx="495">
                  <c:v>6.5013703646416127E-5</c:v>
                </c:pt>
                <c:pt idx="496">
                  <c:v>3.2885710894359927E-5</c:v>
                </c:pt>
                <c:pt idx="497">
                  <c:v>-3.9398469284410375E-5</c:v>
                </c:pt>
                <c:pt idx="498">
                  <c:v>-8.1443707089946585E-5</c:v>
                </c:pt>
                <c:pt idx="499">
                  <c:v>-5.3571220431952469E-5</c:v>
                </c:pt>
                <c:pt idx="500">
                  <c:v>2.8397324139841832E-5</c:v>
                </c:pt>
                <c:pt idx="501">
                  <c:v>-1.3836728532334717E-4</c:v>
                </c:pt>
                <c:pt idx="502">
                  <c:v>-7.3648937996878978E-5</c:v>
                </c:pt>
                <c:pt idx="503">
                  <c:v>2.1761020553217274E-6</c:v>
                </c:pt>
                <c:pt idx="504">
                  <c:v>-2.5225515679057873E-5</c:v>
                </c:pt>
                <c:pt idx="505">
                  <c:v>-5.2153954427710672E-5</c:v>
                </c:pt>
                <c:pt idx="506">
                  <c:v>1.6585877069822129E-5</c:v>
                </c:pt>
                <c:pt idx="507">
                  <c:v>-5.3830404938557635E-6</c:v>
                </c:pt>
                <c:pt idx="508">
                  <c:v>9.6906490059996825E-5</c:v>
                </c:pt>
                <c:pt idx="509">
                  <c:v>1.0517515758280783E-4</c:v>
                </c:pt>
                <c:pt idx="510">
                  <c:v>1.1388884903658428E-5</c:v>
                </c:pt>
                <c:pt idx="511">
                  <c:v>4.1153844908973525E-5</c:v>
                </c:pt>
                <c:pt idx="512">
                  <c:v>2.1074210392604626E-5</c:v>
                </c:pt>
                <c:pt idx="513">
                  <c:v>1.0517515758280783E-4</c:v>
                </c:pt>
                <c:pt idx="514">
                  <c:v>-9.3988115482942428E-6</c:v>
                </c:pt>
                <c:pt idx="515">
                  <c:v>1.2097564050772026E-5</c:v>
                </c:pt>
                <c:pt idx="516">
                  <c:v>-3.6327679851070073E-5</c:v>
                </c:pt>
                <c:pt idx="517">
                  <c:v>6.8084816251873026E-5</c:v>
                </c:pt>
                <c:pt idx="518">
                  <c:v>-2.0264934085717101E-5</c:v>
                </c:pt>
                <c:pt idx="519">
                  <c:v>4.9185812498770532E-5</c:v>
                </c:pt>
                <c:pt idx="520">
                  <c:v>-5.0736686398869875E-5</c:v>
                </c:pt>
                <c:pt idx="521">
                  <c:v>-1.0270185699525828E-4</c:v>
                </c:pt>
                <c:pt idx="522">
                  <c:v>7.4227069979959618E-5</c:v>
                </c:pt>
                <c:pt idx="523">
                  <c:v>2.6485503768183261E-6</c:v>
                </c:pt>
                <c:pt idx="524">
                  <c:v>7.5880760172789027E-5</c:v>
                </c:pt>
                <c:pt idx="525">
                  <c:v>-3.1839585889953175E-5</c:v>
                </c:pt>
                <c:pt idx="526">
                  <c:v>-8.3097135085269584E-5</c:v>
                </c:pt>
                <c:pt idx="527">
                  <c:v>8.6984179988550424E-5</c:v>
                </c:pt>
                <c:pt idx="528">
                  <c:v>-1.9320058589361354E-5</c:v>
                </c:pt>
                <c:pt idx="529">
                  <c:v>-6.0893729201986772E-5</c:v>
                </c:pt>
                <c:pt idx="530">
                  <c:v>6.9005953939563258E-6</c:v>
                </c:pt>
                <c:pt idx="531">
                  <c:v>4.8477106860895827E-5</c:v>
                </c:pt>
                <c:pt idx="532">
                  <c:v>-2.0028715296042685E-5</c:v>
                </c:pt>
                <c:pt idx="533">
                  <c:v>-4.1996822150928468E-5</c:v>
                </c:pt>
                <c:pt idx="534">
                  <c:v>-4.3886529052459373E-5</c:v>
                </c:pt>
                <c:pt idx="535">
                  <c:v>7.6117001853787119E-5</c:v>
                </c:pt>
                <c:pt idx="536">
                  <c:v>-3.8453612009667072E-5</c:v>
                </c:pt>
                <c:pt idx="537">
                  <c:v>-7.5090389591864328E-6</c:v>
                </c:pt>
                <c:pt idx="538">
                  <c:v>-5.7114376585053169E-5</c:v>
                </c:pt>
                <c:pt idx="539">
                  <c:v>-1.0813442222896218E-4</c:v>
                </c:pt>
                <c:pt idx="540">
                  <c:v>-1.8375182193033304E-5</c:v>
                </c:pt>
                <c:pt idx="541">
                  <c:v>-9.7033061557583972E-5</c:v>
                </c:pt>
                <c:pt idx="542">
                  <c:v>3.2885710894359927E-5</c:v>
                </c:pt>
                <c:pt idx="543">
                  <c:v>2.4145186996451926E-5</c:v>
                </c:pt>
                <c:pt idx="544">
                  <c:v>2.9814707237212726E-5</c:v>
                </c:pt>
                <c:pt idx="545">
                  <c:v>7.2809623437016422E-5</c:v>
                </c:pt>
                <c:pt idx="546">
                  <c:v>-1.6883541056537417E-4</c:v>
                </c:pt>
                <c:pt idx="547">
                  <c:v>-5.2390165568976774E-5</c:v>
                </c:pt>
                <c:pt idx="548">
                  <c:v>1.7530787661029624E-5</c:v>
                </c:pt>
                <c:pt idx="549">
                  <c:v>-3.1130937619324374E-5</c:v>
                </c:pt>
                <c:pt idx="550">
                  <c:v>5.9107744584248528E-5</c:v>
                </c:pt>
                <c:pt idx="551">
                  <c:v>-6.4909275582836172E-5</c:v>
                </c:pt>
                <c:pt idx="552">
                  <c:v>-1.6957865911262043E-5</c:v>
                </c:pt>
                <c:pt idx="553">
                  <c:v>7.3282105393117919E-5</c:v>
                </c:pt>
                <c:pt idx="554">
                  <c:v>-1.1758229091321218E-4</c:v>
                </c:pt>
                <c:pt idx="555">
                  <c:v>5.8871506952900333E-5</c:v>
                </c:pt>
                <c:pt idx="556">
                  <c:v>2.9814707237212726E-5</c:v>
                </c:pt>
                <c:pt idx="557">
                  <c:v>9.6670243428923823E-5</c:v>
                </c:pt>
                <c:pt idx="558">
                  <c:v>-7.4593761754552972E-5</c:v>
                </c:pt>
                <c:pt idx="559">
                  <c:v>8.2968035073432625E-5</c:v>
                </c:pt>
                <c:pt idx="560">
                  <c:v>-1.8375182193033304E-5</c:v>
                </c:pt>
                <c:pt idx="561">
                  <c:v>-3.254823365465777E-5</c:v>
                </c:pt>
                <c:pt idx="562">
                  <c:v>-8.0971298585100785E-5</c:v>
                </c:pt>
                <c:pt idx="563">
                  <c:v>-1.7430304896732083E-5</c:v>
                </c:pt>
                <c:pt idx="564">
                  <c:v>1.0423016352129882E-4</c:v>
                </c:pt>
                <c:pt idx="565">
                  <c:v>4.2571246229543031E-5</c:v>
                </c:pt>
                <c:pt idx="566">
                  <c:v>-1.5068107719675753E-5</c:v>
                </c:pt>
                <c:pt idx="567">
                  <c:v>7.824317951487992E-5</c:v>
                </c:pt>
                <c:pt idx="568">
                  <c:v>1.2333790545470127E-5</c:v>
                </c:pt>
                <c:pt idx="569">
                  <c:v>-1.8611401376303063E-5</c:v>
                </c:pt>
                <c:pt idx="570">
                  <c:v>6.1919199590592254E-6</c:v>
                </c:pt>
                <c:pt idx="571">
                  <c:v>-3.4674173911649073E-5</c:v>
                </c:pt>
                <c:pt idx="572">
                  <c:v>9.7353021959468272E-6</c:v>
                </c:pt>
                <c:pt idx="573">
                  <c:v>-2.1209808682326893E-5</c:v>
                </c:pt>
                <c:pt idx="574">
                  <c:v>-2.8532556296101175E-5</c:v>
                </c:pt>
                <c:pt idx="575">
                  <c:v>-8.4041949845256773E-5</c:v>
                </c:pt>
                <c:pt idx="576">
                  <c:v>-4.6012445014495569E-5</c:v>
                </c:pt>
                <c:pt idx="577">
                  <c:v>2.8633554515472726E-5</c:v>
                </c:pt>
                <c:pt idx="578">
                  <c:v>3.1232092359408927E-5</c:v>
                </c:pt>
                <c:pt idx="579">
                  <c:v>5.8871506952900333E-5</c:v>
                </c:pt>
                <c:pt idx="580">
                  <c:v>-7.6483406570888683E-5</c:v>
                </c:pt>
                <c:pt idx="581">
                  <c:v>-9.6350328689429326E-6</c:v>
                </c:pt>
                <c:pt idx="582">
                  <c:v>3.7846583035021531E-5</c:v>
                </c:pt>
                <c:pt idx="583">
                  <c:v>3.6901653095989525E-5</c:v>
                </c:pt>
                <c:pt idx="584">
                  <c:v>-5.0736686398869875E-5</c:v>
                </c:pt>
                <c:pt idx="585">
                  <c:v>7.6117001853787119E-5</c:v>
                </c:pt>
                <c:pt idx="586">
                  <c:v>5.2729348282430724E-5</c:v>
                </c:pt>
                <c:pt idx="587">
                  <c:v>-7.3648937996878978E-5</c:v>
                </c:pt>
                <c:pt idx="588">
                  <c:v>2.9106015435452431E-5</c:v>
                </c:pt>
                <c:pt idx="589">
                  <c:v>-5.8554849908086734E-6</c:v>
                </c:pt>
                <c:pt idx="590">
                  <c:v>5.3910529689152522E-5</c:v>
                </c:pt>
                <c:pt idx="591">
                  <c:v>-1.8613617782897341E-7</c:v>
                </c:pt>
                <c:pt idx="592">
                  <c:v>4.7295931922244628E-5</c:v>
                </c:pt>
                <c:pt idx="593">
                  <c:v>6.3123792921716525E-5</c:v>
                </c:pt>
                <c:pt idx="594">
                  <c:v>-2.0973590117532372E-5</c:v>
                </c:pt>
                <c:pt idx="595">
                  <c:v>2.6979943067295629E-5</c:v>
                </c:pt>
                <c:pt idx="596">
                  <c:v>4.4697352007197529E-5</c:v>
                </c:pt>
                <c:pt idx="597">
                  <c:v>-7.0365952494259234E-6</c:v>
                </c:pt>
                <c:pt idx="598">
                  <c:v>-8.2388523424545783E-5</c:v>
                </c:pt>
                <c:pt idx="599">
                  <c:v>2.1310439024680831E-5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647936"/>
        <c:axId val="131989504"/>
      </c:scatterChart>
      <c:valAx>
        <c:axId val="97647936"/>
        <c:scaling>
          <c:orientation val="minMax"/>
          <c:max val="1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/>
                  <a:t># cycle</a:t>
                </a:r>
              </a:p>
            </c:rich>
          </c:tx>
          <c:layout>
            <c:manualLayout>
              <c:xMode val="edge"/>
              <c:yMode val="edge"/>
              <c:x val="0.52627763762539415"/>
              <c:y val="0.8771039131472202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1989504"/>
        <c:crossesAt val="0"/>
        <c:crossBetween val="midCat"/>
      </c:valAx>
      <c:valAx>
        <c:axId val="131989504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/>
                  <a:t>m/z 82 (V)</a:t>
                </a:r>
              </a:p>
            </c:rich>
          </c:tx>
          <c:layout>
            <c:manualLayout>
              <c:xMode val="edge"/>
              <c:yMode val="edge"/>
              <c:x val="5.1448496122450713E-2"/>
              <c:y val="0.34220353137675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97647936"/>
        <c:crossesAt val="1"/>
        <c:crossBetween val="midCat"/>
      </c:valAx>
      <c:spPr>
        <a:noFill/>
        <a:ln w="3175">
          <a:solidFill>
            <a:srgbClr val="B3B3B3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4901477121185095"/>
          <c:y val="0.100137198759246"/>
          <c:w val="0.13561586355103677"/>
          <c:h val="0.12710033404915289"/>
        </c:manualLayout>
      </c:layout>
      <c:overlay val="1"/>
      <c:spPr>
        <a:ln>
          <a:solidFill>
            <a:schemeClr val="tx1"/>
          </a:solidFill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22" r="0.75000000000000022" t="1" header="0.51180555555555562" footer="0.51180555555555562"/>
    <c:pageSetup firstPageNumber="0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571186475706297"/>
          <c:y val="6.0229454321042729E-2"/>
          <c:w val="0.74513815694298069"/>
          <c:h val="0.7131294565516425"/>
        </c:manualLayout>
      </c:layout>
      <c:scatterChart>
        <c:scatterStyle val="lineMarker"/>
        <c:varyColors val="0"/>
        <c:ser>
          <c:idx val="4"/>
          <c:order val="0"/>
          <c:spPr>
            <a:ln w="12700">
              <a:solidFill>
                <a:schemeClr val="accent2">
                  <a:lumMod val="40000"/>
                  <a:lumOff val="60000"/>
                </a:schemeClr>
              </a:solidFill>
              <a:prstDash val="solid"/>
            </a:ln>
          </c:spPr>
          <c:marker>
            <c:symbol val="none"/>
          </c:marker>
          <c:trendline>
            <c:spPr>
              <a:ln w="19050">
                <a:solidFill>
                  <a:srgbClr val="C00000"/>
                </a:solidFill>
              </a:ln>
            </c:spPr>
            <c:trendlineType val="movingAvg"/>
            <c:period val="10"/>
            <c:dispRSqr val="0"/>
            <c:dispEq val="0"/>
          </c:trendline>
          <c:yVal>
            <c:numRef>
              <c:f>Data!$BF$67:$BF$1633</c:f>
              <c:numCache>
                <c:formatCode>General</c:formatCode>
                <c:ptCount val="156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0.70894228787283498</c:v>
                </c:pt>
                <c:pt idx="109">
                  <c:v>0.70877851450523999</c:v>
                </c:pt>
                <c:pt idx="110">
                  <c:v>0.70905755831204997</c:v>
                </c:pt>
                <c:pt idx="111">
                  <c:v>0.70898705966998166</c:v>
                </c:pt>
                <c:pt idx="112">
                  <c:v>0.70881832927049271</c:v>
                </c:pt>
                <c:pt idx="113">
                  <c:v>0.7092688455293249</c:v>
                </c:pt>
                <c:pt idx="114">
                  <c:v>0.70906915493806433</c:v>
                </c:pt>
                <c:pt idx="115">
                  <c:v>0.70873877913594563</c:v>
                </c:pt>
                <c:pt idx="116">
                  <c:v>0.70871042385205607</c:v>
                </c:pt>
                <c:pt idx="117">
                  <c:v>0.70853343689119552</c:v>
                </c:pt>
                <c:pt idx="118">
                  <c:v>0.70918035784980027</c:v>
                </c:pt>
                <c:pt idx="119">
                  <c:v>0.70911570993053419</c:v>
                </c:pt>
                <c:pt idx="120">
                  <c:v>0.70916268998320375</c:v>
                </c:pt>
                <c:pt idx="121">
                  <c:v>0.70909217301657634</c:v>
                </c:pt>
                <c:pt idx="122">
                  <c:v>0.70928902499538349</c:v>
                </c:pt>
                <c:pt idx="123">
                  <c:v>0.70874122611541435</c:v>
                </c:pt>
                <c:pt idx="124">
                  <c:v>0.70853533791468148</c:v>
                </c:pt>
                <c:pt idx="125">
                  <c:v>0.70874303923905579</c:v>
                </c:pt>
                <c:pt idx="126">
                  <c:v>0.70940659790776495</c:v>
                </c:pt>
                <c:pt idx="127">
                  <c:v>0.70829609786852465</c:v>
                </c:pt>
                <c:pt idx="128">
                  <c:v>0.70882012343091649</c:v>
                </c:pt>
                <c:pt idx="129">
                  <c:v>0.70906823198287749</c:v>
                </c:pt>
                <c:pt idx="130">
                  <c:v>0.70870130215870453</c:v>
                </c:pt>
                <c:pt idx="131">
                  <c:v>0.70892865538834549</c:v>
                </c:pt>
                <c:pt idx="132">
                  <c:v>0.70919156312699061</c:v>
                </c:pt>
                <c:pt idx="133">
                  <c:v>0.70848083500119763</c:v>
                </c:pt>
                <c:pt idx="134">
                  <c:v>0.70834975987533588</c:v>
                </c:pt>
                <c:pt idx="135">
                  <c:v>0.70870487566990936</c:v>
                </c:pt>
                <c:pt idx="136">
                  <c:v>0.70867338674752556</c:v>
                </c:pt>
                <c:pt idx="137">
                  <c:v>0.70890055730715995</c:v>
                </c:pt>
                <c:pt idx="138">
                  <c:v>0.70922213829760095</c:v>
                </c:pt>
                <c:pt idx="139">
                  <c:v>0.70881064661407134</c:v>
                </c:pt>
                <c:pt idx="140">
                  <c:v>0.7091172966531557</c:v>
                </c:pt>
                <c:pt idx="141">
                  <c:v>0.70923547894531724</c:v>
                </c:pt>
                <c:pt idx="142">
                  <c:v>0.70895068436945641</c:v>
                </c:pt>
                <c:pt idx="143">
                  <c:v>0.70834478827613756</c:v>
                </c:pt>
                <c:pt idx="144">
                  <c:v>0.70855043463548839</c:v>
                </c:pt>
                <c:pt idx="145">
                  <c:v>0.70903562507005213</c:v>
                </c:pt>
                <c:pt idx="146">
                  <c:v>0.70837229416436787</c:v>
                </c:pt>
                <c:pt idx="147">
                  <c:v>0.70892433751523798</c:v>
                </c:pt>
                <c:pt idx="148">
                  <c:v>0.70872589866741964</c:v>
                </c:pt>
                <c:pt idx="149">
                  <c:v>0.70865642114234562</c:v>
                </c:pt>
                <c:pt idx="150">
                  <c:v>0.7087560703328778</c:v>
                </c:pt>
                <c:pt idx="151">
                  <c:v>0.70834763567265158</c:v>
                </c:pt>
                <c:pt idx="152">
                  <c:v>0.70895302198143073</c:v>
                </c:pt>
                <c:pt idx="153">
                  <c:v>0.70903470362673504</c:v>
                </c:pt>
                <c:pt idx="154">
                  <c:v>0.70923002111982225</c:v>
                </c:pt>
                <c:pt idx="155">
                  <c:v>0.70849569781260802</c:v>
                </c:pt>
                <c:pt idx="156">
                  <c:v>0.70844149874002693</c:v>
                </c:pt>
                <c:pt idx="157">
                  <c:v>0.70803658410489179</c:v>
                </c:pt>
                <c:pt idx="158">
                  <c:v>0.70859737425257519</c:v>
                </c:pt>
                <c:pt idx="159">
                  <c:v>0.70895552115048599</c:v>
                </c:pt>
                <c:pt idx="160">
                  <c:v>0.70849726784688827</c:v>
                </c:pt>
                <c:pt idx="161">
                  <c:v>0.7085122275224196</c:v>
                </c:pt>
                <c:pt idx="162">
                  <c:v>0.70871701676594334</c:v>
                </c:pt>
                <c:pt idx="163">
                  <c:v>0.70886832670270883</c:v>
                </c:pt>
                <c:pt idx="164">
                  <c:v>0.70866308059689564</c:v>
                </c:pt>
                <c:pt idx="165">
                  <c:v>0.70867535768655954</c:v>
                </c:pt>
                <c:pt idx="166">
                  <c:v>0.70920956798138768</c:v>
                </c:pt>
                <c:pt idx="167">
                  <c:v>0.70810300480771915</c:v>
                </c:pt>
                <c:pt idx="168">
                  <c:v>0.70807204622905029</c:v>
                </c:pt>
                <c:pt idx="169">
                  <c:v>0.70842929608936478</c:v>
                </c:pt>
                <c:pt idx="170">
                  <c:v>0.70881455358017675</c:v>
                </c:pt>
                <c:pt idx="171">
                  <c:v>0.70897419873247336</c:v>
                </c:pt>
                <c:pt idx="172">
                  <c:v>0.70827102119932683</c:v>
                </c:pt>
                <c:pt idx="173">
                  <c:v>0.70847726988990445</c:v>
                </c:pt>
                <c:pt idx="174">
                  <c:v>#N/A</c:v>
                </c:pt>
                <c:pt idx="175">
                  <c:v>0.70904652502139365</c:v>
                </c:pt>
                <c:pt idx="176">
                  <c:v>0.70790184783248722</c:v>
                </c:pt>
                <c:pt idx="177">
                  <c:v>0.70920880090948513</c:v>
                </c:pt>
                <c:pt idx="178">
                  <c:v>0.70878209348387322</c:v>
                </c:pt>
                <c:pt idx="179">
                  <c:v>0.70848348995342425</c:v>
                </c:pt>
                <c:pt idx="180">
                  <c:v>0.70876889443744218</c:v>
                </c:pt>
                <c:pt idx="181">
                  <c:v>0.7086774266671465</c:v>
                </c:pt>
                <c:pt idx="182">
                  <c:v>0.70861421533049584</c:v>
                </c:pt>
                <c:pt idx="183">
                  <c:v>0.70836393994713098</c:v>
                </c:pt>
                <c:pt idx="184">
                  <c:v>0.70837061977806715</c:v>
                </c:pt>
                <c:pt idx="185">
                  <c:v>0.70873931200074236</c:v>
                </c:pt>
                <c:pt idx="186">
                  <c:v>0.70832952262006033</c:v>
                </c:pt>
                <c:pt idx="187">
                  <c:v>0.70866288040706882</c:v>
                </c:pt>
                <c:pt idx="188">
                  <c:v>0.70899525688715737</c:v>
                </c:pt>
                <c:pt idx="189">
                  <c:v>0.70820379829177316</c:v>
                </c:pt>
                <c:pt idx="190">
                  <c:v>0.70854771423858609</c:v>
                </c:pt>
                <c:pt idx="191">
                  <c:v>0.7084336186158422</c:v>
                </c:pt>
                <c:pt idx="192">
                  <c:v>0.70881183105579049</c:v>
                </c:pt>
                <c:pt idx="193">
                  <c:v>0.70826981770709285</c:v>
                </c:pt>
                <c:pt idx="194">
                  <c:v>0.7085675164276416</c:v>
                </c:pt>
                <c:pt idx="195">
                  <c:v>0.7092741033833031</c:v>
                </c:pt>
                <c:pt idx="196">
                  <c:v>0.70806619907640633</c:v>
                </c:pt>
                <c:pt idx="197">
                  <c:v>0.70816502183015295</c:v>
                </c:pt>
                <c:pt idx="198">
                  <c:v>0.70859621914356663</c:v>
                </c:pt>
                <c:pt idx="199">
                  <c:v>0.70854189569348802</c:v>
                </c:pt>
                <c:pt idx="200">
                  <c:v>0.70851571621605058</c:v>
                </c:pt>
                <c:pt idx="201">
                  <c:v>0.70921165535245656</c:v>
                </c:pt>
                <c:pt idx="202">
                  <c:v>0.70881716727793587</c:v>
                </c:pt>
                <c:pt idx="203">
                  <c:v>0.70873883895279</c:v>
                </c:pt>
                <c:pt idx="204">
                  <c:v>0.70850036941135064</c:v>
                </c:pt>
                <c:pt idx="205">
                  <c:v>0.70847062968498919</c:v>
                </c:pt>
                <c:pt idx="206">
                  <c:v>0.70915487436933156</c:v>
                </c:pt>
                <c:pt idx="207">
                  <c:v>0.70844076490690311</c:v>
                </c:pt>
                <c:pt idx="208">
                  <c:v>0.70859303612327307</c:v>
                </c:pt>
                <c:pt idx="209">
                  <c:v>0.70849867180485082</c:v>
                </c:pt>
                <c:pt idx="210">
                  <c:v>0.70888517736696866</c:v>
                </c:pt>
                <c:pt idx="211">
                  <c:v>0.70816278481415618</c:v>
                </c:pt>
                <c:pt idx="212">
                  <c:v>0.70915945507119138</c:v>
                </c:pt>
                <c:pt idx="213">
                  <c:v>0.70802767166328751</c:v>
                </c:pt>
                <c:pt idx="214">
                  <c:v>0.70879083148372224</c:v>
                </c:pt>
                <c:pt idx="215">
                  <c:v>0.70924457332917246</c:v>
                </c:pt>
                <c:pt idx="216">
                  <c:v>0.70834767482757699</c:v>
                </c:pt>
                <c:pt idx="217">
                  <c:v>0.70873255741081298</c:v>
                </c:pt>
                <c:pt idx="218">
                  <c:v>0.70893003228822993</c:v>
                </c:pt>
                <c:pt idx="219">
                  <c:v>0.7084410290976999</c:v>
                </c:pt>
                <c:pt idx="220">
                  <c:v>0.70934427918387843</c:v>
                </c:pt>
                <c:pt idx="221">
                  <c:v>0.70862960849840761</c:v>
                </c:pt>
                <c:pt idx="222">
                  <c:v>0.708208471031328</c:v>
                </c:pt>
                <c:pt idx="223">
                  <c:v>0.70883369464878476</c:v>
                </c:pt>
                <c:pt idx="224">
                  <c:v>0.70814522396574719</c:v>
                </c:pt>
                <c:pt idx="225">
                  <c:v>0.70904164438600803</c:v>
                </c:pt>
                <c:pt idx="226">
                  <c:v>0.70915054425738144</c:v>
                </c:pt>
                <c:pt idx="227">
                  <c:v>0.70905108157755303</c:v>
                </c:pt>
                <c:pt idx="228">
                  <c:v>0.70789964621713819</c:v>
                </c:pt>
                <c:pt idx="229">
                  <c:v>0.70864969781353648</c:v>
                </c:pt>
                <c:pt idx="230">
                  <c:v>0.70824735354740209</c:v>
                </c:pt>
                <c:pt idx="231">
                  <c:v>0.70831457343816184</c:v>
                </c:pt>
                <c:pt idx="232">
                  <c:v>0.70888622939419299</c:v>
                </c:pt>
                <c:pt idx="233">
                  <c:v>0.70896974388652001</c:v>
                </c:pt>
                <c:pt idx="234">
                  <c:v>0.70814759966864982</c:v>
                </c:pt>
                <c:pt idx="235">
                  <c:v>0.70893471391627305</c:v>
                </c:pt>
                <c:pt idx="236">
                  <c:v>0.70839954640564784</c:v>
                </c:pt>
                <c:pt idx="237">
                  <c:v>0.70843993769653102</c:v>
                </c:pt>
                <c:pt idx="238">
                  <c:v>0.70880234692917143</c:v>
                </c:pt>
                <c:pt idx="239">
                  <c:v>0.70806029780978552</c:v>
                </c:pt>
                <c:pt idx="240">
                  <c:v>0.70841050253103244</c:v>
                </c:pt>
                <c:pt idx="241">
                  <c:v>0.70789328704675492</c:v>
                </c:pt>
                <c:pt idx="242">
                  <c:v>0.70889879706861347</c:v>
                </c:pt>
                <c:pt idx="243">
                  <c:v>0.70867343928166127</c:v>
                </c:pt>
                <c:pt idx="244">
                  <c:v>0.70857651861277171</c:v>
                </c:pt>
                <c:pt idx="245">
                  <c:v>0.70918603581586903</c:v>
                </c:pt>
                <c:pt idx="246">
                  <c:v>0.70812409727939396</c:v>
                </c:pt>
                <c:pt idx="247">
                  <c:v>0.70866686169073234</c:v>
                </c:pt>
                <c:pt idx="248">
                  <c:v>0.70838269134310572</c:v>
                </c:pt>
                <c:pt idx="249">
                  <c:v>0.70882915568266003</c:v>
                </c:pt>
                <c:pt idx="250">
                  <c:v>0.70947855407864779</c:v>
                </c:pt>
                <c:pt idx="251">
                  <c:v>#N/A</c:v>
                </c:pt>
                <c:pt idx="252">
                  <c:v>0.70840060617868217</c:v>
                </c:pt>
                <c:pt idx="253">
                  <c:v>0.70884634077158049</c:v>
                </c:pt>
                <c:pt idx="254">
                  <c:v>0.70856786948384287</c:v>
                </c:pt>
                <c:pt idx="255">
                  <c:v>0.7086899306020038</c:v>
                </c:pt>
                <c:pt idx="256">
                  <c:v>0.7085314511926275</c:v>
                </c:pt>
                <c:pt idx="257">
                  <c:v>0.70843017398123354</c:v>
                </c:pt>
                <c:pt idx="258">
                  <c:v>0.70930363733387936</c:v>
                </c:pt>
                <c:pt idx="259">
                  <c:v>0.70897355186520195</c:v>
                </c:pt>
                <c:pt idx="260">
                  <c:v>0.7084388638204443</c:v>
                </c:pt>
                <c:pt idx="261">
                  <c:v>0.70841398257203503</c:v>
                </c:pt>
                <c:pt idx="262">
                  <c:v>0.70897458935193169</c:v>
                </c:pt>
                <c:pt idx="263">
                  <c:v>0.70915669136545934</c:v>
                </c:pt>
                <c:pt idx="264">
                  <c:v>0.70870988574021121</c:v>
                </c:pt>
                <c:pt idx="265">
                  <c:v>0.70846877508094752</c:v>
                </c:pt>
                <c:pt idx="266">
                  <c:v>0.70878517537197994</c:v>
                </c:pt>
                <c:pt idx="267">
                  <c:v>0.70866060407625919</c:v>
                </c:pt>
                <c:pt idx="268">
                  <c:v>0.70840908284490933</c:v>
                </c:pt>
                <c:pt idx="269">
                  <c:v>0.70907481445113885</c:v>
                </c:pt>
                <c:pt idx="270">
                  <c:v>0.70861313052292774</c:v>
                </c:pt>
                <c:pt idx="271">
                  <c:v>0.70832658841425089</c:v>
                </c:pt>
                <c:pt idx="272">
                  <c:v>0.70890556376790848</c:v>
                </c:pt>
                <c:pt idx="273">
                  <c:v>0.70873913530041976</c:v>
                </c:pt>
                <c:pt idx="274">
                  <c:v>0.70916885276266584</c:v>
                </c:pt>
                <c:pt idx="275">
                  <c:v>0.70890561876800307</c:v>
                </c:pt>
                <c:pt idx="276">
                  <c:v>0.70850125255154539</c:v>
                </c:pt>
                <c:pt idx="277">
                  <c:v>0.70838599658442614</c:v>
                </c:pt>
                <c:pt idx="278">
                  <c:v>0.70868212653899454</c:v>
                </c:pt>
                <c:pt idx="279">
                  <c:v>0.70894624418749885</c:v>
                </c:pt>
                <c:pt idx="280">
                  <c:v>0.70901243013879012</c:v>
                </c:pt>
                <c:pt idx="281">
                  <c:v>#N/A</c:v>
                </c:pt>
                <c:pt idx="282">
                  <c:v>0.70862531792380723</c:v>
                </c:pt>
                <c:pt idx="283">
                  <c:v>0.70923990215996047</c:v>
                </c:pt>
                <c:pt idx="284">
                  <c:v>#N/A</c:v>
                </c:pt>
                <c:pt idx="285">
                  <c:v>0.70877358883204178</c:v>
                </c:pt>
                <c:pt idx="286">
                  <c:v>0.70876634262820215</c:v>
                </c:pt>
                <c:pt idx="287">
                  <c:v>0.70907967967905605</c:v>
                </c:pt>
                <c:pt idx="288">
                  <c:v>0.70877700488033868</c:v>
                </c:pt>
                <c:pt idx="289">
                  <c:v>0.70879831373784741</c:v>
                </c:pt>
                <c:pt idx="290">
                  <c:v>0.70848657345030519</c:v>
                </c:pt>
                <c:pt idx="291">
                  <c:v>0.70831747467891515</c:v>
                </c:pt>
                <c:pt idx="292">
                  <c:v>#N/A</c:v>
                </c:pt>
                <c:pt idx="293">
                  <c:v>0.70903498091167583</c:v>
                </c:pt>
                <c:pt idx="294">
                  <c:v>0.70806024345009422</c:v>
                </c:pt>
                <c:pt idx="295">
                  <c:v>0.709002419449275</c:v>
                </c:pt>
                <c:pt idx="296">
                  <c:v>0.70885544645015763</c:v>
                </c:pt>
                <c:pt idx="297">
                  <c:v>0.70840113489233703</c:v>
                </c:pt>
                <c:pt idx="298">
                  <c:v>0.70868987541943274</c:v>
                </c:pt>
                <c:pt idx="299">
                  <c:v>0.70814885264686978</c:v>
                </c:pt>
                <c:pt idx="300">
                  <c:v>0.70832144100877914</c:v>
                </c:pt>
                <c:pt idx="301">
                  <c:v>0.70868940815813797</c:v>
                </c:pt>
                <c:pt idx="302">
                  <c:v>0.70801664844672463</c:v>
                </c:pt>
                <c:pt idx="303">
                  <c:v>0.707905564339816</c:v>
                </c:pt>
                <c:pt idx="304">
                  <c:v>0.70883866980035315</c:v>
                </c:pt>
                <c:pt idx="305">
                  <c:v>0.70852307731172981</c:v>
                </c:pt>
                <c:pt idx="306">
                  <c:v>0.70888373489209677</c:v>
                </c:pt>
                <c:pt idx="307">
                  <c:v>0.70901697709809786</c:v>
                </c:pt>
                <c:pt idx="308">
                  <c:v>0.70861751462941469</c:v>
                </c:pt>
                <c:pt idx="309">
                  <c:v>0.70790550957351717</c:v>
                </c:pt>
                <c:pt idx="310">
                  <c:v>0.70835587285698753</c:v>
                </c:pt>
                <c:pt idx="311">
                  <c:v>0.70841741023259708</c:v>
                </c:pt>
                <c:pt idx="312">
                  <c:v>#N/A</c:v>
                </c:pt>
                <c:pt idx="313">
                  <c:v>0.70817587155776029</c:v>
                </c:pt>
                <c:pt idx="314">
                  <c:v>0.70936680069795377</c:v>
                </c:pt>
                <c:pt idx="315">
                  <c:v>#N/A</c:v>
                </c:pt>
                <c:pt idx="316">
                  <c:v>0.70834814271591651</c:v>
                </c:pt>
                <c:pt idx="317">
                  <c:v>0.70852663366354141</c:v>
                </c:pt>
                <c:pt idx="318">
                  <c:v>0.70845285147634218</c:v>
                </c:pt>
                <c:pt idx="319">
                  <c:v>0.70796832808597165</c:v>
                </c:pt>
                <c:pt idx="320">
                  <c:v>0.70842112312849725</c:v>
                </c:pt>
                <c:pt idx="321">
                  <c:v>0.70812557908113627</c:v>
                </c:pt>
                <c:pt idx="322">
                  <c:v>0.70879449881964685</c:v>
                </c:pt>
                <c:pt idx="323">
                  <c:v>0.70846181039839251</c:v>
                </c:pt>
                <c:pt idx="324">
                  <c:v>0.70879214686075509</c:v>
                </c:pt>
                <c:pt idx="325">
                  <c:v>0.70819989829739904</c:v>
                </c:pt>
                <c:pt idx="326">
                  <c:v>0.70885441166537699</c:v>
                </c:pt>
                <c:pt idx="327">
                  <c:v>0.70843811743944229</c:v>
                </c:pt>
                <c:pt idx="328">
                  <c:v>0.70840048369307618</c:v>
                </c:pt>
                <c:pt idx="329">
                  <c:v>0.70894238430820733</c:v>
                </c:pt>
                <c:pt idx="330">
                  <c:v>0.70851275174459105</c:v>
                </c:pt>
                <c:pt idx="331">
                  <c:v>0.70855694046656015</c:v>
                </c:pt>
                <c:pt idx="332">
                  <c:v>0.70850632764767663</c:v>
                </c:pt>
                <c:pt idx="333">
                  <c:v>0.7086703403043374</c:v>
                </c:pt>
                <c:pt idx="334">
                  <c:v>0.70903605006212378</c:v>
                </c:pt>
                <c:pt idx="335">
                  <c:v>0.70926012434292529</c:v>
                </c:pt>
                <c:pt idx="336">
                  <c:v>0.70844298220038304</c:v>
                </c:pt>
                <c:pt idx="337">
                  <c:v>0.70919734362942199</c:v>
                </c:pt>
                <c:pt idx="338">
                  <c:v>0.70916758252342182</c:v>
                </c:pt>
                <c:pt idx="339">
                  <c:v>0.70861683409766618</c:v>
                </c:pt>
                <c:pt idx="340">
                  <c:v>0.70815027205915237</c:v>
                </c:pt>
                <c:pt idx="341">
                  <c:v>0.70884852776901697</c:v>
                </c:pt>
                <c:pt idx="342">
                  <c:v>0.70828095576900063</c:v>
                </c:pt>
                <c:pt idx="343">
                  <c:v>0.70861016440310498</c:v>
                </c:pt>
                <c:pt idx="344">
                  <c:v>0.70853346583412424</c:v>
                </c:pt>
                <c:pt idx="345">
                  <c:v>0.7086910745871251</c:v>
                </c:pt>
                <c:pt idx="346">
                  <c:v>0.70917138540019931</c:v>
                </c:pt>
                <c:pt idx="347">
                  <c:v>0.70896261534772642</c:v>
                </c:pt>
                <c:pt idx="348">
                  <c:v>0.70833027966569484</c:v>
                </c:pt>
                <c:pt idx="349">
                  <c:v>0.70859384334156772</c:v>
                </c:pt>
                <c:pt idx="350">
                  <c:v>0.70854253308729065</c:v>
                </c:pt>
                <c:pt idx="351">
                  <c:v>0.70831137737038852</c:v>
                </c:pt>
                <c:pt idx="352">
                  <c:v>0.70882240488295323</c:v>
                </c:pt>
                <c:pt idx="353">
                  <c:v>0.70815828685886895</c:v>
                </c:pt>
                <c:pt idx="354">
                  <c:v>#N/A</c:v>
                </c:pt>
                <c:pt idx="355">
                  <c:v>0.70877080169484274</c:v>
                </c:pt>
                <c:pt idx="356">
                  <c:v>0.70880268938495972</c:v>
                </c:pt>
                <c:pt idx="357">
                  <c:v>0.70898586765628702</c:v>
                </c:pt>
                <c:pt idx="358">
                  <c:v>0.70827767483514437</c:v>
                </c:pt>
                <c:pt idx="359">
                  <c:v>0.70831667126290843</c:v>
                </c:pt>
                <c:pt idx="360">
                  <c:v>0.70849673325736984</c:v>
                </c:pt>
                <c:pt idx="361">
                  <c:v>0.70838502602182407</c:v>
                </c:pt>
                <c:pt idx="362">
                  <c:v>0.70874227674545887</c:v>
                </c:pt>
                <c:pt idx="363">
                  <c:v>0.70889670301146857</c:v>
                </c:pt>
                <c:pt idx="364">
                  <c:v>0.70845291936336274</c:v>
                </c:pt>
                <c:pt idx="365">
                  <c:v>0.70901838856718591</c:v>
                </c:pt>
                <c:pt idx="366">
                  <c:v>#N/A</c:v>
                </c:pt>
                <c:pt idx="367">
                  <c:v>0.70869311859907469</c:v>
                </c:pt>
                <c:pt idx="368">
                  <c:v>#N/A</c:v>
                </c:pt>
                <c:pt idx="369">
                  <c:v>0.70854836559706902</c:v>
                </c:pt>
                <c:pt idx="370">
                  <c:v>0.70916448346880212</c:v>
                </c:pt>
                <c:pt idx="371">
                  <c:v>0.70861072969354011</c:v>
                </c:pt>
                <c:pt idx="372">
                  <c:v>0.70928128140295887</c:v>
                </c:pt>
                <c:pt idx="373">
                  <c:v>0.70905355796731817</c:v>
                </c:pt>
                <c:pt idx="374">
                  <c:v>#N/A</c:v>
                </c:pt>
                <c:pt idx="375">
                  <c:v>0.70843420382098576</c:v>
                </c:pt>
                <c:pt idx="376">
                  <c:v>0.70872093704434624</c:v>
                </c:pt>
                <c:pt idx="377">
                  <c:v>0.70932745571127054</c:v>
                </c:pt>
                <c:pt idx="378">
                  <c:v>0.70794330918270887</c:v>
                </c:pt>
                <c:pt idx="379">
                  <c:v>0.70812922130551159</c:v>
                </c:pt>
                <c:pt idx="380">
                  <c:v>0.70859864030927688</c:v>
                </c:pt>
                <c:pt idx="381">
                  <c:v>#N/A</c:v>
                </c:pt>
                <c:pt idx="382">
                  <c:v>0.70811541125593813</c:v>
                </c:pt>
                <c:pt idx="383">
                  <c:v>0.70881488289428152</c:v>
                </c:pt>
                <c:pt idx="384">
                  <c:v>#N/A</c:v>
                </c:pt>
                <c:pt idx="385">
                  <c:v>0.708838364154733</c:v>
                </c:pt>
                <c:pt idx="386">
                  <c:v>0.70869323985874377</c:v>
                </c:pt>
                <c:pt idx="387">
                  <c:v>0.70893272726986112</c:v>
                </c:pt>
                <c:pt idx="388">
                  <c:v>0.70921168898675413</c:v>
                </c:pt>
                <c:pt idx="389">
                  <c:v>0.70864872120553157</c:v>
                </c:pt>
                <c:pt idx="390">
                  <c:v>0.70841652686354628</c:v>
                </c:pt>
                <c:pt idx="391">
                  <c:v>0.70833036697853313</c:v>
                </c:pt>
                <c:pt idx="392">
                  <c:v>0.7087249021453832</c:v>
                </c:pt>
                <c:pt idx="393">
                  <c:v>0.70886952981357398</c:v>
                </c:pt>
                <c:pt idx="394">
                  <c:v>#N/A</c:v>
                </c:pt>
                <c:pt idx="395">
                  <c:v>0.70909949513395087</c:v>
                </c:pt>
                <c:pt idx="396">
                  <c:v>0.70898791864783117</c:v>
                </c:pt>
                <c:pt idx="397">
                  <c:v>#N/A</c:v>
                </c:pt>
                <c:pt idx="398">
                  <c:v>0.70832396039292844</c:v>
                </c:pt>
                <c:pt idx="399">
                  <c:v>0.7085619089613937</c:v>
                </c:pt>
                <c:pt idx="400">
                  <c:v>0.70840018144244532</c:v>
                </c:pt>
                <c:pt idx="401">
                  <c:v>0.70930176159885439</c:v>
                </c:pt>
                <c:pt idx="402">
                  <c:v>0.70816884531344559</c:v>
                </c:pt>
                <c:pt idx="403">
                  <c:v>0.70853355146755903</c:v>
                </c:pt>
                <c:pt idx="404">
                  <c:v>#N/A</c:v>
                </c:pt>
                <c:pt idx="405">
                  <c:v>0.70916093780881739</c:v>
                </c:pt>
                <c:pt idx="406">
                  <c:v>0.7088951693861576</c:v>
                </c:pt>
                <c:pt idx="407">
                  <c:v>0.70905682781676527</c:v>
                </c:pt>
                <c:pt idx="408">
                  <c:v>0.70948420961053338</c:v>
                </c:pt>
                <c:pt idx="409">
                  <c:v>0.7092592060405557</c:v>
                </c:pt>
                <c:pt idx="410">
                  <c:v>0.70847287837109474</c:v>
                </c:pt>
                <c:pt idx="411">
                  <c:v>0.7079621522130769</c:v>
                </c:pt>
                <c:pt idx="412">
                  <c:v>0.70836975674363845</c:v>
                </c:pt>
                <c:pt idx="413">
                  <c:v>0.70855626955660667</c:v>
                </c:pt>
                <c:pt idx="414">
                  <c:v>0.70819565646531346</c:v>
                </c:pt>
                <c:pt idx="415">
                  <c:v>0.70875106454436132</c:v>
                </c:pt>
                <c:pt idx="416">
                  <c:v>0.70885485473036391</c:v>
                </c:pt>
                <c:pt idx="417">
                  <c:v>0.70877277254542803</c:v>
                </c:pt>
                <c:pt idx="418">
                  <c:v>0.70809769003568024</c:v>
                </c:pt>
                <c:pt idx="419">
                  <c:v>0.70865362279879218</c:v>
                </c:pt>
                <c:pt idx="420">
                  <c:v>0.70911296873181473</c:v>
                </c:pt>
                <c:pt idx="421">
                  <c:v>0.70933655893081471</c:v>
                </c:pt>
                <c:pt idx="422">
                  <c:v>0.70882208178263395</c:v>
                </c:pt>
                <c:pt idx="423">
                  <c:v>0.70880969174171871</c:v>
                </c:pt>
                <c:pt idx="424">
                  <c:v>0.70845695229096239</c:v>
                </c:pt>
                <c:pt idx="425">
                  <c:v>0.70871959262098094</c:v>
                </c:pt>
                <c:pt idx="426">
                  <c:v>0.70845784817988255</c:v>
                </c:pt>
                <c:pt idx="427">
                  <c:v>0.70828366605579152</c:v>
                </c:pt>
                <c:pt idx="428">
                  <c:v>0.7094507664363322</c:v>
                </c:pt>
                <c:pt idx="429">
                  <c:v>0.70879016559092611</c:v>
                </c:pt>
                <c:pt idx="430">
                  <c:v>0.70867885034827882</c:v>
                </c:pt>
                <c:pt idx="431">
                  <c:v>0.70912516354472144</c:v>
                </c:pt>
                <c:pt idx="432">
                  <c:v>0.70861757101385547</c:v>
                </c:pt>
                <c:pt idx="433">
                  <c:v>0.70920381322009196</c:v>
                </c:pt>
                <c:pt idx="434">
                  <c:v>0.70851654785514506</c:v>
                </c:pt>
                <c:pt idx="435">
                  <c:v>0.70909729614415484</c:v>
                </c:pt>
                <c:pt idx="436">
                  <c:v>#N/A</c:v>
                </c:pt>
                <c:pt idx="437">
                  <c:v>0.70841477254560947</c:v>
                </c:pt>
                <c:pt idx="438">
                  <c:v>0.7089818147521102</c:v>
                </c:pt>
                <c:pt idx="439">
                  <c:v>0.70880153709915272</c:v>
                </c:pt>
                <c:pt idx="440">
                  <c:v>0.70876380282597029</c:v>
                </c:pt>
                <c:pt idx="441">
                  <c:v>0.70892843273161821</c:v>
                </c:pt>
                <c:pt idx="442">
                  <c:v>0.70910625776191583</c:v>
                </c:pt>
                <c:pt idx="443">
                  <c:v>#N/A</c:v>
                </c:pt>
                <c:pt idx="444">
                  <c:v>0.70880022020203171</c:v>
                </c:pt>
                <c:pt idx="445">
                  <c:v>0.70847760200072474</c:v>
                </c:pt>
                <c:pt idx="446">
                  <c:v>0.7088275689409862</c:v>
                </c:pt>
                <c:pt idx="447">
                  <c:v>0.70825480066396074</c:v>
                </c:pt>
                <c:pt idx="448">
                  <c:v>0.70839142711920444</c:v>
                </c:pt>
                <c:pt idx="449">
                  <c:v>0.70900220585505358</c:v>
                </c:pt>
                <c:pt idx="450">
                  <c:v>0.70808502657826633</c:v>
                </c:pt>
                <c:pt idx="451">
                  <c:v>0.70906982867602675</c:v>
                </c:pt>
                <c:pt idx="452">
                  <c:v>0.7090469868892898</c:v>
                </c:pt>
                <c:pt idx="453">
                  <c:v>0.70887999762158982</c:v>
                </c:pt>
                <c:pt idx="454">
                  <c:v>0.7089395835300909</c:v>
                </c:pt>
                <c:pt idx="455">
                  <c:v>0.70893683220739967</c:v>
                </c:pt>
                <c:pt idx="456">
                  <c:v>0.70858391103176888</c:v>
                </c:pt>
                <c:pt idx="457">
                  <c:v>0.70885424045980694</c:v>
                </c:pt>
                <c:pt idx="458">
                  <c:v>0.70903302740830143</c:v>
                </c:pt>
                <c:pt idx="459">
                  <c:v>0.70842005598141922</c:v>
                </c:pt>
                <c:pt idx="460">
                  <c:v>0.70879820754873124</c:v>
                </c:pt>
                <c:pt idx="461">
                  <c:v>0.70903138581709646</c:v>
                </c:pt>
                <c:pt idx="462">
                  <c:v>0.70897871935012935</c:v>
                </c:pt>
                <c:pt idx="463">
                  <c:v>#N/A</c:v>
                </c:pt>
                <c:pt idx="464">
                  <c:v>0.708383260618491</c:v>
                </c:pt>
                <c:pt idx="465">
                  <c:v>0.70879455969983785</c:v>
                </c:pt>
                <c:pt idx="466">
                  <c:v>#N/A</c:v>
                </c:pt>
                <c:pt idx="467">
                  <c:v>#N/A</c:v>
                </c:pt>
                <c:pt idx="468">
                  <c:v>0.70865235903441282</c:v>
                </c:pt>
                <c:pt idx="469">
                  <c:v>#N/A</c:v>
                </c:pt>
                <c:pt idx="470">
                  <c:v>0.7089338377895823</c:v>
                </c:pt>
                <c:pt idx="471">
                  <c:v>0.70907878262188662</c:v>
                </c:pt>
                <c:pt idx="472">
                  <c:v>0.7081698948831987</c:v>
                </c:pt>
                <c:pt idx="473">
                  <c:v>0.70822454803271584</c:v>
                </c:pt>
                <c:pt idx="474">
                  <c:v>0.70926499212849081</c:v>
                </c:pt>
                <c:pt idx="475">
                  <c:v>0.70884394872190504</c:v>
                </c:pt>
                <c:pt idx="476">
                  <c:v>0.70896500647875382</c:v>
                </c:pt>
                <c:pt idx="477">
                  <c:v>0.70936727997013449</c:v>
                </c:pt>
                <c:pt idx="478">
                  <c:v>0.70826362229656292</c:v>
                </c:pt>
                <c:pt idx="479">
                  <c:v>0.70813024162810889</c:v>
                </c:pt>
                <c:pt idx="480">
                  <c:v>0.70827456171364622</c:v>
                </c:pt>
                <c:pt idx="481">
                  <c:v>0.70834688413748415</c:v>
                </c:pt>
                <c:pt idx="482">
                  <c:v>0.70873937775544116</c:v>
                </c:pt>
                <c:pt idx="483">
                  <c:v>0.70927407755270733</c:v>
                </c:pt>
                <c:pt idx="484">
                  <c:v>0.70881293197741735</c:v>
                </c:pt>
                <c:pt idx="485">
                  <c:v>0.70865340053258585</c:v>
                </c:pt>
                <c:pt idx="486">
                  <c:v>0.70875346703433029</c:v>
                </c:pt>
                <c:pt idx="487">
                  <c:v>0.70868772748756359</c:v>
                </c:pt>
                <c:pt idx="488">
                  <c:v>0.70868606514574728</c:v>
                </c:pt>
                <c:pt idx="489">
                  <c:v>0.70854103004653735</c:v>
                </c:pt>
                <c:pt idx="490">
                  <c:v>0.70841558426959761</c:v>
                </c:pt>
                <c:pt idx="491">
                  <c:v>#N/A</c:v>
                </c:pt>
                <c:pt idx="492">
                  <c:v>0.70882536536344998</c:v>
                </c:pt>
                <c:pt idx="493">
                  <c:v>0.70862901731270445</c:v>
                </c:pt>
                <c:pt idx="494">
                  <c:v>0.70848357674511919</c:v>
                </c:pt>
                <c:pt idx="495">
                  <c:v>#N/A</c:v>
                </c:pt>
                <c:pt idx="496">
                  <c:v>0.70830238070278728</c:v>
                </c:pt>
                <c:pt idx="497">
                  <c:v>0.70895577992374992</c:v>
                </c:pt>
                <c:pt idx="498">
                  <c:v>0.70901061750042471</c:v>
                </c:pt>
                <c:pt idx="499">
                  <c:v>0.70864834613998551</c:v>
                </c:pt>
                <c:pt idx="500">
                  <c:v>0.70851187247279768</c:v>
                </c:pt>
                <c:pt idx="501">
                  <c:v>#N/A</c:v>
                </c:pt>
                <c:pt idx="502">
                  <c:v>0.70925506697662355</c:v>
                </c:pt>
                <c:pt idx="503">
                  <c:v>0.70855132595033343</c:v>
                </c:pt>
                <c:pt idx="504">
                  <c:v>0.70891167978497294</c:v>
                </c:pt>
                <c:pt idx="505">
                  <c:v>0.70856806412831996</c:v>
                </c:pt>
                <c:pt idx="506">
                  <c:v>0.70870845689483364</c:v>
                </c:pt>
                <c:pt idx="507">
                  <c:v>0.70834549838979377</c:v>
                </c:pt>
                <c:pt idx="508">
                  <c:v>0.7091817725004036</c:v>
                </c:pt>
                <c:pt idx="509">
                  <c:v>0.70840273871970327</c:v>
                </c:pt>
                <c:pt idx="510">
                  <c:v>0.70802077621729786</c:v>
                </c:pt>
                <c:pt idx="511">
                  <c:v>0.7082610721812499</c:v>
                </c:pt>
                <c:pt idx="512">
                  <c:v>0.70898426907818168</c:v>
                </c:pt>
                <c:pt idx="513">
                  <c:v>0.70833061927395358</c:v>
                </c:pt>
                <c:pt idx="514">
                  <c:v>0.70860476793429406</c:v>
                </c:pt>
                <c:pt idx="515">
                  <c:v>0.70909452458792099</c:v>
                </c:pt>
                <c:pt idx="516">
                  <c:v>0.70917955037494729</c:v>
                </c:pt>
                <c:pt idx="517">
                  <c:v>0.70850535305891893</c:v>
                </c:pt>
                <c:pt idx="518">
                  <c:v>#N/A</c:v>
                </c:pt>
                <c:pt idx="519">
                  <c:v>0.70927047077796224</c:v>
                </c:pt>
                <c:pt idx="520">
                  <c:v>0.70829582950086911</c:v>
                </c:pt>
                <c:pt idx="521">
                  <c:v>0.70948544197509078</c:v>
                </c:pt>
                <c:pt idx="522">
                  <c:v>0.70892539345831618</c:v>
                </c:pt>
                <c:pt idx="523">
                  <c:v>#N/A</c:v>
                </c:pt>
                <c:pt idx="524">
                  <c:v>0.70915652883250391</c:v>
                </c:pt>
                <c:pt idx="525">
                  <c:v>0.70857123278166123</c:v>
                </c:pt>
                <c:pt idx="526">
                  <c:v>0.70819746822362717</c:v>
                </c:pt>
                <c:pt idx="527">
                  <c:v>0.70901977759509827</c:v>
                </c:pt>
                <c:pt idx="528">
                  <c:v>0.70898737343484752</c:v>
                </c:pt>
                <c:pt idx="529">
                  <c:v>0.70888574285789707</c:v>
                </c:pt>
                <c:pt idx="530">
                  <c:v>0.70907047625819353</c:v>
                </c:pt>
                <c:pt idx="531">
                  <c:v>0.70825386200630758</c:v>
                </c:pt>
                <c:pt idx="532">
                  <c:v>0.70902037505812809</c:v>
                </c:pt>
                <c:pt idx="533">
                  <c:v>0.70863211605494547</c:v>
                </c:pt>
                <c:pt idx="534">
                  <c:v>0.70838382725253812</c:v>
                </c:pt>
                <c:pt idx="535">
                  <c:v>0.70870774098530243</c:v>
                </c:pt>
                <c:pt idx="536">
                  <c:v>0.70891576028525805</c:v>
                </c:pt>
                <c:pt idx="537">
                  <c:v>#N/A</c:v>
                </c:pt>
                <c:pt idx="538">
                  <c:v>0.70838637730121201</c:v>
                </c:pt>
                <c:pt idx="539">
                  <c:v>0.70890332159773239</c:v>
                </c:pt>
                <c:pt idx="540">
                  <c:v>0.70800329240294002</c:v>
                </c:pt>
                <c:pt idx="541">
                  <c:v>0.7085721843466366</c:v>
                </c:pt>
                <c:pt idx="542">
                  <c:v>0.70873821642308599</c:v>
                </c:pt>
                <c:pt idx="543">
                  <c:v>0.7093646959806208</c:v>
                </c:pt>
                <c:pt idx="544">
                  <c:v>0.70886250220052016</c:v>
                </c:pt>
                <c:pt idx="545">
                  <c:v>0.70904410647855409</c:v>
                </c:pt>
                <c:pt idx="546">
                  <c:v>0.70918771468797759</c:v>
                </c:pt>
                <c:pt idx="547">
                  <c:v>#N/A</c:v>
                </c:pt>
                <c:pt idx="548">
                  <c:v>0.70886956081647756</c:v>
                </c:pt>
                <c:pt idx="549">
                  <c:v>0.70912521454445943</c:v>
                </c:pt>
                <c:pt idx="550">
                  <c:v>0.70895204041425208</c:v>
                </c:pt>
                <c:pt idx="551">
                  <c:v>0.70900428656680503</c:v>
                </c:pt>
                <c:pt idx="552">
                  <c:v>0.70855397393812436</c:v>
                </c:pt>
                <c:pt idx="553">
                  <c:v>0.70886049707370258</c:v>
                </c:pt>
                <c:pt idx="554">
                  <c:v>0.70841556354811763</c:v>
                </c:pt>
                <c:pt idx="555">
                  <c:v>0.70893095532271577</c:v>
                </c:pt>
                <c:pt idx="556">
                  <c:v>0.70899240893109106</c:v>
                </c:pt>
                <c:pt idx="557">
                  <c:v>0.7088586370971075</c:v>
                </c:pt>
                <c:pt idx="558">
                  <c:v>0.70902996598642487</c:v>
                </c:pt>
                <c:pt idx="559">
                  <c:v>0.70907744439641884</c:v>
                </c:pt>
                <c:pt idx="560">
                  <c:v>0.70867785202269384</c:v>
                </c:pt>
                <c:pt idx="561">
                  <c:v>0.70865990224791453</c:v>
                </c:pt>
                <c:pt idx="562">
                  <c:v>0.70934644811223202</c:v>
                </c:pt>
                <c:pt idx="563">
                  <c:v>0.70802330198835894</c:v>
                </c:pt>
                <c:pt idx="564">
                  <c:v>0.70945642049074475</c:v>
                </c:pt>
                <c:pt idx="565">
                  <c:v>0.70930851961293706</c:v>
                </c:pt>
                <c:pt idx="566">
                  <c:v>0.70927212194395961</c:v>
                </c:pt>
                <c:pt idx="567">
                  <c:v>0.70895571278187641</c:v>
                </c:pt>
                <c:pt idx="568">
                  <c:v>0.7089427114271154</c:v>
                </c:pt>
                <c:pt idx="569">
                  <c:v>0.70905024695234375</c:v>
                </c:pt>
                <c:pt idx="570">
                  <c:v>0.70906918573754629</c:v>
                </c:pt>
                <c:pt idx="571">
                  <c:v>0.70875221807814381</c:v>
                </c:pt>
                <c:pt idx="572">
                  <c:v>#N/A</c:v>
                </c:pt>
                <c:pt idx="573">
                  <c:v>0.70846751499389227</c:v>
                </c:pt>
                <c:pt idx="574">
                  <c:v>0.70889447261214167</c:v>
                </c:pt>
                <c:pt idx="575">
                  <c:v>0.70928125651373075</c:v>
                </c:pt>
                <c:pt idx="576">
                  <c:v>0.70878908450143308</c:v>
                </c:pt>
                <c:pt idx="577">
                  <c:v>0.70869860819532882</c:v>
                </c:pt>
                <c:pt idx="578">
                  <c:v>0.70823222400397357</c:v>
                </c:pt>
                <c:pt idx="579">
                  <c:v>0.70894393394381183</c:v>
                </c:pt>
                <c:pt idx="580">
                  <c:v>0.70899598122130403</c:v>
                </c:pt>
                <c:pt idx="581">
                  <c:v>0.70940001300047462</c:v>
                </c:pt>
                <c:pt idx="582">
                  <c:v>#N/A</c:v>
                </c:pt>
                <c:pt idx="583">
                  <c:v>#N/A</c:v>
                </c:pt>
                <c:pt idx="584">
                  <c:v>0.70848568949956059</c:v>
                </c:pt>
                <c:pt idx="585">
                  <c:v>#N/A</c:v>
                </c:pt>
                <c:pt idx="586">
                  <c:v>0.708877483651419</c:v>
                </c:pt>
                <c:pt idx="587">
                  <c:v>#N/A</c:v>
                </c:pt>
                <c:pt idx="588">
                  <c:v>0.70898555889939574</c:v>
                </c:pt>
                <c:pt idx="589">
                  <c:v>0.70890712441062265</c:v>
                </c:pt>
                <c:pt idx="590">
                  <c:v>0.70901943816834434</c:v>
                </c:pt>
                <c:pt idx="591">
                  <c:v>0.70938614051574045</c:v>
                </c:pt>
                <c:pt idx="592">
                  <c:v>#N/A</c:v>
                </c:pt>
                <c:pt idx="593">
                  <c:v>0.70864162281533605</c:v>
                </c:pt>
                <c:pt idx="594">
                  <c:v>#N/A</c:v>
                </c:pt>
                <c:pt idx="595">
                  <c:v>0.70917199407235965</c:v>
                </c:pt>
                <c:pt idx="596">
                  <c:v>0.70806315155374377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991232"/>
        <c:axId val="131991808"/>
      </c:scatterChart>
      <c:valAx>
        <c:axId val="131991232"/>
        <c:scaling>
          <c:orientation val="minMax"/>
          <c:max val="1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/>
                  <a:t># cycle</a:t>
                </a:r>
              </a:p>
            </c:rich>
          </c:tx>
          <c:layout>
            <c:manualLayout>
              <c:xMode val="edge"/>
              <c:yMode val="edge"/>
              <c:x val="0.48327009320685332"/>
              <c:y val="0.87669563102977321"/>
            </c:manualLayout>
          </c:layout>
          <c:overlay val="0"/>
          <c:spPr>
            <a:noFill/>
            <a:ln w="25400">
              <a:noFill/>
            </a:ln>
          </c:spPr>
        </c:title>
        <c:numFmt formatCode="#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1991808"/>
        <c:crossesAt val="0"/>
        <c:crossBetween val="midCat"/>
        <c:majorUnit val="100"/>
        <c:minorUnit val="25"/>
      </c:valAx>
      <c:valAx>
        <c:axId val="13199180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 sz="1000" b="1" i="0" u="none" strike="noStrike" baseline="30000">
                    <a:solidFill>
                      <a:srgbClr val="000000"/>
                    </a:solidFill>
                    <a:latin typeface="Calibri"/>
                    <a:cs typeface="Calibri"/>
                  </a:rPr>
                  <a:t>87</a:t>
                </a:r>
                <a:r>
                  <a:rPr lang="it-IT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Sr/</a:t>
                </a:r>
                <a:r>
                  <a:rPr lang="it-IT" sz="1000" b="1" i="0" u="none" strike="noStrike" baseline="30000">
                    <a:solidFill>
                      <a:srgbClr val="000000"/>
                    </a:solidFill>
                    <a:latin typeface="Calibri"/>
                    <a:cs typeface="Calibri"/>
                  </a:rPr>
                  <a:t>86</a:t>
                </a:r>
                <a:r>
                  <a:rPr lang="it-IT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Sr profile (2</a:t>
                </a:r>
                <a:r>
                  <a:rPr lang="el-GR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σ-</a:t>
                </a:r>
                <a:r>
                  <a:rPr lang="it-IT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filtered - REE)</a:t>
                </a:r>
              </a:p>
            </c:rich>
          </c:tx>
          <c:layout>
            <c:manualLayout>
              <c:xMode val="edge"/>
              <c:yMode val="edge"/>
              <c:x val="3.5653997974662628E-2"/>
              <c:y val="0.1188534403226844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1991232"/>
        <c:crossesAt val="0"/>
        <c:crossBetween val="midCat"/>
      </c:valAx>
      <c:spPr>
        <a:noFill/>
        <a:ln w="3175">
          <a:solidFill>
            <a:srgbClr val="B3B3B3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22" r="0.75000000000000022" t="1" header="0.51180555555555562" footer="0.51180555555555562"/>
    <c:pageSetup firstPageNumber="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84053778991919"/>
          <c:y val="8.2913607630032152E-2"/>
          <c:w val="0.7740095345224709"/>
          <c:h val="0.69044545488152032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Data!$H$2</c:f>
              <c:strCache>
                <c:ptCount val="1"/>
                <c:pt idx="0">
                  <c:v>Background start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FF950E"/>
              </a:solidFill>
              <a:ln>
                <a:solidFill>
                  <a:schemeClr val="tx1"/>
                </a:solidFill>
                <a:prstDash val="solid"/>
              </a:ln>
            </c:spPr>
          </c:marker>
          <c:xVal>
            <c:numRef>
              <c:f>Data!$I$2</c:f>
              <c:numCache>
                <c:formatCode>#</c:formatCode>
                <c:ptCount val="1"/>
                <c:pt idx="0">
                  <c:v>1</c:v>
                </c:pt>
              </c:numCache>
            </c:numRef>
          </c:xVal>
          <c:yVal>
            <c:numRef>
              <c:f>Data!$K$2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Data!$H$3</c:f>
              <c:strCache>
                <c:ptCount val="1"/>
                <c:pt idx="0">
                  <c:v># Bg cycles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FF950E"/>
              </a:solidFill>
              <a:ln>
                <a:solidFill>
                  <a:schemeClr val="tx1"/>
                </a:solidFill>
                <a:prstDash val="solid"/>
              </a:ln>
            </c:spPr>
          </c:marker>
          <c:xVal>
            <c:numRef>
              <c:f>Data!$K$3</c:f>
              <c:numCache>
                <c:formatCode>General</c:formatCode>
                <c:ptCount val="1"/>
                <c:pt idx="0">
                  <c:v>51</c:v>
                </c:pt>
              </c:numCache>
            </c:numRef>
          </c:xVal>
          <c:yVal>
            <c:numRef>
              <c:f>Data!$K$2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</c:ser>
        <c:ser>
          <c:idx val="4"/>
          <c:order val="2"/>
          <c:spPr>
            <a:ln w="15875">
              <a:solidFill>
                <a:srgbClr val="FF0000"/>
              </a:solidFill>
              <a:prstDash val="solid"/>
            </a:ln>
          </c:spPr>
          <c:marker>
            <c:symbol val="none"/>
          </c:marker>
          <c:yVal>
            <c:numRef>
              <c:f>Data!$E$67:$E$1067</c:f>
              <c:numCache>
                <c:formatCode>0.00E+00</c:formatCode>
                <c:ptCount val="1001"/>
                <c:pt idx="0">
                  <c:v>7.3729801370647503E-4</c:v>
                </c:pt>
                <c:pt idx="1">
                  <c:v>9.1281759215682305E-4</c:v>
                </c:pt>
                <c:pt idx="2">
                  <c:v>9.1521234124846405E-4</c:v>
                </c:pt>
                <c:pt idx="3">
                  <c:v>9.1185969411729305E-4</c:v>
                </c:pt>
                <c:pt idx="4">
                  <c:v>7.9404519406680695E-4</c:v>
                </c:pt>
                <c:pt idx="5">
                  <c:v>8.1200382971920301E-4</c:v>
                </c:pt>
                <c:pt idx="6">
                  <c:v>8.7977063713032396E-4</c:v>
                </c:pt>
                <c:pt idx="7">
                  <c:v>8.2397643169594703E-4</c:v>
                </c:pt>
                <c:pt idx="8">
                  <c:v>9.1664919344114902E-4</c:v>
                </c:pt>
                <c:pt idx="9">
                  <c:v>7.9596076658695002E-4</c:v>
                </c:pt>
                <c:pt idx="10">
                  <c:v>9.3724430050506804E-4</c:v>
                </c:pt>
                <c:pt idx="11">
                  <c:v>8.5007719818406202E-4</c:v>
                </c:pt>
                <c:pt idx="12">
                  <c:v>8.3930157026447202E-4</c:v>
                </c:pt>
                <c:pt idx="13">
                  <c:v>7.45678197417627E-4</c:v>
                </c:pt>
                <c:pt idx="14">
                  <c:v>8.0577813303409898E-4</c:v>
                </c:pt>
                <c:pt idx="15">
                  <c:v>7.66988122071319E-4</c:v>
                </c:pt>
                <c:pt idx="16">
                  <c:v>8.3475189537225399E-4</c:v>
                </c:pt>
                <c:pt idx="17">
                  <c:v>7.7560799517605201E-4</c:v>
                </c:pt>
                <c:pt idx="18">
                  <c:v>7.7249525469662501E-4</c:v>
                </c:pt>
                <c:pt idx="19">
                  <c:v>8.2493424601322903E-4</c:v>
                </c:pt>
                <c:pt idx="20">
                  <c:v>8.7569971056564297E-4</c:v>
                </c:pt>
                <c:pt idx="21">
                  <c:v>9.1162021974995405E-4</c:v>
                </c:pt>
                <c:pt idx="22">
                  <c:v>7.87819608582172E-4</c:v>
                </c:pt>
                <c:pt idx="23">
                  <c:v>8.7210773022596303E-4</c:v>
                </c:pt>
                <c:pt idx="24">
                  <c:v>7.7919963078129195E-4</c:v>
                </c:pt>
                <c:pt idx="25">
                  <c:v>8.1846901707974295E-4</c:v>
                </c:pt>
                <c:pt idx="26">
                  <c:v>8.6564219795145895E-4</c:v>
                </c:pt>
                <c:pt idx="27">
                  <c:v>8.2182135281854795E-4</c:v>
                </c:pt>
                <c:pt idx="28">
                  <c:v>8.4935881939663001E-4</c:v>
                </c:pt>
                <c:pt idx="29">
                  <c:v>7.8303072290218797E-4</c:v>
                </c:pt>
                <c:pt idx="30">
                  <c:v>8.0745427834937695E-4</c:v>
                </c:pt>
                <c:pt idx="31">
                  <c:v>9.0611232504319401E-4</c:v>
                </c:pt>
                <c:pt idx="32">
                  <c:v>8.0721482884753802E-4</c:v>
                </c:pt>
                <c:pt idx="33">
                  <c:v>8.0098916181601404E-4</c:v>
                </c:pt>
                <c:pt idx="34">
                  <c:v>8.5031665789406003E-4</c:v>
                </c:pt>
                <c:pt idx="35">
                  <c:v>8.4145668660957104E-4</c:v>
                </c:pt>
                <c:pt idx="36">
                  <c:v>7.92129625196458E-4</c:v>
                </c:pt>
                <c:pt idx="37">
                  <c:v>9.5089477834044698E-4</c:v>
                </c:pt>
                <c:pt idx="38">
                  <c:v>8.3666754544899004E-4</c:v>
                </c:pt>
                <c:pt idx="39">
                  <c:v>8.7977063713032396E-4</c:v>
                </c:pt>
                <c:pt idx="40">
                  <c:v>8.2684987738462399E-4</c:v>
                </c:pt>
                <c:pt idx="41">
                  <c:v>9.0826758459608197E-4</c:v>
                </c:pt>
                <c:pt idx="42">
                  <c:v>7.6722756199310395E-4</c:v>
                </c:pt>
                <c:pt idx="43">
                  <c:v>7.9979192257570398E-4</c:v>
                </c:pt>
                <c:pt idx="44">
                  <c:v>8.3570971995448396E-4</c:v>
                </c:pt>
                <c:pt idx="45">
                  <c:v>8.4600639184140899E-4</c:v>
                </c:pt>
                <c:pt idx="46">
                  <c:v>7.9308740917549399E-4</c:v>
                </c:pt>
                <c:pt idx="47">
                  <c:v>8.3187842710014202E-4</c:v>
                </c:pt>
                <c:pt idx="48">
                  <c:v>8.7665757415687198E-4</c:v>
                </c:pt>
                <c:pt idx="49">
                  <c:v>9.4442873942318195E-4</c:v>
                </c:pt>
                <c:pt idx="50">
                  <c:v>9.03478125196937E-4</c:v>
                </c:pt>
                <c:pt idx="51">
                  <c:v>8.6348702976571899E-4</c:v>
                </c:pt>
                <c:pt idx="52">
                  <c:v>7.8949572395901196E-4</c:v>
                </c:pt>
                <c:pt idx="53">
                  <c:v>7.56692259382982E-4</c:v>
                </c:pt>
                <c:pt idx="54">
                  <c:v>8.1679285340168504E-4</c:v>
                </c:pt>
                <c:pt idx="55">
                  <c:v>8.57739937188018E-4</c:v>
                </c:pt>
                <c:pt idx="56">
                  <c:v>7.5046690518574296E-4</c:v>
                </c:pt>
                <c:pt idx="57">
                  <c:v>8.6492380804290404E-4</c:v>
                </c:pt>
                <c:pt idx="58">
                  <c:v>8.1559559534268695E-4</c:v>
                </c:pt>
                <c:pt idx="59">
                  <c:v>7.8758016375643904E-4</c:v>
                </c:pt>
                <c:pt idx="60">
                  <c:v>8.1559559534268695E-4</c:v>
                </c:pt>
                <c:pt idx="61">
                  <c:v>9.2311505371768705E-4</c:v>
                </c:pt>
                <c:pt idx="62">
                  <c:v>8.53669099820849E-4</c:v>
                </c:pt>
                <c:pt idx="63">
                  <c:v>7.8470683029568803E-4</c:v>
                </c:pt>
                <c:pt idx="64">
                  <c:v>8.3163897178162196E-4</c:v>
                </c:pt>
                <c:pt idx="65">
                  <c:v>8.3618863258758797E-4</c:v>
                </c:pt>
                <c:pt idx="66">
                  <c:v>8.4456964059661101E-4</c:v>
                </c:pt>
                <c:pt idx="67">
                  <c:v>9.3365210029610897E-4</c:v>
                </c:pt>
                <c:pt idx="68">
                  <c:v>7.8877738845527397E-4</c:v>
                </c:pt>
                <c:pt idx="69">
                  <c:v>7.9739744837184099E-4</c:v>
                </c:pt>
                <c:pt idx="70">
                  <c:v>8.3307570454891895E-4</c:v>
                </c:pt>
                <c:pt idx="71">
                  <c:v>9.5975571402006298E-4</c:v>
                </c:pt>
                <c:pt idx="72">
                  <c:v>8.8623626025744601E-4</c:v>
                </c:pt>
                <c:pt idx="73">
                  <c:v>1.0498064082561001E-3</c:v>
                </c:pt>
                <c:pt idx="74">
                  <c:v>8.9294139482323299E-4</c:v>
                </c:pt>
                <c:pt idx="75">
                  <c:v>8.4025939918093298E-4</c:v>
                </c:pt>
                <c:pt idx="76">
                  <c:v>8.0074971385387197E-4</c:v>
                </c:pt>
                <c:pt idx="77">
                  <c:v>7.6722756199310395E-4</c:v>
                </c:pt>
                <c:pt idx="78">
                  <c:v>7.97158001265188E-4</c:v>
                </c:pt>
                <c:pt idx="79">
                  <c:v>8.7833383763720398E-4</c:v>
                </c:pt>
                <c:pt idx="80">
                  <c:v>7.8877738845527397E-4</c:v>
                </c:pt>
                <c:pt idx="81">
                  <c:v>8.7569971056564297E-4</c:v>
                </c:pt>
                <c:pt idx="82">
                  <c:v>8.0601758219383298E-4</c:v>
                </c:pt>
                <c:pt idx="83">
                  <c:v>8.7138933569786098E-4</c:v>
                </c:pt>
                <c:pt idx="84">
                  <c:v>8.75939176378096E-4</c:v>
                </c:pt>
                <c:pt idx="85">
                  <c:v>8.3331516020977204E-4</c:v>
                </c:pt>
                <c:pt idx="86">
                  <c:v>7.9332685531285398E-4</c:v>
                </c:pt>
                <c:pt idx="87">
                  <c:v>6.8869432559927801E-4</c:v>
                </c:pt>
                <c:pt idx="88">
                  <c:v>7.87819608582172E-4</c:v>
                </c:pt>
                <c:pt idx="89">
                  <c:v>8.6348702976571899E-4</c:v>
                </c:pt>
                <c:pt idx="90">
                  <c:v>8.2900496704035496E-4</c:v>
                </c:pt>
                <c:pt idx="91">
                  <c:v>7.6531204421621899E-4</c:v>
                </c:pt>
                <c:pt idx="92">
                  <c:v>8.1128547813429498E-4</c:v>
                </c:pt>
                <c:pt idx="93">
                  <c:v>8.2756824008996905E-4</c:v>
                </c:pt>
                <c:pt idx="94">
                  <c:v>8.1679285340168504E-4</c:v>
                </c:pt>
                <c:pt idx="95">
                  <c:v>8.2158189989521297E-4</c:v>
                </c:pt>
                <c:pt idx="96">
                  <c:v>8.0314419604130298E-4</c:v>
                </c:pt>
                <c:pt idx="97">
                  <c:v>8.8312317726542205E-4</c:v>
                </c:pt>
                <c:pt idx="98">
                  <c:v>8.24455338740439E-4</c:v>
                </c:pt>
                <c:pt idx="99">
                  <c:v>8.5199287746030199E-4</c:v>
                </c:pt>
                <c:pt idx="100">
                  <c:v>8.5989509305504301E-4</c:v>
                </c:pt>
                <c:pt idx="101">
                  <c:v>8.0721482884753802E-4</c:v>
                </c:pt>
                <c:pt idx="102">
                  <c:v>8.6779737075674704E-4</c:v>
                </c:pt>
                <c:pt idx="103">
                  <c:v>8.2397643169594703E-4</c:v>
                </c:pt>
                <c:pt idx="104">
                  <c:v>8.2900496704035496E-4</c:v>
                </c:pt>
                <c:pt idx="105">
                  <c:v>1.02633497153615E-3</c:v>
                </c:pt>
                <c:pt idx="106">
                  <c:v>1.4012249423298699E-3</c:v>
                </c:pt>
                <c:pt idx="107">
                  <c:v>1.5291746543106301E-3</c:v>
                </c:pt>
                <c:pt idx="108">
                  <c:v>3.3138871046099099E-3</c:v>
                </c:pt>
                <c:pt idx="109">
                  <c:v>8.1981717139365303E-3</c:v>
                </c:pt>
                <c:pt idx="110">
                  <c:v>1.26374464573461E-2</c:v>
                </c:pt>
                <c:pt idx="111">
                  <c:v>1.42023123451319E-2</c:v>
                </c:pt>
                <c:pt idx="112">
                  <c:v>1.5089454726421E-2</c:v>
                </c:pt>
                <c:pt idx="113">
                  <c:v>1.63191777434454E-2</c:v>
                </c:pt>
                <c:pt idx="114">
                  <c:v>1.6154613669706198E-2</c:v>
                </c:pt>
                <c:pt idx="115">
                  <c:v>1.5879354354200102E-2</c:v>
                </c:pt>
                <c:pt idx="116">
                  <c:v>1.6103946829740499E-2</c:v>
                </c:pt>
                <c:pt idx="117">
                  <c:v>1.6087299706816102E-2</c:v>
                </c:pt>
                <c:pt idx="118">
                  <c:v>1.6686768519296701E-2</c:v>
                </c:pt>
                <c:pt idx="119">
                  <c:v>1.7578180556613102E-2</c:v>
                </c:pt>
                <c:pt idx="120">
                  <c:v>1.76209474641566E-2</c:v>
                </c:pt>
                <c:pt idx="121">
                  <c:v>1.8089568640718302E-2</c:v>
                </c:pt>
                <c:pt idx="122">
                  <c:v>1.8041947423799699E-2</c:v>
                </c:pt>
                <c:pt idx="123">
                  <c:v>1.7945986587791299E-2</c:v>
                </c:pt>
                <c:pt idx="124">
                  <c:v>1.7718810734549999E-2</c:v>
                </c:pt>
                <c:pt idx="125">
                  <c:v>1.7877828487275E-2</c:v>
                </c:pt>
                <c:pt idx="126">
                  <c:v>1.8463341668977899E-2</c:v>
                </c:pt>
                <c:pt idx="127">
                  <c:v>1.9228047715018699E-2</c:v>
                </c:pt>
                <c:pt idx="128">
                  <c:v>1.8939917419484802E-2</c:v>
                </c:pt>
                <c:pt idx="129">
                  <c:v>1.8907800670373301E-2</c:v>
                </c:pt>
                <c:pt idx="130">
                  <c:v>1.8357691237658701E-2</c:v>
                </c:pt>
                <c:pt idx="131">
                  <c:v>1.7722193831333E-2</c:v>
                </c:pt>
                <c:pt idx="132">
                  <c:v>1.7856560230672398E-2</c:v>
                </c:pt>
                <c:pt idx="133">
                  <c:v>1.8080140912618899E-2</c:v>
                </c:pt>
                <c:pt idx="134">
                  <c:v>1.8167894693818E-2</c:v>
                </c:pt>
                <c:pt idx="135">
                  <c:v>1.85642392268154E-2</c:v>
                </c:pt>
                <c:pt idx="136">
                  <c:v>1.8455376499769E-2</c:v>
                </c:pt>
                <c:pt idx="137">
                  <c:v>1.8431481367451E-2</c:v>
                </c:pt>
                <c:pt idx="138">
                  <c:v>1.8726951646394301E-2</c:v>
                </c:pt>
                <c:pt idx="139">
                  <c:v>1.86395568648281E-2</c:v>
                </c:pt>
                <c:pt idx="140">
                  <c:v>1.7953479424446799E-2</c:v>
                </c:pt>
                <c:pt idx="141">
                  <c:v>1.8076031417543902E-2</c:v>
                </c:pt>
                <c:pt idx="142">
                  <c:v>1.7296495613123901E-2</c:v>
                </c:pt>
                <c:pt idx="143">
                  <c:v>1.6504766661422199E-2</c:v>
                </c:pt>
                <c:pt idx="144">
                  <c:v>1.63686487093243E-2</c:v>
                </c:pt>
                <c:pt idx="145">
                  <c:v>1.66087982038375E-2</c:v>
                </c:pt>
                <c:pt idx="146">
                  <c:v>1.6600349768295899E-2</c:v>
                </c:pt>
                <c:pt idx="147">
                  <c:v>1.60723416557777E-2</c:v>
                </c:pt>
                <c:pt idx="148">
                  <c:v>1.6257885360516599E-2</c:v>
                </c:pt>
                <c:pt idx="149">
                  <c:v>1.6020955195364301E-2</c:v>
                </c:pt>
                <c:pt idx="150">
                  <c:v>1.5774915310692101E-2</c:v>
                </c:pt>
                <c:pt idx="151">
                  <c:v>1.5636966152451099E-2</c:v>
                </c:pt>
                <c:pt idx="152">
                  <c:v>1.5634313468145099E-2</c:v>
                </c:pt>
                <c:pt idx="153">
                  <c:v>1.61497881472022E-2</c:v>
                </c:pt>
                <c:pt idx="154">
                  <c:v>1.61567851623317E-2</c:v>
                </c:pt>
                <c:pt idx="155">
                  <c:v>1.6187910401438799E-2</c:v>
                </c:pt>
                <c:pt idx="156">
                  <c:v>1.6708012245786399E-2</c:v>
                </c:pt>
                <c:pt idx="157">
                  <c:v>1.6417398072669901E-2</c:v>
                </c:pt>
                <c:pt idx="158">
                  <c:v>1.6674939819160399E-2</c:v>
                </c:pt>
                <c:pt idx="159">
                  <c:v>1.73363519359311E-2</c:v>
                </c:pt>
                <c:pt idx="160">
                  <c:v>1.76310958087482E-2</c:v>
                </c:pt>
                <c:pt idx="161">
                  <c:v>1.9696282980289099E-2</c:v>
                </c:pt>
                <c:pt idx="162">
                  <c:v>2.0994602702833601E-2</c:v>
                </c:pt>
                <c:pt idx="163">
                  <c:v>2.1138586528621901E-2</c:v>
                </c:pt>
                <c:pt idx="164">
                  <c:v>1.9176356961864899E-2</c:v>
                </c:pt>
                <c:pt idx="165">
                  <c:v>1.8124137726983101E-2</c:v>
                </c:pt>
                <c:pt idx="166">
                  <c:v>1.6731429142118798E-2</c:v>
                </c:pt>
                <c:pt idx="167">
                  <c:v>1.55643815696086E-2</c:v>
                </c:pt>
                <c:pt idx="168">
                  <c:v>1.66795264415995E-2</c:v>
                </c:pt>
                <c:pt idx="169">
                  <c:v>1.72515685463005E-2</c:v>
                </c:pt>
                <c:pt idx="170">
                  <c:v>1.6673008615923E-2</c:v>
                </c:pt>
                <c:pt idx="171">
                  <c:v>1.7331037669013501E-2</c:v>
                </c:pt>
                <c:pt idx="172">
                  <c:v>1.69550032506946E-2</c:v>
                </c:pt>
                <c:pt idx="173">
                  <c:v>1.68630083636639E-2</c:v>
                </c:pt>
                <c:pt idx="174">
                  <c:v>1.7090958489914401E-2</c:v>
                </c:pt>
                <c:pt idx="175">
                  <c:v>1.7465352233216699E-2</c:v>
                </c:pt>
                <c:pt idx="176">
                  <c:v>1.72305549566109E-2</c:v>
                </c:pt>
                <c:pt idx="177">
                  <c:v>1.68989843724578E-2</c:v>
                </c:pt>
                <c:pt idx="178">
                  <c:v>1.6489802445833E-2</c:v>
                </c:pt>
                <c:pt idx="179">
                  <c:v>1.66276263993064E-2</c:v>
                </c:pt>
                <c:pt idx="180">
                  <c:v>1.6402435147319101E-2</c:v>
                </c:pt>
                <c:pt idx="181">
                  <c:v>1.52511941376686E-2</c:v>
                </c:pt>
                <c:pt idx="182">
                  <c:v>1.52275703771427E-2</c:v>
                </c:pt>
                <c:pt idx="183">
                  <c:v>1.52707203149294E-2</c:v>
                </c:pt>
                <c:pt idx="184">
                  <c:v>1.5797587074805199E-2</c:v>
                </c:pt>
                <c:pt idx="185">
                  <c:v>1.5301336190326901E-2</c:v>
                </c:pt>
                <c:pt idx="186">
                  <c:v>1.50930700792573E-2</c:v>
                </c:pt>
                <c:pt idx="187">
                  <c:v>1.4814966633729399E-2</c:v>
                </c:pt>
                <c:pt idx="188">
                  <c:v>1.49448511971786E-2</c:v>
                </c:pt>
                <c:pt idx="189">
                  <c:v>1.6291668105070701E-2</c:v>
                </c:pt>
                <c:pt idx="190">
                  <c:v>1.6300113967218699E-2</c:v>
                </c:pt>
                <c:pt idx="191">
                  <c:v>1.6058348840232099E-2</c:v>
                </c:pt>
                <c:pt idx="192">
                  <c:v>1.6448289972403999E-2</c:v>
                </c:pt>
                <c:pt idx="193">
                  <c:v>1.6149546871680201E-2</c:v>
                </c:pt>
                <c:pt idx="194">
                  <c:v>1.5956544862992101E-2</c:v>
                </c:pt>
                <c:pt idx="195">
                  <c:v>1.4949670982114799E-2</c:v>
                </c:pt>
                <c:pt idx="196">
                  <c:v>1.4388106464597501E-2</c:v>
                </c:pt>
                <c:pt idx="197">
                  <c:v>1.51171727613884E-2</c:v>
                </c:pt>
                <c:pt idx="198">
                  <c:v>1.5339667606904001E-2</c:v>
                </c:pt>
                <c:pt idx="199">
                  <c:v>1.5884419801005099E-2</c:v>
                </c:pt>
                <c:pt idx="200">
                  <c:v>1.55880131882731E-2</c:v>
                </c:pt>
                <c:pt idx="201">
                  <c:v>1.5372937559692599E-2</c:v>
                </c:pt>
                <c:pt idx="202">
                  <c:v>1.5691950627960999E-2</c:v>
                </c:pt>
                <c:pt idx="203">
                  <c:v>1.51841812322872E-2</c:v>
                </c:pt>
                <c:pt idx="204">
                  <c:v>1.51868327378042E-2</c:v>
                </c:pt>
                <c:pt idx="205">
                  <c:v>1.45644015732638E-2</c:v>
                </c:pt>
                <c:pt idx="206">
                  <c:v>1.5490837713261501E-2</c:v>
                </c:pt>
                <c:pt idx="207">
                  <c:v>1.52620419674423E-2</c:v>
                </c:pt>
                <c:pt idx="208">
                  <c:v>1.49291870545879E-2</c:v>
                </c:pt>
                <c:pt idx="209">
                  <c:v>1.5364258336198601E-2</c:v>
                </c:pt>
                <c:pt idx="210">
                  <c:v>1.7216304609186401E-2</c:v>
                </c:pt>
                <c:pt idx="211">
                  <c:v>1.5447919504153799E-2</c:v>
                </c:pt>
                <c:pt idx="212">
                  <c:v>1.45680150516534E-2</c:v>
                </c:pt>
                <c:pt idx="213">
                  <c:v>1.3920790673874001E-2</c:v>
                </c:pt>
                <c:pt idx="214">
                  <c:v>1.3661531935889501E-2</c:v>
                </c:pt>
                <c:pt idx="215">
                  <c:v>1.34763533417723E-2</c:v>
                </c:pt>
                <c:pt idx="216">
                  <c:v>1.4035368022157799E-2</c:v>
                </c:pt>
                <c:pt idx="217">
                  <c:v>1.4751596726165699E-2</c:v>
                </c:pt>
                <c:pt idx="218">
                  <c:v>1.50429383381192E-2</c:v>
                </c:pt>
                <c:pt idx="219">
                  <c:v>1.5560523398512801E-2</c:v>
                </c:pt>
                <c:pt idx="220">
                  <c:v>1.53015772638848E-2</c:v>
                </c:pt>
                <c:pt idx="221">
                  <c:v>1.56900212975884E-2</c:v>
                </c:pt>
                <c:pt idx="222">
                  <c:v>1.5009197217518E-2</c:v>
                </c:pt>
                <c:pt idx="223">
                  <c:v>1.5782392112989398E-2</c:v>
                </c:pt>
                <c:pt idx="224">
                  <c:v>1.50631835501855E-2</c:v>
                </c:pt>
                <c:pt idx="225">
                  <c:v>1.4229817375692099E-2</c:v>
                </c:pt>
                <c:pt idx="226">
                  <c:v>1.54199513129906E-2</c:v>
                </c:pt>
                <c:pt idx="227">
                  <c:v>1.52634883535254E-2</c:v>
                </c:pt>
                <c:pt idx="228">
                  <c:v>1.45921052372143E-2</c:v>
                </c:pt>
                <c:pt idx="229">
                  <c:v>1.38616979544009E-2</c:v>
                </c:pt>
                <c:pt idx="230">
                  <c:v>1.4516734578232901E-2</c:v>
                </c:pt>
                <c:pt idx="231">
                  <c:v>1.5222508214444701E-2</c:v>
                </c:pt>
                <c:pt idx="232">
                  <c:v>1.4108945579903999E-2</c:v>
                </c:pt>
                <c:pt idx="233">
                  <c:v>1.4162021237537801E-2</c:v>
                </c:pt>
                <c:pt idx="234">
                  <c:v>1.4418271065415499E-2</c:v>
                </c:pt>
                <c:pt idx="235">
                  <c:v>1.49691913457362E-2</c:v>
                </c:pt>
                <c:pt idx="236">
                  <c:v>1.48395446235609E-2</c:v>
                </c:pt>
                <c:pt idx="237">
                  <c:v>1.47303939925177E-2</c:v>
                </c:pt>
                <c:pt idx="238">
                  <c:v>1.42681809034547E-2</c:v>
                </c:pt>
                <c:pt idx="239">
                  <c:v>1.4854725444766299E-2</c:v>
                </c:pt>
                <c:pt idx="240">
                  <c:v>1.45439254393593E-2</c:v>
                </c:pt>
                <c:pt idx="241">
                  <c:v>1.43328472476979E-2</c:v>
                </c:pt>
                <c:pt idx="242">
                  <c:v>1.54881854116587E-2</c:v>
                </c:pt>
                <c:pt idx="243">
                  <c:v>1.50063051737834E-2</c:v>
                </c:pt>
                <c:pt idx="244">
                  <c:v>1.4238503330107E-2</c:v>
                </c:pt>
                <c:pt idx="245">
                  <c:v>1.38879877586057E-2</c:v>
                </c:pt>
                <c:pt idx="246">
                  <c:v>1.3540969105623499E-2</c:v>
                </c:pt>
                <c:pt idx="247">
                  <c:v>1.4805328369212899E-2</c:v>
                </c:pt>
                <c:pt idx="248">
                  <c:v>1.55525659670444E-2</c:v>
                </c:pt>
                <c:pt idx="249">
                  <c:v>1.4998111094727399E-2</c:v>
                </c:pt>
                <c:pt idx="250">
                  <c:v>1.51492302175974E-2</c:v>
                </c:pt>
                <c:pt idx="251">
                  <c:v>1.48002683170727E-2</c:v>
                </c:pt>
                <c:pt idx="252">
                  <c:v>1.4483429671113201E-2</c:v>
                </c:pt>
                <c:pt idx="253">
                  <c:v>1.46330598683737E-2</c:v>
                </c:pt>
                <c:pt idx="254">
                  <c:v>1.41596086472617E-2</c:v>
                </c:pt>
                <c:pt idx="255">
                  <c:v>1.4536042272512199E-2</c:v>
                </c:pt>
                <c:pt idx="256">
                  <c:v>1.53266492272503E-2</c:v>
                </c:pt>
                <c:pt idx="257">
                  <c:v>1.49212345826354E-2</c:v>
                </c:pt>
                <c:pt idx="258">
                  <c:v>1.49961830857629E-2</c:v>
                </c:pt>
                <c:pt idx="259">
                  <c:v>1.4559583622142399E-2</c:v>
                </c:pt>
                <c:pt idx="260">
                  <c:v>1.53630528943742E-2</c:v>
                </c:pt>
                <c:pt idx="261">
                  <c:v>1.46255915474078E-2</c:v>
                </c:pt>
                <c:pt idx="262">
                  <c:v>1.3150685205713599E-2</c:v>
                </c:pt>
                <c:pt idx="263">
                  <c:v>1.37430405476122E-2</c:v>
                </c:pt>
                <c:pt idx="264">
                  <c:v>1.4147304526309299E-2</c:v>
                </c:pt>
                <c:pt idx="265">
                  <c:v>1.3872069079992701E-2</c:v>
                </c:pt>
                <c:pt idx="266">
                  <c:v>1.35216803858484E-2</c:v>
                </c:pt>
                <c:pt idx="267">
                  <c:v>1.35703851112681E-2</c:v>
                </c:pt>
                <c:pt idx="268">
                  <c:v>1.421823621909E-2</c:v>
                </c:pt>
                <c:pt idx="269">
                  <c:v>1.4153335939458099E-2</c:v>
                </c:pt>
                <c:pt idx="270">
                  <c:v>1.38899173124232E-2</c:v>
                </c:pt>
                <c:pt idx="271">
                  <c:v>1.3479246496681301E-2</c:v>
                </c:pt>
                <c:pt idx="272">
                  <c:v>1.34259655538849E-2</c:v>
                </c:pt>
                <c:pt idx="273">
                  <c:v>1.3326402806084599E-2</c:v>
                </c:pt>
                <c:pt idx="274">
                  <c:v>1.27063450697766E-2</c:v>
                </c:pt>
                <c:pt idx="275">
                  <c:v>1.27205590039222E-2</c:v>
                </c:pt>
                <c:pt idx="276">
                  <c:v>1.30318701619972E-2</c:v>
                </c:pt>
                <c:pt idx="277">
                  <c:v>1.30340390742521E-2</c:v>
                </c:pt>
                <c:pt idx="278">
                  <c:v>1.31277887263751E-2</c:v>
                </c:pt>
                <c:pt idx="279">
                  <c:v>1.3130439871137701E-2</c:v>
                </c:pt>
                <c:pt idx="280">
                  <c:v>1.3154300486667599E-2</c:v>
                </c:pt>
                <c:pt idx="281">
                  <c:v>1.2999578018494501E-2</c:v>
                </c:pt>
                <c:pt idx="282">
                  <c:v>1.2385018920495299E-2</c:v>
                </c:pt>
                <c:pt idx="283">
                  <c:v>1.25167647452782E-2</c:v>
                </c:pt>
                <c:pt idx="284">
                  <c:v>1.3122727469303701E-2</c:v>
                </c:pt>
                <c:pt idx="285">
                  <c:v>1.40401926161643E-2</c:v>
                </c:pt>
                <c:pt idx="286">
                  <c:v>1.40812025938509E-2</c:v>
                </c:pt>
                <c:pt idx="287">
                  <c:v>1.41977282460408E-2</c:v>
                </c:pt>
                <c:pt idx="288">
                  <c:v>1.3697221289199899E-2</c:v>
                </c:pt>
                <c:pt idx="289">
                  <c:v>1.35416924397684E-2</c:v>
                </c:pt>
                <c:pt idx="290">
                  <c:v>1.36345246133535E-2</c:v>
                </c:pt>
                <c:pt idx="291">
                  <c:v>1.3465745177885E-2</c:v>
                </c:pt>
                <c:pt idx="292">
                  <c:v>1.3221547067614E-2</c:v>
                </c:pt>
                <c:pt idx="293">
                  <c:v>1.28501800266885E-2</c:v>
                </c:pt>
                <c:pt idx="294">
                  <c:v>1.3036448982212101E-2</c:v>
                </c:pt>
                <c:pt idx="295">
                  <c:v>1.3152372335217599E-2</c:v>
                </c:pt>
                <c:pt idx="296">
                  <c:v>1.27619973757359E-2</c:v>
                </c:pt>
                <c:pt idx="297">
                  <c:v>1.27646475619283E-2</c:v>
                </c:pt>
                <c:pt idx="298">
                  <c:v>1.17520594700989E-2</c:v>
                </c:pt>
                <c:pt idx="299">
                  <c:v>1.2024311071228399E-2</c:v>
                </c:pt>
                <c:pt idx="300">
                  <c:v>1.19215160427107E-2</c:v>
                </c:pt>
                <c:pt idx="301">
                  <c:v>1.2771634449722499E-2</c:v>
                </c:pt>
                <c:pt idx="302">
                  <c:v>1.38238321890332E-2</c:v>
                </c:pt>
                <c:pt idx="303">
                  <c:v>1.33630446149977E-2</c:v>
                </c:pt>
                <c:pt idx="304">
                  <c:v>1.4367112432964201E-2</c:v>
                </c:pt>
                <c:pt idx="305">
                  <c:v>1.4014622530009299E-2</c:v>
                </c:pt>
                <c:pt idx="306">
                  <c:v>1.38655569654603E-2</c:v>
                </c:pt>
                <c:pt idx="307">
                  <c:v>1.3623191398079999E-2</c:v>
                </c:pt>
                <c:pt idx="308">
                  <c:v>1.5069691025744699E-2</c:v>
                </c:pt>
                <c:pt idx="309">
                  <c:v>1.4682930391634701E-2</c:v>
                </c:pt>
                <c:pt idx="310">
                  <c:v>1.31309218982047E-2</c:v>
                </c:pt>
                <c:pt idx="311">
                  <c:v>1.31015186674428E-2</c:v>
                </c:pt>
                <c:pt idx="312">
                  <c:v>1.1867354248534299E-2</c:v>
                </c:pt>
                <c:pt idx="313">
                  <c:v>1.41448919711137E-2</c:v>
                </c:pt>
                <c:pt idx="314">
                  <c:v>1.37727035949244E-2</c:v>
                </c:pt>
                <c:pt idx="315">
                  <c:v>1.17263064832461E-2</c:v>
                </c:pt>
                <c:pt idx="316">
                  <c:v>1.2276648567938E-2</c:v>
                </c:pt>
                <c:pt idx="317">
                  <c:v>1.29070450482875E-2</c:v>
                </c:pt>
                <c:pt idx="318">
                  <c:v>1.2987047016567801E-2</c:v>
                </c:pt>
                <c:pt idx="319">
                  <c:v>1.2949213971862701E-2</c:v>
                </c:pt>
                <c:pt idx="320">
                  <c:v>1.5215758703544999E-2</c:v>
                </c:pt>
                <c:pt idx="321">
                  <c:v>1.3892329259869E-2</c:v>
                </c:pt>
                <c:pt idx="322">
                  <c:v>1.25316986274515E-2</c:v>
                </c:pt>
                <c:pt idx="323">
                  <c:v>1.1782626950846699E-2</c:v>
                </c:pt>
                <c:pt idx="324">
                  <c:v>1.22032041543743E-2</c:v>
                </c:pt>
                <c:pt idx="325">
                  <c:v>1.17648158654357E-2</c:v>
                </c:pt>
                <c:pt idx="326">
                  <c:v>1.12984696800916E-2</c:v>
                </c:pt>
                <c:pt idx="327">
                  <c:v>1.1753503582245899E-2</c:v>
                </c:pt>
                <c:pt idx="328">
                  <c:v>1.2127838876006001E-2</c:v>
                </c:pt>
                <c:pt idx="329">
                  <c:v>1.1692852648246099E-2</c:v>
                </c:pt>
                <c:pt idx="330">
                  <c:v>1.2009625427241001E-2</c:v>
                </c:pt>
                <c:pt idx="331">
                  <c:v>1.2046941825499599E-2</c:v>
                </c:pt>
                <c:pt idx="332">
                  <c:v>1.19499220547195E-2</c:v>
                </c:pt>
                <c:pt idx="333">
                  <c:v>1.19655697751335E-2</c:v>
                </c:pt>
                <c:pt idx="334">
                  <c:v>1.27485056264201E-2</c:v>
                </c:pt>
                <c:pt idx="335">
                  <c:v>1.2897406684021199E-2</c:v>
                </c:pt>
                <c:pt idx="336">
                  <c:v>1.28272903484168E-2</c:v>
                </c:pt>
                <c:pt idx="337">
                  <c:v>1.25485597272179E-2</c:v>
                </c:pt>
                <c:pt idx="338">
                  <c:v>1.1889018618006101E-2</c:v>
                </c:pt>
                <c:pt idx="339">
                  <c:v>1.1839672674245899E-2</c:v>
                </c:pt>
                <c:pt idx="340">
                  <c:v>1.2560844419784001E-2</c:v>
                </c:pt>
                <c:pt idx="341">
                  <c:v>1.276344293098E-2</c:v>
                </c:pt>
                <c:pt idx="342">
                  <c:v>1.28181346221494E-2</c:v>
                </c:pt>
                <c:pt idx="343">
                  <c:v>1.2590231936880501E-2</c:v>
                </c:pt>
                <c:pt idx="344">
                  <c:v>1.2785126507572299E-2</c:v>
                </c:pt>
                <c:pt idx="345">
                  <c:v>1.28383737068934E-2</c:v>
                </c:pt>
                <c:pt idx="346">
                  <c:v>1.55542539018286E-2</c:v>
                </c:pt>
                <c:pt idx="347">
                  <c:v>1.47870159194159E-2</c:v>
                </c:pt>
                <c:pt idx="348">
                  <c:v>1.3847226793991901E-2</c:v>
                </c:pt>
                <c:pt idx="349">
                  <c:v>1.3238178631955699E-2</c:v>
                </c:pt>
                <c:pt idx="350">
                  <c:v>1.4826050751356901E-2</c:v>
                </c:pt>
                <c:pt idx="351">
                  <c:v>1.41173892483483E-2</c:v>
                </c:pt>
                <c:pt idx="352">
                  <c:v>1.42725240359594E-2</c:v>
                </c:pt>
                <c:pt idx="353">
                  <c:v>1.5366669224152399E-2</c:v>
                </c:pt>
                <c:pt idx="354">
                  <c:v>1.54633505609431E-2</c:v>
                </c:pt>
                <c:pt idx="355">
                  <c:v>1.5998760910519501E-2</c:v>
                </c:pt>
                <c:pt idx="356">
                  <c:v>1.5895274415169601E-2</c:v>
                </c:pt>
                <c:pt idx="357">
                  <c:v>1.5996348517552599E-2</c:v>
                </c:pt>
                <c:pt idx="358">
                  <c:v>1.43567362332914E-2</c:v>
                </c:pt>
                <c:pt idx="359">
                  <c:v>1.3868692422781799E-2</c:v>
                </c:pt>
                <c:pt idx="360">
                  <c:v>1.2431019625703E-2</c:v>
                </c:pt>
                <c:pt idx="361">
                  <c:v>1.32531231693746E-2</c:v>
                </c:pt>
                <c:pt idx="362">
                  <c:v>1.3310251903822E-2</c:v>
                </c:pt>
                <c:pt idx="363">
                  <c:v>1.29747571462342E-2</c:v>
                </c:pt>
                <c:pt idx="364">
                  <c:v>1.2114837127776499E-2</c:v>
                </c:pt>
                <c:pt idx="365">
                  <c:v>1.10521486446097E-2</c:v>
                </c:pt>
                <c:pt idx="366">
                  <c:v>1.19910881156355E-2</c:v>
                </c:pt>
                <c:pt idx="367">
                  <c:v>1.2299525786362399E-2</c:v>
                </c:pt>
                <c:pt idx="368">
                  <c:v>1.17282319175149E-2</c:v>
                </c:pt>
                <c:pt idx="369">
                  <c:v>1.17368964171087E-2</c:v>
                </c:pt>
                <c:pt idx="370">
                  <c:v>1.21656412048247E-2</c:v>
                </c:pt>
                <c:pt idx="371">
                  <c:v>1.30875403820586E-2</c:v>
                </c:pt>
                <c:pt idx="372">
                  <c:v>1.3626567236163799E-2</c:v>
                </c:pt>
                <c:pt idx="373">
                  <c:v>1.4037780316286001E-2</c:v>
                </c:pt>
                <c:pt idx="374">
                  <c:v>1.28350004979785E-2</c:v>
                </c:pt>
                <c:pt idx="375">
                  <c:v>1.4474017613345399E-2</c:v>
                </c:pt>
                <c:pt idx="376">
                  <c:v>1.41441682056764E-2</c:v>
                </c:pt>
                <c:pt idx="377">
                  <c:v>1.14546163459782E-2</c:v>
                </c:pt>
                <c:pt idx="378">
                  <c:v>1.11303202042463E-2</c:v>
                </c:pt>
                <c:pt idx="379">
                  <c:v>1.16733584779623E-2</c:v>
                </c:pt>
                <c:pt idx="380">
                  <c:v>1.1616322138845E-2</c:v>
                </c:pt>
                <c:pt idx="381">
                  <c:v>1.1590572609800899E-2</c:v>
                </c:pt>
                <c:pt idx="382">
                  <c:v>1.24671473010188E-2</c:v>
                </c:pt>
                <c:pt idx="383">
                  <c:v>1.11471579470355E-2</c:v>
                </c:pt>
                <c:pt idx="384">
                  <c:v>1.1382194014421801E-2</c:v>
                </c:pt>
                <c:pt idx="385">
                  <c:v>1.23968199489769E-2</c:v>
                </c:pt>
                <c:pt idx="386">
                  <c:v>1.2144693242922701E-2</c:v>
                </c:pt>
                <c:pt idx="387">
                  <c:v>1.23245709136879E-2</c:v>
                </c:pt>
                <c:pt idx="388">
                  <c:v>1.21271165522736E-2</c:v>
                </c:pt>
                <c:pt idx="389">
                  <c:v>1.17619276108851E-2</c:v>
                </c:pt>
                <c:pt idx="390">
                  <c:v>1.1753503582245899E-2</c:v>
                </c:pt>
                <c:pt idx="391">
                  <c:v>1.19788103431103E-2</c:v>
                </c:pt>
                <c:pt idx="392">
                  <c:v>1.1568192710821599E-2</c:v>
                </c:pt>
                <c:pt idx="393">
                  <c:v>1.17879221989175E-2</c:v>
                </c:pt>
                <c:pt idx="394">
                  <c:v>1.2041163712423E-2</c:v>
                </c:pt>
                <c:pt idx="395">
                  <c:v>1.2024311071228399E-2</c:v>
                </c:pt>
                <c:pt idx="396">
                  <c:v>1.2228006097467801E-2</c:v>
                </c:pt>
                <c:pt idx="397">
                  <c:v>1.0772945156908501E-2</c:v>
                </c:pt>
                <c:pt idx="398">
                  <c:v>1.03605044740358E-2</c:v>
                </c:pt>
                <c:pt idx="399">
                  <c:v>1.09386302544042E-2</c:v>
                </c:pt>
                <c:pt idx="400">
                  <c:v>1.0483566355244099E-2</c:v>
                </c:pt>
                <c:pt idx="401">
                  <c:v>1.0590745959462199E-2</c:v>
                </c:pt>
                <c:pt idx="402">
                  <c:v>1.1215473953002699E-2</c:v>
                </c:pt>
                <c:pt idx="403">
                  <c:v>1.12378460432212E-2</c:v>
                </c:pt>
                <c:pt idx="404">
                  <c:v>1.1184201968685401E-2</c:v>
                </c:pt>
                <c:pt idx="405">
                  <c:v>1.13564504490744E-2</c:v>
                </c:pt>
                <c:pt idx="406">
                  <c:v>1.16748024776838E-2</c:v>
                </c:pt>
                <c:pt idx="407">
                  <c:v>1.17819048737135E-2</c:v>
                </c:pt>
                <c:pt idx="408">
                  <c:v>1.1576133908580999E-2</c:v>
                </c:pt>
                <c:pt idx="409">
                  <c:v>1.17520594700989E-2</c:v>
                </c:pt>
                <c:pt idx="410">
                  <c:v>1.2090037960478099E-2</c:v>
                </c:pt>
                <c:pt idx="411">
                  <c:v>1.27367004934034E-2</c:v>
                </c:pt>
                <c:pt idx="412">
                  <c:v>1.28082561683388E-2</c:v>
                </c:pt>
                <c:pt idx="413">
                  <c:v>1.2994758383997501E-2</c:v>
                </c:pt>
                <c:pt idx="414">
                  <c:v>1.2939575205766E-2</c:v>
                </c:pt>
                <c:pt idx="415">
                  <c:v>1.2988492893483E-2</c:v>
                </c:pt>
                <c:pt idx="416">
                  <c:v>1.29193340959307E-2</c:v>
                </c:pt>
                <c:pt idx="417">
                  <c:v>1.2829458822040601E-2</c:v>
                </c:pt>
                <c:pt idx="418">
                  <c:v>1.276344293098E-2</c:v>
                </c:pt>
                <c:pt idx="419">
                  <c:v>1.2638891834580701E-2</c:v>
                </c:pt>
                <c:pt idx="420">
                  <c:v>1.29557201909021E-2</c:v>
                </c:pt>
                <c:pt idx="421">
                  <c:v>1.3056210444050099E-2</c:v>
                </c:pt>
                <c:pt idx="422">
                  <c:v>1.2858854145377199E-2</c:v>
                </c:pt>
                <c:pt idx="423">
                  <c:v>1.2304342108826199E-2</c:v>
                </c:pt>
                <c:pt idx="424">
                  <c:v>1.1577096482245801E-2</c:v>
                </c:pt>
                <c:pt idx="425">
                  <c:v>1.17881628926708E-2</c:v>
                </c:pt>
                <c:pt idx="426">
                  <c:v>1.2077277460925E-2</c:v>
                </c:pt>
                <c:pt idx="427">
                  <c:v>1.1612712352250899E-2</c:v>
                </c:pt>
                <c:pt idx="428">
                  <c:v>1.16473668356987E-2</c:v>
                </c:pt>
                <c:pt idx="429">
                  <c:v>1.19491998580857E-2</c:v>
                </c:pt>
                <c:pt idx="430">
                  <c:v>1.14803624117808E-2</c:v>
                </c:pt>
                <c:pt idx="431">
                  <c:v>1.0903038131001099E-2</c:v>
                </c:pt>
                <c:pt idx="432">
                  <c:v>1.07748687757412E-2</c:v>
                </c:pt>
                <c:pt idx="433">
                  <c:v>1.0387475658417701E-2</c:v>
                </c:pt>
                <c:pt idx="434">
                  <c:v>1.0757796786576001E-2</c:v>
                </c:pt>
                <c:pt idx="435">
                  <c:v>1.14139533349167E-2</c:v>
                </c:pt>
                <c:pt idx="436">
                  <c:v>1.17210115579163E-2</c:v>
                </c:pt>
                <c:pt idx="437">
                  <c:v>1.2203926532464601E-2</c:v>
                </c:pt>
                <c:pt idx="438">
                  <c:v>1.19419779201216E-2</c:v>
                </c:pt>
                <c:pt idx="439">
                  <c:v>1.19369225942422E-2</c:v>
                </c:pt>
                <c:pt idx="440">
                  <c:v>1.24274069291587E-2</c:v>
                </c:pt>
                <c:pt idx="441">
                  <c:v>1.2841987871786E-2</c:v>
                </c:pt>
                <c:pt idx="442">
                  <c:v>1.2448360748776499E-2</c:v>
                </c:pt>
                <c:pt idx="443">
                  <c:v>1.15511073150312E-2</c:v>
                </c:pt>
                <c:pt idx="444">
                  <c:v>1.1617284750780501E-2</c:v>
                </c:pt>
                <c:pt idx="445">
                  <c:v>1.2716463443088201E-2</c:v>
                </c:pt>
                <c:pt idx="446">
                  <c:v>1.2410788691288799E-2</c:v>
                </c:pt>
                <c:pt idx="447">
                  <c:v>1.18100662641012E-2</c:v>
                </c:pt>
                <c:pt idx="448">
                  <c:v>1.12823511360304E-2</c:v>
                </c:pt>
                <c:pt idx="449">
                  <c:v>1.13119420932477E-2</c:v>
                </c:pt>
                <c:pt idx="450">
                  <c:v>1.16841885261525E-2</c:v>
                </c:pt>
                <c:pt idx="451">
                  <c:v>1.2243417320016201E-2</c:v>
                </c:pt>
                <c:pt idx="452">
                  <c:v>1.3102723701088399E-2</c:v>
                </c:pt>
                <c:pt idx="453">
                  <c:v>1.20967794214845E-2</c:v>
                </c:pt>
                <c:pt idx="454">
                  <c:v>1.0689505772068701E-2</c:v>
                </c:pt>
                <c:pt idx="455">
                  <c:v>1.08982284807475E-2</c:v>
                </c:pt>
                <c:pt idx="456">
                  <c:v>1.1782386258411701E-2</c:v>
                </c:pt>
                <c:pt idx="457">
                  <c:v>1.2771875377748701E-2</c:v>
                </c:pt>
                <c:pt idx="458">
                  <c:v>1.2130728176095401E-2</c:v>
                </c:pt>
                <c:pt idx="459">
                  <c:v>1.1947033271279699E-2</c:v>
                </c:pt>
                <c:pt idx="460">
                  <c:v>1.16531426984468E-2</c:v>
                </c:pt>
                <c:pt idx="461">
                  <c:v>1.16865952192851E-2</c:v>
                </c:pt>
                <c:pt idx="462">
                  <c:v>1.1369201852757299E-2</c:v>
                </c:pt>
                <c:pt idx="463">
                  <c:v>1.0204952589125999E-2</c:v>
                </c:pt>
                <c:pt idx="464">
                  <c:v>9.4720621753365906E-3</c:v>
                </c:pt>
                <c:pt idx="465">
                  <c:v>9.2047918482364606E-3</c:v>
                </c:pt>
                <c:pt idx="466">
                  <c:v>9.0592783493823707E-3</c:v>
                </c:pt>
                <c:pt idx="467">
                  <c:v>8.8483811368024901E-3</c:v>
                </c:pt>
                <c:pt idx="468">
                  <c:v>8.6209404859411004E-3</c:v>
                </c:pt>
                <c:pt idx="469">
                  <c:v>8.6735886784612606E-3</c:v>
                </c:pt>
                <c:pt idx="470">
                  <c:v>9.6672069755917509E-3</c:v>
                </c:pt>
                <c:pt idx="471">
                  <c:v>1.04570742731436E-2</c:v>
                </c:pt>
                <c:pt idx="472">
                  <c:v>1.10035650607315E-2</c:v>
                </c:pt>
                <c:pt idx="473">
                  <c:v>1.1633889950962199E-2</c:v>
                </c:pt>
                <c:pt idx="474">
                  <c:v>1.23934482125006E-2</c:v>
                </c:pt>
                <c:pt idx="475">
                  <c:v>1.25121882771455E-2</c:v>
                </c:pt>
                <c:pt idx="476">
                  <c:v>1.26246790481523E-2</c:v>
                </c:pt>
                <c:pt idx="477">
                  <c:v>1.2320717776800201E-2</c:v>
                </c:pt>
                <c:pt idx="478">
                  <c:v>1.22347484784304E-2</c:v>
                </c:pt>
                <c:pt idx="479">
                  <c:v>1.22850769566134E-2</c:v>
                </c:pt>
                <c:pt idx="480">
                  <c:v>1.23387794828567E-2</c:v>
                </c:pt>
                <c:pt idx="481">
                  <c:v>1.1805974389435101E-2</c:v>
                </c:pt>
                <c:pt idx="482">
                  <c:v>1.1304484128059801E-2</c:v>
                </c:pt>
                <c:pt idx="483">
                  <c:v>1.16569932919469E-2</c:v>
                </c:pt>
                <c:pt idx="484">
                  <c:v>1.30506675560419E-2</c:v>
                </c:pt>
                <c:pt idx="485">
                  <c:v>1.35817177350834E-2</c:v>
                </c:pt>
                <c:pt idx="486">
                  <c:v>1.4209791709274701E-2</c:v>
                </c:pt>
                <c:pt idx="487">
                  <c:v>1.4494289846513801E-2</c:v>
                </c:pt>
                <c:pt idx="488">
                  <c:v>1.4680039279726101E-2</c:v>
                </c:pt>
                <c:pt idx="489">
                  <c:v>1.32577029911647E-2</c:v>
                </c:pt>
                <c:pt idx="490">
                  <c:v>1.25851733689931E-2</c:v>
                </c:pt>
                <c:pt idx="491">
                  <c:v>1.2110021707897701E-2</c:v>
                </c:pt>
                <c:pt idx="492">
                  <c:v>1.18842042735581E-2</c:v>
                </c:pt>
                <c:pt idx="493">
                  <c:v>1.20890748982895E-2</c:v>
                </c:pt>
                <c:pt idx="494">
                  <c:v>1.2016607100241701E-2</c:v>
                </c:pt>
                <c:pt idx="495">
                  <c:v>1.21716608143822E-2</c:v>
                </c:pt>
                <c:pt idx="496">
                  <c:v>1.2125431132238299E-2</c:v>
                </c:pt>
                <c:pt idx="497">
                  <c:v>1.2296395189062901E-2</c:v>
                </c:pt>
                <c:pt idx="498">
                  <c:v>1.2087871071843699E-2</c:v>
                </c:pt>
                <c:pt idx="499">
                  <c:v>1.22590695833416E-2</c:v>
                </c:pt>
                <c:pt idx="500">
                  <c:v>1.1753022211300901E-2</c:v>
                </c:pt>
                <c:pt idx="501">
                  <c:v>1.1975921477126001E-2</c:v>
                </c:pt>
                <c:pt idx="502">
                  <c:v>1.16086212763614E-2</c:v>
                </c:pt>
                <c:pt idx="503">
                  <c:v>1.17205302024434E-2</c:v>
                </c:pt>
                <c:pt idx="504">
                  <c:v>1.14885435419553E-2</c:v>
                </c:pt>
                <c:pt idx="505">
                  <c:v>1.1441863864661899E-2</c:v>
                </c:pt>
                <c:pt idx="506">
                  <c:v>1.1704404926554101E-2</c:v>
                </c:pt>
                <c:pt idx="507">
                  <c:v>1.16974254092902E-2</c:v>
                </c:pt>
                <c:pt idx="508">
                  <c:v>1.15571232665237E-2</c:v>
                </c:pt>
                <c:pt idx="509">
                  <c:v>1.1565545658765899E-2</c:v>
                </c:pt>
                <c:pt idx="510">
                  <c:v>1.17202895247931E-2</c:v>
                </c:pt>
                <c:pt idx="511">
                  <c:v>1.2334203820143301E-2</c:v>
                </c:pt>
                <c:pt idx="512">
                  <c:v>1.21153186710257E-2</c:v>
                </c:pt>
                <c:pt idx="513">
                  <c:v>1.1708015040599699E-2</c:v>
                </c:pt>
                <c:pt idx="514">
                  <c:v>1.10812518110245E-2</c:v>
                </c:pt>
                <c:pt idx="515">
                  <c:v>1.05709951553375E-2</c:v>
                </c:pt>
                <c:pt idx="516">
                  <c:v>1.06256721069358E-2</c:v>
                </c:pt>
                <c:pt idx="517">
                  <c:v>1.1275615104226901E-2</c:v>
                </c:pt>
                <c:pt idx="518">
                  <c:v>1.18054929935045E-2</c:v>
                </c:pt>
                <c:pt idx="519">
                  <c:v>1.20129958840497E-2</c:v>
                </c:pt>
                <c:pt idx="520">
                  <c:v>1.21210972079054E-2</c:v>
                </c:pt>
                <c:pt idx="521">
                  <c:v>1.2069813847154101E-2</c:v>
                </c:pt>
                <c:pt idx="522">
                  <c:v>1.15070716403831E-2</c:v>
                </c:pt>
                <c:pt idx="523">
                  <c:v>1.0476582011621801E-2</c:v>
                </c:pt>
                <c:pt idx="524">
                  <c:v>9.9040301029907907E-3</c:v>
                </c:pt>
                <c:pt idx="525">
                  <c:v>1.00349805506492E-2</c:v>
                </c:pt>
                <c:pt idx="526">
                  <c:v>1.03660431406459E-2</c:v>
                </c:pt>
                <c:pt idx="527">
                  <c:v>1.14719407292979E-2</c:v>
                </c:pt>
                <c:pt idx="528">
                  <c:v>1.16697484876832E-2</c:v>
                </c:pt>
                <c:pt idx="529">
                  <c:v>1.1771795848001599E-2</c:v>
                </c:pt>
                <c:pt idx="530">
                  <c:v>1.2189479068710899E-2</c:v>
                </c:pt>
                <c:pt idx="531">
                  <c:v>1.23435959922918E-2</c:v>
                </c:pt>
                <c:pt idx="532">
                  <c:v>1.23874272824698E-2</c:v>
                </c:pt>
                <c:pt idx="533">
                  <c:v>1.28583722479429E-2</c:v>
                </c:pt>
                <c:pt idx="534">
                  <c:v>1.3049221590252401E-2</c:v>
                </c:pt>
                <c:pt idx="535">
                  <c:v>1.2238842088806601E-2</c:v>
                </c:pt>
                <c:pt idx="536">
                  <c:v>1.2133617484441601E-2</c:v>
                </c:pt>
                <c:pt idx="537">
                  <c:v>1.1962921682346301E-2</c:v>
                </c:pt>
                <c:pt idx="538">
                  <c:v>1.1596588796180401E-2</c:v>
                </c:pt>
                <c:pt idx="539">
                  <c:v>1.16485701377164E-2</c:v>
                </c:pt>
                <c:pt idx="540">
                  <c:v>1.2069332325577E-2</c:v>
                </c:pt>
                <c:pt idx="541">
                  <c:v>1.1763853113002E-2</c:v>
                </c:pt>
                <c:pt idx="542">
                  <c:v>1.1836543500488701E-2</c:v>
                </c:pt>
                <c:pt idx="543">
                  <c:v>1.18661506860647E-2</c:v>
                </c:pt>
                <c:pt idx="544">
                  <c:v>1.19258491115987E-2</c:v>
                </c:pt>
                <c:pt idx="545">
                  <c:v>1.20621095294389E-2</c:v>
                </c:pt>
                <c:pt idx="546">
                  <c:v>1.25805965912786E-2</c:v>
                </c:pt>
                <c:pt idx="547">
                  <c:v>1.2082815016423E-2</c:v>
                </c:pt>
                <c:pt idx="548">
                  <c:v>1.1491671638639501E-2</c:v>
                </c:pt>
                <c:pt idx="549">
                  <c:v>1.15383536162802E-2</c:v>
                </c:pt>
                <c:pt idx="550">
                  <c:v>1.1220285113400501E-2</c:v>
                </c:pt>
                <c:pt idx="551">
                  <c:v>1.1326858188725799E-2</c:v>
                </c:pt>
                <c:pt idx="552">
                  <c:v>1.16663791750542E-2</c:v>
                </c:pt>
                <c:pt idx="553">
                  <c:v>1.24151238574477E-2</c:v>
                </c:pt>
                <c:pt idx="554">
                  <c:v>1.2207056843487199E-2</c:v>
                </c:pt>
                <c:pt idx="555">
                  <c:v>1.2421626641533101E-2</c:v>
                </c:pt>
                <c:pt idx="556">
                  <c:v>1.1931626565671399E-2</c:v>
                </c:pt>
                <c:pt idx="557">
                  <c:v>1.1605011517267999E-2</c:v>
                </c:pt>
                <c:pt idx="558">
                  <c:v>1.14555788039281E-2</c:v>
                </c:pt>
                <c:pt idx="559">
                  <c:v>1.15024997403769E-2</c:v>
                </c:pt>
                <c:pt idx="560">
                  <c:v>1.16610845636123E-2</c:v>
                </c:pt>
                <c:pt idx="561">
                  <c:v>1.2692613153624599E-2</c:v>
                </c:pt>
                <c:pt idx="562">
                  <c:v>1.2327219953815201E-2</c:v>
                </c:pt>
                <c:pt idx="563">
                  <c:v>1.2488342804597799E-2</c:v>
                </c:pt>
                <c:pt idx="564">
                  <c:v>1.27665749744301E-2</c:v>
                </c:pt>
                <c:pt idx="565">
                  <c:v>1.24300562386959E-2</c:v>
                </c:pt>
                <c:pt idx="566">
                  <c:v>1.2278575050584301E-2</c:v>
                </c:pt>
                <c:pt idx="567">
                  <c:v>1.1128155371955399E-2</c:v>
                </c:pt>
                <c:pt idx="568">
                  <c:v>1.1174580014338501E-2</c:v>
                </c:pt>
                <c:pt idx="569">
                  <c:v>1.0891014048291099E-2</c:v>
                </c:pt>
                <c:pt idx="570">
                  <c:v>1.0697936935011801E-2</c:v>
                </c:pt>
                <c:pt idx="571">
                  <c:v>1.05117450595523E-2</c:v>
                </c:pt>
                <c:pt idx="572">
                  <c:v>1.0510781672069799E-2</c:v>
                </c:pt>
                <c:pt idx="573">
                  <c:v>1.05274002348983E-2</c:v>
                </c:pt>
                <c:pt idx="574">
                  <c:v>1.0736637538344701E-2</c:v>
                </c:pt>
                <c:pt idx="575">
                  <c:v>1.0866725837632501E-2</c:v>
                </c:pt>
                <c:pt idx="576">
                  <c:v>1.0788093754353099E-2</c:v>
                </c:pt>
                <c:pt idx="577">
                  <c:v>1.11178123483492E-2</c:v>
                </c:pt>
                <c:pt idx="578">
                  <c:v>1.0776311492269E-2</c:v>
                </c:pt>
                <c:pt idx="579">
                  <c:v>1.0610978890875001E-2</c:v>
                </c:pt>
                <c:pt idx="580">
                  <c:v>1.1086062332472399E-2</c:v>
                </c:pt>
                <c:pt idx="581">
                  <c:v>1.15872035610686E-2</c:v>
                </c:pt>
                <c:pt idx="582">
                  <c:v>1.1706811667818701E-2</c:v>
                </c:pt>
                <c:pt idx="583">
                  <c:v>1.16288361655091E-2</c:v>
                </c:pt>
                <c:pt idx="584">
                  <c:v>1.14914310154739E-2</c:v>
                </c:pt>
                <c:pt idx="585">
                  <c:v>1.1383878195754401E-2</c:v>
                </c:pt>
                <c:pt idx="586">
                  <c:v>1.16950186903727E-2</c:v>
                </c:pt>
                <c:pt idx="587">
                  <c:v>1.17356930099462E-2</c:v>
                </c:pt>
                <c:pt idx="588">
                  <c:v>1.1936681865069E-2</c:v>
                </c:pt>
                <c:pt idx="589">
                  <c:v>1.2714054297403399E-2</c:v>
                </c:pt>
                <c:pt idx="590">
                  <c:v>1.3729535708443499E-2</c:v>
                </c:pt>
                <c:pt idx="591">
                  <c:v>1.4411514116705699E-2</c:v>
                </c:pt>
                <c:pt idx="592">
                  <c:v>1.4046947086412701E-2</c:v>
                </c:pt>
                <c:pt idx="593">
                  <c:v>1.05054830573385E-2</c:v>
                </c:pt>
                <c:pt idx="594">
                  <c:v>7.7222580740892097E-3</c:v>
                </c:pt>
                <c:pt idx="595">
                  <c:v>5.4837902577473396E-3</c:v>
                </c:pt>
                <c:pt idx="596">
                  <c:v>4.1024455966270704E-3</c:v>
                </c:pt>
                <c:pt idx="597">
                  <c:v>3.1737369486293599E-3</c:v>
                </c:pt>
                <c:pt idx="598">
                  <c:v>2.7325541432477798E-3</c:v>
                </c:pt>
                <c:pt idx="599">
                  <c:v>2.38498715313047E-3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993536"/>
        <c:axId val="131994112"/>
      </c:scatterChart>
      <c:valAx>
        <c:axId val="131993536"/>
        <c:scaling>
          <c:orientation val="minMax"/>
          <c:max val="2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/>
                  <a:t># cycle</a:t>
                </a:r>
              </a:p>
            </c:rich>
          </c:tx>
          <c:layout>
            <c:manualLayout>
              <c:xMode val="edge"/>
              <c:yMode val="edge"/>
              <c:x val="0.48327016326349054"/>
              <c:y val="0.8766957228937938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1994112"/>
        <c:crossesAt val="0"/>
        <c:crossBetween val="midCat"/>
        <c:majorUnit val="100"/>
        <c:minorUnit val="25"/>
      </c:valAx>
      <c:valAx>
        <c:axId val="131994112"/>
        <c:scaling>
          <c:orientation val="minMax"/>
          <c:max val="3.0000000000000013E-2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/>
                  <a:t>84Sr (V)</a:t>
                </a:r>
              </a:p>
            </c:rich>
          </c:tx>
          <c:layout>
            <c:manualLayout>
              <c:xMode val="edge"/>
              <c:yMode val="edge"/>
              <c:x val="2.1329463054406333E-2"/>
              <c:y val="0.3466779046985322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1993536"/>
        <c:crossesAt val="0"/>
        <c:crossBetween val="midCat"/>
      </c:valAx>
      <c:spPr>
        <a:noFill/>
        <a:ln w="3175">
          <a:solidFill>
            <a:srgbClr val="B3B3B3"/>
          </a:solidFill>
          <a:prstDash val="solid"/>
        </a:ln>
      </c:spPr>
    </c:plotArea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22" r="0.75000000000000022" t="1" header="0.51180555555555562" footer="0.51180555555555562"/>
    <c:pageSetup firstPageNumber="0"/>
  </c:printSettings>
</c:chartSpace>
</file>

<file path=xl/ctrlProps/ctrlProp1.xml><?xml version="1.0" encoding="utf-8"?>
<formControlPr xmlns="http://schemas.microsoft.com/office/spreadsheetml/2009/9/main" objectType="Spin" dx="15" fmlaLink="$I$5" max="1000" page="10" val="400"/>
</file>

<file path=xl/ctrlProps/ctrlProp2.xml><?xml version="1.0" encoding="utf-8"?>
<formControlPr xmlns="http://schemas.microsoft.com/office/spreadsheetml/2009/9/main" objectType="Spin" dx="15" fmlaLink="$I$4" max="1000" page="10" val="113"/>
</file>

<file path=xl/ctrlProps/ctrlProp3.xml><?xml version="1.0" encoding="utf-8"?>
<formControlPr xmlns="http://schemas.microsoft.com/office/spreadsheetml/2009/9/main" objectType="Spin" dx="15" fmlaLink="$I$3" max="1000" page="10" val="50"/>
</file>

<file path=xl/ctrlProps/ctrlProp4.xml><?xml version="1.0" encoding="utf-8"?>
<formControlPr xmlns="http://schemas.microsoft.com/office/spreadsheetml/2009/9/main" objectType="Spin" dx="15" fmlaLink="$I$2" max="1000" page="1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714375</xdr:colOff>
      <xdr:row>8</xdr:row>
      <xdr:rowOff>38100</xdr:rowOff>
    </xdr:from>
    <xdr:to>
      <xdr:col>11</xdr:col>
      <xdr:colOff>314325</xdr:colOff>
      <xdr:row>24</xdr:row>
      <xdr:rowOff>9525</xdr:rowOff>
    </xdr:to>
    <xdr:graphicFrame macro="">
      <xdr:nvGraphicFramePr>
        <xdr:cNvPr id="1752" name="Gra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200025</xdr:colOff>
      <xdr:row>8</xdr:row>
      <xdr:rowOff>47625</xdr:rowOff>
    </xdr:from>
    <xdr:to>
      <xdr:col>20</xdr:col>
      <xdr:colOff>657225</xdr:colOff>
      <xdr:row>23</xdr:row>
      <xdr:rowOff>142875</xdr:rowOff>
    </xdr:to>
    <xdr:graphicFrame macro="">
      <xdr:nvGraphicFramePr>
        <xdr:cNvPr id="1753" name="Gra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609600</xdr:colOff>
      <xdr:row>8</xdr:row>
      <xdr:rowOff>9525</xdr:rowOff>
    </xdr:from>
    <xdr:to>
      <xdr:col>30</xdr:col>
      <xdr:colOff>752475</xdr:colOff>
      <xdr:row>23</xdr:row>
      <xdr:rowOff>152400</xdr:rowOff>
    </xdr:to>
    <xdr:graphicFrame macro="">
      <xdr:nvGraphicFramePr>
        <xdr:cNvPr id="1754" name="Gra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485775</xdr:colOff>
      <xdr:row>26</xdr:row>
      <xdr:rowOff>104775</xdr:rowOff>
    </xdr:from>
    <xdr:to>
      <xdr:col>16</xdr:col>
      <xdr:colOff>314325</xdr:colOff>
      <xdr:row>48</xdr:row>
      <xdr:rowOff>47625</xdr:rowOff>
    </xdr:to>
    <xdr:graphicFrame macro="">
      <xdr:nvGraphicFramePr>
        <xdr:cNvPr id="1755" name="Gra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295275</xdr:colOff>
      <xdr:row>26</xdr:row>
      <xdr:rowOff>28575</xdr:rowOff>
    </xdr:from>
    <xdr:to>
      <xdr:col>6</xdr:col>
      <xdr:colOff>619125</xdr:colOff>
      <xdr:row>47</xdr:row>
      <xdr:rowOff>123825</xdr:rowOff>
    </xdr:to>
    <xdr:graphicFrame macro="">
      <xdr:nvGraphicFramePr>
        <xdr:cNvPr id="1756" name="Gra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914400</xdr:colOff>
      <xdr:row>8</xdr:row>
      <xdr:rowOff>28575</xdr:rowOff>
    </xdr:from>
    <xdr:to>
      <xdr:col>26</xdr:col>
      <xdr:colOff>9525</xdr:colOff>
      <xdr:row>23</xdr:row>
      <xdr:rowOff>133350</xdr:rowOff>
    </xdr:to>
    <xdr:graphicFrame macro="">
      <xdr:nvGraphicFramePr>
        <xdr:cNvPr id="1757" name="Gra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571500</xdr:colOff>
      <xdr:row>26</xdr:row>
      <xdr:rowOff>9525</xdr:rowOff>
    </xdr:from>
    <xdr:to>
      <xdr:col>11</xdr:col>
      <xdr:colOff>514350</xdr:colOff>
      <xdr:row>47</xdr:row>
      <xdr:rowOff>104775</xdr:rowOff>
    </xdr:to>
    <xdr:graphicFrame macro="">
      <xdr:nvGraphicFramePr>
        <xdr:cNvPr id="1758" name="Gra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85725</xdr:colOff>
      <xdr:row>33</xdr:row>
      <xdr:rowOff>114300</xdr:rowOff>
    </xdr:from>
    <xdr:to>
      <xdr:col>1</xdr:col>
      <xdr:colOff>438150</xdr:colOff>
      <xdr:row>44</xdr:row>
      <xdr:rowOff>123825</xdr:rowOff>
    </xdr:to>
    <xdr:pic>
      <xdr:nvPicPr>
        <xdr:cNvPr id="1759" name="Immagine 1"/>
        <xdr:cNvPicPr>
          <a:picLocks noChangeAspect="1"/>
        </xdr:cNvPicPr>
      </xdr:nvPicPr>
      <xdr:blipFill>
        <a:blip xmlns:r="http://schemas.openxmlformats.org/officeDocument/2006/relationships" r:embed="rId8" cstate="print"/>
        <a:srcRect l="15929" t="7425" r="14159"/>
        <a:stretch>
          <a:fillRect/>
        </a:stretch>
      </xdr:blipFill>
      <xdr:spPr bwMode="auto">
        <a:xfrm>
          <a:off x="85725" y="6505575"/>
          <a:ext cx="1504950" cy="17907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pic>
    <xdr:clientData/>
  </xdr:twoCellAnchor>
  <xdr:twoCellAnchor>
    <xdr:from>
      <xdr:col>11</xdr:col>
      <xdr:colOff>485775</xdr:colOff>
      <xdr:row>8</xdr:row>
      <xdr:rowOff>123825</xdr:rowOff>
    </xdr:from>
    <xdr:to>
      <xdr:col>15</xdr:col>
      <xdr:colOff>790575</xdr:colOff>
      <xdr:row>24</xdr:row>
      <xdr:rowOff>95250</xdr:rowOff>
    </xdr:to>
    <xdr:graphicFrame macro="">
      <xdr:nvGraphicFramePr>
        <xdr:cNvPr id="1760" name="Gra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4</xdr:row>
          <xdr:rowOff>0</xdr:rowOff>
        </xdr:from>
        <xdr:to>
          <xdr:col>6</xdr:col>
          <xdr:colOff>1038225</xdr:colOff>
          <xdr:row>4</xdr:row>
          <xdr:rowOff>152400</xdr:rowOff>
        </xdr:to>
        <xdr:sp macro="" textlink="">
          <xdr:nvSpPr>
            <xdr:cNvPr id="1028" name="Spin Button 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3</xdr:row>
          <xdr:rowOff>9525</xdr:rowOff>
        </xdr:from>
        <xdr:to>
          <xdr:col>6</xdr:col>
          <xdr:colOff>1038225</xdr:colOff>
          <xdr:row>3</xdr:row>
          <xdr:rowOff>161925</xdr:rowOff>
        </xdr:to>
        <xdr:sp macro="" textlink="">
          <xdr:nvSpPr>
            <xdr:cNvPr id="1029" name="Spinner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2</xdr:row>
          <xdr:rowOff>0</xdr:rowOff>
        </xdr:from>
        <xdr:to>
          <xdr:col>6</xdr:col>
          <xdr:colOff>1038225</xdr:colOff>
          <xdr:row>2</xdr:row>
          <xdr:rowOff>152400</xdr:rowOff>
        </xdr:to>
        <xdr:sp macro="" textlink="">
          <xdr:nvSpPr>
            <xdr:cNvPr id="1030" name="Spinner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1</xdr:row>
          <xdr:rowOff>0</xdr:rowOff>
        </xdr:from>
        <xdr:to>
          <xdr:col>6</xdr:col>
          <xdr:colOff>1038225</xdr:colOff>
          <xdr:row>1</xdr:row>
          <xdr:rowOff>152400</xdr:rowOff>
        </xdr:to>
        <xdr:sp macro="" textlink="">
          <xdr:nvSpPr>
            <xdr:cNvPr id="1031" name="Spinner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27</xdr:row>
          <xdr:rowOff>95250</xdr:rowOff>
        </xdr:from>
        <xdr:to>
          <xdr:col>1</xdr:col>
          <xdr:colOff>295275</xdr:colOff>
          <xdr:row>29</xdr:row>
          <xdr:rowOff>142875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Clear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30</xdr:row>
          <xdr:rowOff>114300</xdr:rowOff>
        </xdr:from>
        <xdr:to>
          <xdr:col>1</xdr:col>
          <xdr:colOff>295275</xdr:colOff>
          <xdr:row>32</xdr:row>
          <xdr:rowOff>152400</xdr:rowOff>
        </xdr:to>
        <xdr:sp macro="" textlink="">
          <xdr:nvSpPr>
            <xdr:cNvPr id="1619" name="Button 595" hidden="1">
              <a:extLst>
                <a:ext uri="{63B3BB69-23CF-44E3-9099-C40C66FF867C}">
                  <a14:compatExt spid="_x0000_s1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104775</xdr:colOff>
          <xdr:row>16</xdr:row>
          <xdr:rowOff>76200</xdr:rowOff>
        </xdr:from>
        <xdr:to>
          <xdr:col>4</xdr:col>
          <xdr:colOff>1133475</xdr:colOff>
          <xdr:row>18</xdr:row>
          <xdr:rowOff>47625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</a:rPr>
                <a:t>Copy &amp;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16</xdr:row>
          <xdr:rowOff>76200</xdr:rowOff>
        </xdr:from>
        <xdr:to>
          <xdr:col>6</xdr:col>
          <xdr:colOff>0</xdr:colOff>
          <xdr:row>18</xdr:row>
          <xdr:rowOff>47625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</a:rPr>
                <a:t>Copy &amp; Paste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ED1875"/>
  <sheetViews>
    <sheetView tabSelected="1" zoomScaleNormal="100" workbookViewId="0">
      <selection activeCell="C9" sqref="C9"/>
    </sheetView>
  </sheetViews>
  <sheetFormatPr defaultColWidth="15.7109375" defaultRowHeight="12.75" x14ac:dyDescent="0.2"/>
  <cols>
    <col min="1" max="1" width="17.28515625" style="3" customWidth="1"/>
    <col min="2" max="3" width="15.7109375" style="3"/>
    <col min="4" max="4" width="15.7109375" style="3" customWidth="1"/>
    <col min="5" max="5" width="18" style="3" customWidth="1"/>
    <col min="6" max="8" width="15.7109375" style="3"/>
    <col min="9" max="10" width="13.140625" style="3" customWidth="1"/>
    <col min="11" max="21" width="15.7109375" style="3"/>
    <col min="22" max="22" width="14.5703125" style="3" customWidth="1"/>
    <col min="23" max="23" width="20.42578125" style="3" customWidth="1"/>
    <col min="24" max="24" width="19.7109375" style="3" customWidth="1"/>
    <col min="25" max="51" width="15.7109375" style="3"/>
    <col min="52" max="52" width="21.7109375" style="3" customWidth="1"/>
    <col min="53" max="16384" width="15.7109375" style="3"/>
  </cols>
  <sheetData>
    <row r="1" spans="1:134" ht="15" x14ac:dyDescent="0.2">
      <c r="A1" s="97" t="s">
        <v>0</v>
      </c>
      <c r="B1" s="97"/>
      <c r="C1" s="2"/>
      <c r="D1" s="62" t="s">
        <v>34</v>
      </c>
      <c r="E1" s="66" t="s">
        <v>101</v>
      </c>
      <c r="F1" s="67" t="s">
        <v>54</v>
      </c>
      <c r="H1" s="98" t="s">
        <v>1</v>
      </c>
      <c r="I1" s="98"/>
      <c r="J1" s="4" t="s">
        <v>2</v>
      </c>
      <c r="K1" s="4" t="s">
        <v>3</v>
      </c>
      <c r="M1" s="99" t="s">
        <v>52</v>
      </c>
      <c r="N1" s="99"/>
      <c r="O1" s="5"/>
      <c r="P1" s="99" t="s">
        <v>53</v>
      </c>
      <c r="Q1" s="99"/>
      <c r="R1" s="63"/>
      <c r="S1" s="63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DI1" s="3" t="s">
        <v>104</v>
      </c>
      <c r="DJ1" s="62" t="s">
        <v>34</v>
      </c>
      <c r="DK1" s="78" t="s">
        <v>58</v>
      </c>
      <c r="DL1" s="81" t="s">
        <v>60</v>
      </c>
      <c r="DM1" s="84" t="s">
        <v>10</v>
      </c>
      <c r="DN1" s="87" t="s">
        <v>94</v>
      </c>
      <c r="DO1" s="81" t="s">
        <v>65</v>
      </c>
      <c r="DP1" s="81" t="s">
        <v>67</v>
      </c>
      <c r="DQ1" s="90" t="s">
        <v>69</v>
      </c>
      <c r="DR1" s="90" t="s">
        <v>55</v>
      </c>
      <c r="DS1" s="90" t="s">
        <v>56</v>
      </c>
      <c r="DT1" s="81" t="s">
        <v>90</v>
      </c>
      <c r="DU1" s="81" t="s">
        <v>91</v>
      </c>
      <c r="DV1" s="81" t="s">
        <v>92</v>
      </c>
      <c r="DW1" s="81" t="s">
        <v>93</v>
      </c>
      <c r="DX1" s="81" t="s">
        <v>63</v>
      </c>
      <c r="DY1" s="90" t="s">
        <v>72</v>
      </c>
      <c r="EA1" s="6" t="s">
        <v>4</v>
      </c>
      <c r="EB1" s="6" t="s">
        <v>6</v>
      </c>
      <c r="EC1" s="8" t="s">
        <v>8</v>
      </c>
      <c r="ED1" s="8" t="s">
        <v>11</v>
      </c>
    </row>
    <row r="2" spans="1:134" ht="15" x14ac:dyDescent="0.2">
      <c r="A2" s="55" t="s">
        <v>57</v>
      </c>
      <c r="B2" s="56">
        <v>84.911799599999995</v>
      </c>
      <c r="C2" s="23"/>
      <c r="D2" s="78" t="s">
        <v>58</v>
      </c>
      <c r="E2" s="79">
        <f ca="1">AVERAGE(OFFSET(Data!AV67,Data!J4,0,Data!J5))</f>
        <v>0.70873894826244943</v>
      </c>
      <c r="F2" s="80">
        <f ca="1">AVERAGE(OFFSET(Data!BE67,Data!J4,0,Data!J5))</f>
        <v>0.70868237630213315</v>
      </c>
      <c r="G2" s="22"/>
      <c r="H2" s="6" t="s">
        <v>4</v>
      </c>
      <c r="I2" s="7">
        <v>1</v>
      </c>
      <c r="J2" s="48">
        <f>I2+1</f>
        <v>2</v>
      </c>
      <c r="K2" s="49">
        <v>0</v>
      </c>
      <c r="L2" s="22"/>
      <c r="M2" s="50">
        <f ca="1">AVERAGE((OFFSET(AT67,J4,0,J5)))</f>
        <v>0.70875039342271051</v>
      </c>
      <c r="N2" s="51" t="s">
        <v>5</v>
      </c>
      <c r="O2" s="52"/>
      <c r="P2" s="50">
        <f ca="1">AVERAGE((OFFSET(BC67,J4,0,J5)))</f>
        <v>0.70867407553880568</v>
      </c>
      <c r="Q2" s="51" t="s">
        <v>5</v>
      </c>
      <c r="R2" s="52"/>
      <c r="S2" s="5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DJ2" s="62" t="s">
        <v>101</v>
      </c>
      <c r="DK2" s="10">
        <f ca="1">E2</f>
        <v>0.70873894826244943</v>
      </c>
      <c r="DL2" s="10">
        <f ca="1">E3</f>
        <v>3.4420704089162013E-5</v>
      </c>
      <c r="DM2" s="3">
        <f ca="1">E4</f>
        <v>382</v>
      </c>
      <c r="DN2" s="10">
        <f ca="1">E5</f>
        <v>2.6537936291469779</v>
      </c>
      <c r="DO2" s="10">
        <f ca="1">E6</f>
        <v>5.3035489889515716E-2</v>
      </c>
      <c r="DP2" s="10">
        <f ca="1">E7</f>
        <v>2.8236352249096196E-5</v>
      </c>
      <c r="DQ2" s="94">
        <f ca="1">E8</f>
        <v>2.4773403362523242E-4</v>
      </c>
      <c r="DR2" s="94">
        <f ca="1">E9</f>
        <v>2.2814223852188998E-5</v>
      </c>
      <c r="DS2" s="94">
        <f ca="1">E10</f>
        <v>-7.232104976887223E-6</v>
      </c>
      <c r="DT2" s="94">
        <f ca="1">E11</f>
        <v>1.2946285632697143E-2</v>
      </c>
      <c r="DU2" s="94">
        <f ca="1">E12</f>
        <v>5.1623224038424152E-4</v>
      </c>
      <c r="DV2" s="94">
        <f ca="1">E13</f>
        <v>0.25356729514307941</v>
      </c>
      <c r="DW2" s="94">
        <f ca="1">E14</f>
        <v>0.18311392742579302</v>
      </c>
      <c r="DX2" s="94">
        <f ca="1">E15</f>
        <v>2.2041661209454082</v>
      </c>
      <c r="DY2" s="94">
        <f ca="1">E16</f>
        <v>-1.7130615805080437E-6</v>
      </c>
      <c r="DZ2" s="94"/>
      <c r="EA2" s="95">
        <f>I2</f>
        <v>1</v>
      </c>
      <c r="EB2" s="95">
        <f>I3</f>
        <v>50</v>
      </c>
      <c r="EC2" s="95">
        <f>I4</f>
        <v>113</v>
      </c>
      <c r="ED2" s="95">
        <f>I5</f>
        <v>400</v>
      </c>
    </row>
    <row r="3" spans="1:134" ht="15" x14ac:dyDescent="0.2">
      <c r="A3" s="55" t="s">
        <v>59</v>
      </c>
      <c r="B3" s="56">
        <v>86.909183600000006</v>
      </c>
      <c r="C3" s="23"/>
      <c r="D3" s="81" t="s">
        <v>60</v>
      </c>
      <c r="E3" s="82">
        <f ca="1">2*STDEV(OFFSET(Data!AV67,Data!J4,0,Data!J5))/SQRT(COUNT(OFFSET(Data!AV67,Data!J4,0,Data!J5)))</f>
        <v>3.4420704089162013E-5</v>
      </c>
      <c r="F3" s="83">
        <f ca="1">2*STDEV(OFFSET(Data!BE67,Data!J4,0,Data!J5))/SQRT(COUNT(OFFSET(Data!BE67,Data!J4,0,Data!J5)))</f>
        <v>3.5966561003984655E-5</v>
      </c>
      <c r="G3" s="22"/>
      <c r="H3" s="6" t="s">
        <v>6</v>
      </c>
      <c r="I3" s="7">
        <v>50</v>
      </c>
      <c r="J3" s="53">
        <f>I3</f>
        <v>50</v>
      </c>
      <c r="K3" s="49">
        <f>I2+I3</f>
        <v>51</v>
      </c>
      <c r="L3" s="22"/>
      <c r="M3" s="50">
        <f ca="1">M2+2*STDEV((OFFSET(AT67,J4,0,J5)))</f>
        <v>0.70950985681141765</v>
      </c>
      <c r="N3" s="51" t="s">
        <v>7</v>
      </c>
      <c r="O3" s="22"/>
      <c r="P3" s="50">
        <f ca="1">P2+2*STDEV((OFFSET(BC67,J4,0,J5)))</f>
        <v>0.70949368766073562</v>
      </c>
      <c r="Q3" s="51" t="s">
        <v>7</v>
      </c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  <c r="AE3" s="22"/>
      <c r="DJ3" s="67" t="s">
        <v>54</v>
      </c>
      <c r="DK3" s="10">
        <f ca="1">F2</f>
        <v>0.70868237630213315</v>
      </c>
      <c r="DL3" s="10">
        <f ca="1">F3</f>
        <v>3.5966561003984655E-5</v>
      </c>
      <c r="DM3" s="3">
        <f ca="1">F4</f>
        <v>375</v>
      </c>
      <c r="DN3" s="96">
        <f ca="1">F5</f>
        <v>2.6537153702150498</v>
      </c>
      <c r="DO3" s="10">
        <f ca="1">F6</f>
        <v>5.2974627475890573E-2</v>
      </c>
      <c r="DP3" s="10">
        <f ca="1">F7</f>
        <v>2.819725111273822E-5</v>
      </c>
      <c r="DQ3" s="94">
        <f ca="1">F8</f>
        <v>2.4206466182808778E-4</v>
      </c>
      <c r="DR3" s="94">
        <f ca="1">F9</f>
        <v>2.2814223852188998E-5</v>
      </c>
      <c r="DS3" s="94">
        <f ca="1">F10</f>
        <v>-7.232104976887223E-6</v>
      </c>
      <c r="DT3" s="94">
        <f ca="1">F11</f>
        <v>1.2930053607406291E-2</v>
      </c>
      <c r="DU3" s="94">
        <f ca="1">F12</f>
        <v>5.0435220793821169E-4</v>
      </c>
      <c r="DV3" s="94">
        <f ca="1">F13</f>
        <v>0.25354558908066616</v>
      </c>
      <c r="DW3" s="94">
        <f ca="1">F14</f>
        <v>0.18308661360365938</v>
      </c>
      <c r="DX3" s="94">
        <f ca="1">F15</f>
        <v>2.2041531139233181</v>
      </c>
      <c r="DY3" s="94">
        <f ca="1">F16</f>
        <v>-1.7130615805080437E-6</v>
      </c>
      <c r="EA3" s="95">
        <f>I2</f>
        <v>1</v>
      </c>
      <c r="EB3" s="95">
        <f>I3</f>
        <v>50</v>
      </c>
      <c r="EC3" s="95">
        <f>I4</f>
        <v>113</v>
      </c>
      <c r="ED3" s="95">
        <f>I5</f>
        <v>400</v>
      </c>
    </row>
    <row r="4" spans="1:134" ht="15" x14ac:dyDescent="0.2">
      <c r="A4" s="55" t="s">
        <v>61</v>
      </c>
      <c r="B4" s="56">
        <v>83.913427999999996</v>
      </c>
      <c r="C4" s="23"/>
      <c r="D4" s="84" t="s">
        <v>10</v>
      </c>
      <c r="E4" s="85">
        <f ca="1">COUNT(OFFSET(Data!AV67,Data!J4,0,Data!J5))</f>
        <v>382</v>
      </c>
      <c r="F4" s="86">
        <f ca="1">COUNT(OFFSET(Data!BE67,Data!J4,0,Data!J5))</f>
        <v>375</v>
      </c>
      <c r="G4" s="22"/>
      <c r="H4" s="8" t="s">
        <v>8</v>
      </c>
      <c r="I4" s="9">
        <v>113</v>
      </c>
      <c r="J4" s="48">
        <f>I4+1</f>
        <v>114</v>
      </c>
      <c r="K4" s="49">
        <v>0</v>
      </c>
      <c r="L4" s="22"/>
      <c r="M4" s="50">
        <f ca="1">M2-2*STDEV((OFFSET(AT67,J4,0,J5)))</f>
        <v>0.70799093003400337</v>
      </c>
      <c r="N4" s="51" t="s">
        <v>9</v>
      </c>
      <c r="O4" s="22"/>
      <c r="P4" s="50">
        <f ca="1">P2-2*STDEV((OFFSET(BC67,J4,0,J5)))</f>
        <v>0.70785446341687575</v>
      </c>
      <c r="Q4" s="51" t="s">
        <v>9</v>
      </c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</row>
    <row r="5" spans="1:134" ht="15" x14ac:dyDescent="0.2">
      <c r="A5" s="55" t="s">
        <v>62</v>
      </c>
      <c r="B5" s="56">
        <v>85.909273200000001</v>
      </c>
      <c r="C5" s="23"/>
      <c r="D5" s="87" t="s">
        <v>94</v>
      </c>
      <c r="E5" s="88">
        <f ca="1">E11+E13+E14+E15</f>
        <v>2.6537936291469779</v>
      </c>
      <c r="F5" s="89">
        <f ca="1">F11+F13+F14+F15</f>
        <v>2.6537153702150498</v>
      </c>
      <c r="G5" s="22"/>
      <c r="H5" s="8" t="s">
        <v>11</v>
      </c>
      <c r="I5" s="9">
        <v>400</v>
      </c>
      <c r="J5" s="53">
        <f>I5</f>
        <v>400</v>
      </c>
      <c r="K5" s="49">
        <f>I4+I5</f>
        <v>513</v>
      </c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</row>
    <row r="6" spans="1:134" ht="15" x14ac:dyDescent="0.2">
      <c r="A6" s="55" t="s">
        <v>64</v>
      </c>
      <c r="B6" s="56">
        <v>86.908890200000002</v>
      </c>
      <c r="C6" s="23"/>
      <c r="D6" s="81" t="s">
        <v>65</v>
      </c>
      <c r="E6" s="82">
        <f ca="1">AVERAGE(OFFSET(Data!AU67,Data!J4,0,Data!J5))</f>
        <v>5.3035489889515716E-2</v>
      </c>
      <c r="F6" s="83">
        <f ca="1">AVERAGE(OFFSET(Data!BD67,Data!J4,0,Data!J5))</f>
        <v>5.2974627475890573E-2</v>
      </c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</row>
    <row r="7" spans="1:134" ht="15" x14ac:dyDescent="0.2">
      <c r="A7" s="55" t="s">
        <v>66</v>
      </c>
      <c r="B7" s="56">
        <v>87.905624900000007</v>
      </c>
      <c r="C7" s="23"/>
      <c r="D7" s="81" t="s">
        <v>67</v>
      </c>
      <c r="E7" s="82">
        <f ca="1">2*STDEV(OFFSET(Data!AU67,Data!J4,0,Data!J5))/SQRT(COUNT((OFFSET(Data!AU67,Data!J4,0,Data!J5))))</f>
        <v>2.8236352249096196E-5</v>
      </c>
      <c r="F7" s="83">
        <f ca="1">2*STDEV(OFFSET(Data!BD67,Data!J4,0,Data!J5))/SQRT(COUNT((OFFSET(Data!BD67,Data!J4,0,Data!J5))))</f>
        <v>2.819725111273822E-5</v>
      </c>
      <c r="G7" s="22"/>
      <c r="H7" s="36"/>
      <c r="I7" s="36"/>
      <c r="J7" s="37"/>
      <c r="K7" s="22"/>
      <c r="L7" s="38"/>
      <c r="M7" s="39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</row>
    <row r="8" spans="1:134" ht="15" x14ac:dyDescent="0.2">
      <c r="A8" s="57" t="s">
        <v>68</v>
      </c>
      <c r="B8" s="56">
        <v>0.38566558166082998</v>
      </c>
      <c r="C8" s="23"/>
      <c r="D8" s="90" t="s">
        <v>69</v>
      </c>
      <c r="E8" s="91">
        <f ca="1">(AVERAGE(OFFSET(Data!R67,Data!J4,0,Data!J5))/AVERAGE(OFFSET(Data!V67,Data!J4,0,Data!J5)))/(AVERAGE(OFFSET(AP67,J4,0,J5))^-1/$B$10^-1)^(LN(B2/B7)/LN(B5/B7))</f>
        <v>2.4773403362523242E-4</v>
      </c>
      <c r="F8" s="92">
        <f ca="1">(AVERAGE(OFFSET(Data!AJ67,Data!J4,0,Data!J5))/AVERAGE(OFFSET(Data!AN67,Data!J4,0,Data!J5)))/(AVERAGE(OFFSET(AY67,J4,0,J5))^-1/$B$10^-1)^(LN(B2/B7)/LN(B5/B7))</f>
        <v>2.4206466182808778E-4</v>
      </c>
      <c r="G8" s="25"/>
      <c r="H8" s="40"/>
      <c r="I8" s="41"/>
      <c r="J8" s="41"/>
      <c r="K8" s="42"/>
      <c r="L8" s="43"/>
      <c r="M8" s="44"/>
      <c r="N8" s="45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</row>
    <row r="9" spans="1:134" ht="15" x14ac:dyDescent="0.2">
      <c r="A9" s="57" t="s">
        <v>70</v>
      </c>
      <c r="B9" s="56">
        <v>1.5056570931244599</v>
      </c>
      <c r="C9" s="23"/>
      <c r="D9" s="90" t="s">
        <v>55</v>
      </c>
      <c r="E9" s="93">
        <f ca="1">AVERAGE(OFFSET(Data!O67,Data!J4,0,Data!J5))</f>
        <v>2.2814223852188998E-5</v>
      </c>
      <c r="F9" s="92">
        <f ca="1">AVERAGE(OFFSET(Data!AG67,Data!J4,0,Data!J5))</f>
        <v>2.2814223852188998E-5</v>
      </c>
      <c r="G9" s="22"/>
      <c r="H9" s="46"/>
      <c r="I9" s="33"/>
      <c r="J9" s="33"/>
      <c r="K9" s="33"/>
      <c r="L9" s="33"/>
      <c r="M9" s="33"/>
      <c r="N9" s="33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</row>
    <row r="10" spans="1:134" ht="15" x14ac:dyDescent="0.2">
      <c r="A10" s="57" t="s">
        <v>71</v>
      </c>
      <c r="B10" s="56">
        <v>8.3752089999999999</v>
      </c>
      <c r="C10" s="23"/>
      <c r="D10" s="90" t="s">
        <v>56</v>
      </c>
      <c r="E10" s="92">
        <f ca="1">AVERAGE(OFFSET(Data!P67,Data!J4,0,Data!J5))</f>
        <v>-7.232104976887223E-6</v>
      </c>
      <c r="F10" s="92">
        <f ca="1">AVERAGE(OFFSET(Data!AH67,Data!J4,0,Data!J5))</f>
        <v>-7.232104976887223E-6</v>
      </c>
      <c r="G10" s="22"/>
      <c r="H10" s="36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</row>
    <row r="11" spans="1:134" ht="28.5" customHeight="1" x14ac:dyDescent="0.2">
      <c r="A11" s="58" t="s">
        <v>73</v>
      </c>
      <c r="B11" s="59">
        <f>LN(B3/B2)/LN(B7/B5)</f>
        <v>1.0121287866004218</v>
      </c>
      <c r="C11" s="26"/>
      <c r="D11" s="81" t="s">
        <v>90</v>
      </c>
      <c r="E11" s="92">
        <f ca="1">AVERAGE(OFFSET(Data!Q67,Data!J4,0,Data!J5))</f>
        <v>1.2946285632697143E-2</v>
      </c>
      <c r="F11" s="92">
        <f ca="1">AVERAGE(OFFSET(Data!AI67,Data!J4,0,Data!J5))</f>
        <v>1.2930053607406291E-2</v>
      </c>
      <c r="G11" s="27"/>
      <c r="H11" s="47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</row>
    <row r="12" spans="1:134" ht="30" x14ac:dyDescent="0.2">
      <c r="A12" s="58" t="s">
        <v>74</v>
      </c>
      <c r="B12" s="59">
        <f>LN(B6/B5)/LN(B7/B5)</f>
        <v>0.50359329323329083</v>
      </c>
      <c r="C12" s="26"/>
      <c r="D12" s="81" t="s">
        <v>91</v>
      </c>
      <c r="E12" s="92">
        <f ca="1">AVERAGE(OFFSET(Data!R67,Data!J4,0,Data!J5))</f>
        <v>5.1623224038424152E-4</v>
      </c>
      <c r="F12" s="92">
        <f ca="1">AVERAGE(OFFSET(Data!AJ67,Data!J4,0,Data!J5))</f>
        <v>5.0435220793821169E-4</v>
      </c>
      <c r="G12" s="28"/>
      <c r="H12" s="30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</row>
    <row r="13" spans="1:134" ht="30" x14ac:dyDescent="0.2">
      <c r="A13" s="58" t="s">
        <v>75</v>
      </c>
      <c r="B13" s="59">
        <f>LN(B4/B5)/LN(B7/B5)</f>
        <v>-1.0232504680702372</v>
      </c>
      <c r="C13" s="29"/>
      <c r="D13" s="81" t="s">
        <v>92</v>
      </c>
      <c r="E13" s="92">
        <f ca="1">AVERAGE(OFFSET(Data!S67,Data!J4,0,Data!J5))</f>
        <v>0.25356729514307941</v>
      </c>
      <c r="F13" s="92">
        <f ca="1">AVERAGE(OFFSET(Data!AK67,Data!J4,0,Data!J5))</f>
        <v>0.25354558908066616</v>
      </c>
      <c r="G13" s="30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</row>
    <row r="14" spans="1:134" ht="15" x14ac:dyDescent="0.2">
      <c r="A14" s="24" t="s">
        <v>35</v>
      </c>
      <c r="B14" s="51">
        <v>0.1232</v>
      </c>
      <c r="C14" s="31"/>
      <c r="D14" s="81" t="s">
        <v>93</v>
      </c>
      <c r="E14" s="92">
        <f ca="1">AVERAGE(OFFSET(Data!AS67,Data!J4,0,Data!J5))</f>
        <v>0.18311392742579302</v>
      </c>
      <c r="F14" s="92">
        <f ca="1">AVERAGE(OFFSET(Data!BB67,Data!J4,0,Data!J5))</f>
        <v>0.18308661360365938</v>
      </c>
      <c r="G14" s="3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</row>
    <row r="15" spans="1:134" ht="15" x14ac:dyDescent="0.2">
      <c r="A15" s="24" t="s">
        <v>36</v>
      </c>
      <c r="B15" s="51">
        <v>2.9820000000000002</v>
      </c>
      <c r="C15" s="31"/>
      <c r="D15" s="81" t="s">
        <v>63</v>
      </c>
      <c r="E15" s="92">
        <f ca="1">AVERAGE(OFFSET(Data!V67,Data!J4,0,Data!J5))</f>
        <v>2.2041661209454082</v>
      </c>
      <c r="F15" s="92">
        <f ca="1">AVERAGE(OFFSET(Data!AN67,Data!J4,0,Data!J5))</f>
        <v>2.2041531139233181</v>
      </c>
      <c r="G15" s="33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</row>
    <row r="16" spans="1:134" ht="14.25" customHeight="1" x14ac:dyDescent="0.2">
      <c r="A16" s="24" t="s">
        <v>37</v>
      </c>
      <c r="B16" s="51">
        <v>14.086</v>
      </c>
      <c r="C16" s="31"/>
      <c r="D16" s="90" t="s">
        <v>72</v>
      </c>
      <c r="E16" s="92">
        <f ca="1">AVERAGE(OFFSET(Data!T67,Data!J4,0,Data!J5))</f>
        <v>-1.7130615805080437E-6</v>
      </c>
      <c r="F16" s="92">
        <f ca="1">AVERAGE(OFFSET(Data!AL67,Data!J4,0,Data!J5))</f>
        <v>-1.7130615805080437E-6</v>
      </c>
      <c r="G16" s="34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</row>
    <row r="17" spans="1:31" ht="14.25" customHeight="1" x14ac:dyDescent="0.2">
      <c r="A17" s="24" t="s">
        <v>38</v>
      </c>
      <c r="B17" s="51">
        <v>21.686</v>
      </c>
      <c r="C17" s="31"/>
      <c r="D17" s="65"/>
      <c r="E17" s="25"/>
      <c r="F17" s="33"/>
      <c r="G17" s="30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</row>
    <row r="18" spans="1:31" x14ac:dyDescent="0.2">
      <c r="A18" s="24" t="s">
        <v>39</v>
      </c>
      <c r="B18" s="51">
        <v>16.103000000000002</v>
      </c>
      <c r="C18" s="31"/>
      <c r="D18" s="65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</row>
    <row r="19" spans="1:31" x14ac:dyDescent="0.2">
      <c r="A19" s="24" t="s">
        <v>40</v>
      </c>
      <c r="B19" s="51">
        <v>32.024999999999999</v>
      </c>
      <c r="C19" s="31"/>
      <c r="D19" s="76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</row>
    <row r="20" spans="1:31" ht="15" x14ac:dyDescent="0.25">
      <c r="A20" s="24" t="s">
        <v>41</v>
      </c>
      <c r="B20" s="51">
        <v>12.994999999999999</v>
      </c>
      <c r="C20" s="31"/>
      <c r="D20" s="65" t="s">
        <v>95</v>
      </c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</row>
    <row r="21" spans="1:31" ht="15" x14ac:dyDescent="0.25">
      <c r="A21" s="24" t="s">
        <v>44</v>
      </c>
      <c r="B21" s="51">
        <v>0.1391</v>
      </c>
      <c r="C21" s="31"/>
      <c r="D21" s="65" t="s">
        <v>96</v>
      </c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</row>
    <row r="22" spans="1:31" x14ac:dyDescent="0.2">
      <c r="A22" s="24" t="s">
        <v>45</v>
      </c>
      <c r="B22" s="51">
        <v>1.6006</v>
      </c>
      <c r="C22" s="31"/>
      <c r="D22" s="76" t="s">
        <v>102</v>
      </c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</row>
    <row r="23" spans="1:31" x14ac:dyDescent="0.2">
      <c r="A23" s="24" t="s">
        <v>46</v>
      </c>
      <c r="B23" s="51">
        <v>33.501399999999997</v>
      </c>
      <c r="C23" s="31"/>
      <c r="D23" s="22"/>
      <c r="E23" s="64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</row>
    <row r="24" spans="1:31" x14ac:dyDescent="0.2">
      <c r="A24" s="24" t="s">
        <v>47</v>
      </c>
      <c r="B24" s="51">
        <v>22.872399999999999</v>
      </c>
      <c r="C24" s="31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33"/>
      <c r="V24" s="33"/>
      <c r="W24" s="33"/>
      <c r="X24" s="33"/>
      <c r="Y24" s="33"/>
      <c r="Z24" s="22"/>
      <c r="AA24" s="22"/>
      <c r="AB24" s="22"/>
      <c r="AC24" s="22"/>
      <c r="AD24" s="22"/>
      <c r="AE24" s="22"/>
    </row>
    <row r="25" spans="1:31" ht="15" x14ac:dyDescent="0.2">
      <c r="A25" s="24" t="s">
        <v>48</v>
      </c>
      <c r="B25" s="51">
        <v>26.985199999999999</v>
      </c>
      <c r="C25" s="31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33"/>
      <c r="V25" s="33"/>
      <c r="W25" s="69" t="s">
        <v>97</v>
      </c>
      <c r="X25" s="74" t="s">
        <v>100</v>
      </c>
      <c r="Y25" s="33"/>
      <c r="Z25" s="22"/>
      <c r="AA25" s="22"/>
      <c r="AB25" s="22"/>
      <c r="AC25" s="22"/>
      <c r="AD25" s="22"/>
      <c r="AE25" s="22"/>
    </row>
    <row r="26" spans="1:31" x14ac:dyDescent="0.2">
      <c r="A26" s="24" t="s">
        <v>49</v>
      </c>
      <c r="B26" s="51">
        <v>14.901300000000001</v>
      </c>
      <c r="C26" s="31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33"/>
      <c r="V26" s="33"/>
      <c r="W26" s="68">
        <f ca="1">(CORREL(OFFSET(Data!O67,Data!J4,0,Data!J5),OFFSET(Data!T67,Data!J4,0,Data!J5)))^2</f>
        <v>0.11552870922425522</v>
      </c>
      <c r="X26" s="68">
        <f ca="1">(CORREL(OFFSET(Data!O67,Data!J4,0,Data!J5),OFFSET(Data!V67,Data!J4,0,Data!J5)))^2</f>
        <v>3.0187248553804898E-6</v>
      </c>
      <c r="Y26" s="33"/>
      <c r="Z26" s="22"/>
      <c r="AA26" s="22"/>
      <c r="AB26" s="22"/>
      <c r="AC26" s="22"/>
      <c r="AD26" s="22"/>
      <c r="AE26" s="22"/>
    </row>
    <row r="27" spans="1:31" x14ac:dyDescent="0.2">
      <c r="A27" s="60"/>
      <c r="B27" s="54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33"/>
      <c r="V27" s="33"/>
      <c r="W27" s="33"/>
      <c r="X27" s="33"/>
      <c r="Y27" s="33"/>
      <c r="Z27" s="22"/>
      <c r="AA27" s="22"/>
      <c r="AB27" s="22"/>
      <c r="AC27" s="22"/>
      <c r="AD27" s="22"/>
      <c r="AE27" s="22"/>
    </row>
    <row r="28" spans="1:31" x14ac:dyDescent="0.2">
      <c r="A28" s="60"/>
      <c r="B28" s="54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</row>
    <row r="29" spans="1:31" x14ac:dyDescent="0.2">
      <c r="A29" s="60"/>
      <c r="B29" s="54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</row>
    <row r="30" spans="1:31" x14ac:dyDescent="0.2">
      <c r="A30" s="60"/>
      <c r="B30" s="54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</row>
    <row r="31" spans="1:31" x14ac:dyDescent="0.2">
      <c r="A31" s="60"/>
      <c r="B31" s="54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</row>
    <row r="32" spans="1:31" x14ac:dyDescent="0.2">
      <c r="A32" s="60"/>
      <c r="B32" s="54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</row>
    <row r="33" spans="1:31" x14ac:dyDescent="0.2">
      <c r="A33" s="60"/>
      <c r="B33" s="54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</row>
    <row r="34" spans="1:31" x14ac:dyDescent="0.2">
      <c r="A34" s="60"/>
      <c r="B34" s="54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</row>
    <row r="35" spans="1:31" x14ac:dyDescent="0.2">
      <c r="A35" s="60"/>
      <c r="B35" s="54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</row>
    <row r="36" spans="1:31" x14ac:dyDescent="0.2">
      <c r="A36" s="60"/>
      <c r="B36" s="54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</row>
    <row r="37" spans="1:31" x14ac:dyDescent="0.2">
      <c r="A37" s="60"/>
      <c r="B37" s="54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</row>
    <row r="38" spans="1:31" x14ac:dyDescent="0.2">
      <c r="A38" s="60"/>
      <c r="B38" s="54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</row>
    <row r="39" spans="1:31" x14ac:dyDescent="0.2">
      <c r="A39" s="60"/>
      <c r="B39" s="54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</row>
    <row r="40" spans="1:31" x14ac:dyDescent="0.2">
      <c r="A40" s="60"/>
      <c r="B40" s="54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</row>
    <row r="41" spans="1:31" x14ac:dyDescent="0.2">
      <c r="A41" s="60"/>
      <c r="B41" s="54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</row>
    <row r="42" spans="1:31" x14ac:dyDescent="0.2">
      <c r="A42" s="60"/>
      <c r="B42" s="54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</row>
    <row r="43" spans="1:31" x14ac:dyDescent="0.2">
      <c r="A43" s="35"/>
      <c r="B43" s="54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</row>
    <row r="44" spans="1:31" x14ac:dyDescent="0.2">
      <c r="A44" s="35"/>
      <c r="B44" s="54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</row>
    <row r="45" spans="1:31" x14ac:dyDescent="0.2">
      <c r="A45" s="60"/>
      <c r="B45" s="54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</row>
    <row r="46" spans="1:31" x14ac:dyDescent="0.2">
      <c r="A46" s="60" t="s">
        <v>103</v>
      </c>
      <c r="B46" s="54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</row>
    <row r="47" spans="1:31" x14ac:dyDescent="0.2">
      <c r="A47" s="60"/>
      <c r="B47" s="54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</row>
    <row r="48" spans="1:31" x14ac:dyDescent="0.2">
      <c r="A48" s="60"/>
      <c r="B48" s="54"/>
      <c r="C48" s="22"/>
      <c r="D48"/>
      <c r="E48"/>
      <c r="F48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</row>
    <row r="49" spans="1:61" ht="15" x14ac:dyDescent="0.25">
      <c r="A49" s="61"/>
      <c r="B49" s="22"/>
      <c r="C49" s="22"/>
      <c r="D49"/>
      <c r="E49"/>
      <c r="F49"/>
      <c r="G49" s="75"/>
      <c r="H49" s="75"/>
      <c r="I49" s="75"/>
      <c r="J49" s="75"/>
      <c r="K49" s="75"/>
      <c r="L49" s="75"/>
      <c r="M49" s="75"/>
      <c r="N49" s="75"/>
      <c r="O49" s="75"/>
      <c r="P49" s="75"/>
      <c r="Q49" s="75"/>
      <c r="R49" s="75"/>
      <c r="S49" s="75"/>
      <c r="T49" s="75"/>
      <c r="U49" s="75"/>
      <c r="V49" s="75"/>
      <c r="W49" s="75"/>
      <c r="X49" s="75"/>
      <c r="Y49" s="75"/>
      <c r="Z49" s="75"/>
      <c r="AA49" s="22"/>
      <c r="AB49" s="22"/>
      <c r="AC49" s="22"/>
      <c r="AD49" s="22"/>
      <c r="AE49" s="22"/>
    </row>
    <row r="50" spans="1:61" ht="15" x14ac:dyDescent="0.25">
      <c r="A50" s="72" t="s">
        <v>12</v>
      </c>
      <c r="B50"/>
      <c r="C50"/>
      <c r="D50"/>
      <c r="E50"/>
      <c r="F50"/>
      <c r="G50" s="1"/>
      <c r="H50" s="1"/>
      <c r="I50" s="1"/>
      <c r="J50" s="1"/>
      <c r="K50" s="1"/>
      <c r="L50" s="1"/>
      <c r="M50" s="1"/>
      <c r="N50" s="75"/>
      <c r="O50" s="75"/>
      <c r="P50" s="75"/>
      <c r="Q50" s="75"/>
      <c r="R50" s="75"/>
      <c r="S50" s="75"/>
      <c r="T50" s="75"/>
      <c r="U50" s="75"/>
      <c r="V50" s="75"/>
      <c r="W50" s="75"/>
      <c r="X50" s="75"/>
      <c r="Y50" s="75"/>
      <c r="Z50" s="75"/>
    </row>
    <row r="51" spans="1:61" ht="15" x14ac:dyDescent="0.25">
      <c r="A51" s="72" t="s">
        <v>13</v>
      </c>
      <c r="B51"/>
      <c r="C51"/>
      <c r="D51"/>
      <c r="E51"/>
      <c r="F51"/>
      <c r="G51"/>
      <c r="H51"/>
      <c r="I51"/>
      <c r="J51"/>
      <c r="K51"/>
      <c r="L51"/>
      <c r="M51"/>
    </row>
    <row r="52" spans="1:61" ht="15" x14ac:dyDescent="0.25">
      <c r="A52" s="72" t="s">
        <v>98</v>
      </c>
      <c r="B52"/>
      <c r="C52"/>
      <c r="D52"/>
      <c r="E52"/>
      <c r="F52"/>
      <c r="G52"/>
      <c r="H52"/>
      <c r="I52"/>
      <c r="J52"/>
      <c r="K52"/>
      <c r="L52"/>
      <c r="M52"/>
    </row>
    <row r="53" spans="1:61" ht="15" x14ac:dyDescent="0.25">
      <c r="A53" s="72" t="s">
        <v>32</v>
      </c>
      <c r="B53"/>
      <c r="C53"/>
      <c r="D53"/>
      <c r="E53"/>
      <c r="F53"/>
      <c r="G53"/>
      <c r="H53"/>
      <c r="I53"/>
      <c r="J53"/>
      <c r="K53"/>
      <c r="L53"/>
      <c r="M53"/>
    </row>
    <row r="54" spans="1:61" ht="15" x14ac:dyDescent="0.25">
      <c r="A54" s="72" t="s">
        <v>14</v>
      </c>
      <c r="B54"/>
      <c r="C54"/>
      <c r="D54"/>
      <c r="E54"/>
      <c r="F54"/>
      <c r="G54"/>
      <c r="H54"/>
      <c r="I54"/>
      <c r="J54"/>
      <c r="K54"/>
      <c r="L54"/>
      <c r="M54"/>
    </row>
    <row r="55" spans="1:61" ht="15" x14ac:dyDescent="0.25">
      <c r="A55" s="72" t="s">
        <v>15</v>
      </c>
      <c r="B55"/>
      <c r="C55"/>
      <c r="D55"/>
      <c r="E55"/>
      <c r="F55"/>
      <c r="G55"/>
      <c r="H55"/>
      <c r="I55"/>
      <c r="J55"/>
      <c r="K55"/>
      <c r="L55"/>
      <c r="M55"/>
    </row>
    <row r="56" spans="1:61" ht="15" x14ac:dyDescent="0.25">
      <c r="A56" s="72" t="s">
        <v>16</v>
      </c>
      <c r="B56"/>
      <c r="C56"/>
      <c r="D56"/>
      <c r="E56"/>
      <c r="F56"/>
      <c r="G56"/>
      <c r="H56"/>
      <c r="I56"/>
      <c r="J56"/>
      <c r="K56"/>
      <c r="L56"/>
      <c r="M56"/>
      <c r="BI56" s="13"/>
    </row>
    <row r="57" spans="1:61" ht="15" x14ac:dyDescent="0.25">
      <c r="A57" s="72" t="s">
        <v>17</v>
      </c>
      <c r="B57"/>
      <c r="C57"/>
      <c r="D57"/>
      <c r="E57"/>
      <c r="F57"/>
      <c r="G57"/>
      <c r="H57"/>
      <c r="I57"/>
      <c r="J57"/>
      <c r="K57"/>
      <c r="L57"/>
      <c r="M57"/>
    </row>
    <row r="58" spans="1:61" ht="15" x14ac:dyDescent="0.25">
      <c r="A58" s="72" t="s">
        <v>33</v>
      </c>
      <c r="B58"/>
      <c r="C58"/>
      <c r="D58"/>
      <c r="E58"/>
      <c r="F58"/>
      <c r="G58"/>
      <c r="H58"/>
      <c r="I58"/>
      <c r="J58"/>
      <c r="K58"/>
      <c r="L58"/>
      <c r="M58"/>
      <c r="N58"/>
    </row>
    <row r="59" spans="1:61" ht="15" x14ac:dyDescent="0.25">
      <c r="A59" s="72" t="s">
        <v>99</v>
      </c>
      <c r="B59"/>
      <c r="C59"/>
      <c r="D59"/>
      <c r="E59"/>
      <c r="F59"/>
      <c r="G59"/>
      <c r="H59"/>
      <c r="I59"/>
      <c r="J59"/>
      <c r="K59"/>
      <c r="L59"/>
      <c r="M59"/>
      <c r="N59"/>
      <c r="O59" s="77"/>
      <c r="P59" s="75"/>
      <c r="Q59" s="75"/>
      <c r="R59" s="75"/>
      <c r="S59" s="75"/>
      <c r="T59" s="75"/>
      <c r="U59" s="75"/>
      <c r="V59" s="75"/>
      <c r="W59" s="75"/>
      <c r="X59" s="75"/>
      <c r="Y59" s="75"/>
      <c r="Z59" s="75"/>
      <c r="AA59" s="75"/>
      <c r="AB59" s="75"/>
      <c r="AC59" s="75"/>
      <c r="AD59" s="75"/>
      <c r="AE59" s="75"/>
      <c r="AF59" s="75"/>
      <c r="AG59" s="75"/>
      <c r="AH59" s="75"/>
      <c r="AI59" s="75"/>
      <c r="AJ59" s="75"/>
      <c r="AK59" s="75"/>
      <c r="AL59" s="75"/>
      <c r="AM59" s="75"/>
      <c r="AN59" s="75"/>
      <c r="AO59" s="75"/>
      <c r="AP59" s="75"/>
      <c r="AQ59" s="75"/>
      <c r="AR59" s="75"/>
      <c r="AS59" s="75"/>
      <c r="AT59" s="75"/>
      <c r="AU59" s="75"/>
      <c r="AV59" s="75"/>
      <c r="AW59" s="75"/>
      <c r="AX59" s="75"/>
      <c r="AY59" s="75"/>
      <c r="AZ59" s="75"/>
      <c r="BA59" s="75"/>
      <c r="BB59" s="75"/>
      <c r="BC59" s="75"/>
      <c r="BD59" s="75"/>
      <c r="BE59" s="75"/>
      <c r="BF59" s="75"/>
    </row>
    <row r="60" spans="1:61" ht="15" x14ac:dyDescent="0.25">
      <c r="A60" s="72" t="s">
        <v>18</v>
      </c>
      <c r="B60"/>
      <c r="C60"/>
      <c r="D60"/>
      <c r="E60"/>
      <c r="F60"/>
      <c r="G60"/>
      <c r="H60"/>
      <c r="I60"/>
      <c r="J60"/>
      <c r="K60"/>
      <c r="L60"/>
      <c r="M60"/>
      <c r="N60"/>
    </row>
    <row r="61" spans="1:61" ht="15" x14ac:dyDescent="0.25">
      <c r="A61" s="72" t="s">
        <v>19</v>
      </c>
      <c r="B61"/>
      <c r="C61"/>
      <c r="D61"/>
      <c r="E61"/>
      <c r="F61"/>
      <c r="G61"/>
      <c r="H61"/>
      <c r="I61"/>
      <c r="J61"/>
      <c r="K61"/>
      <c r="L61"/>
      <c r="M61"/>
      <c r="N61"/>
      <c r="BD61" s="14"/>
      <c r="BE61" s="14"/>
    </row>
    <row r="62" spans="1:61" ht="15" x14ac:dyDescent="0.25">
      <c r="A62" s="72" t="s">
        <v>20</v>
      </c>
      <c r="B62"/>
      <c r="C62"/>
      <c r="D62"/>
      <c r="E62"/>
      <c r="F62"/>
      <c r="G62"/>
      <c r="H62"/>
      <c r="I62"/>
      <c r="J62"/>
      <c r="K62"/>
      <c r="L62"/>
      <c r="M62"/>
      <c r="N62"/>
    </row>
    <row r="63" spans="1:61" ht="15" x14ac:dyDescent="0.25">
      <c r="A63" s="72" t="s">
        <v>21</v>
      </c>
      <c r="B63"/>
      <c r="C63"/>
      <c r="D63"/>
      <c r="E63"/>
      <c r="F63"/>
      <c r="G63"/>
      <c r="H63"/>
      <c r="I63"/>
      <c r="J63"/>
      <c r="K63"/>
      <c r="L63"/>
      <c r="M63"/>
      <c r="N63"/>
    </row>
    <row r="64" spans="1:61" ht="15" x14ac:dyDescent="0.25">
      <c r="A64" s="72" t="s">
        <v>22</v>
      </c>
      <c r="B64"/>
      <c r="C64"/>
      <c r="D64"/>
      <c r="E64"/>
      <c r="F64"/>
      <c r="G64"/>
      <c r="H64"/>
      <c r="I64"/>
      <c r="J64"/>
      <c r="K64"/>
      <c r="L64"/>
      <c r="M64"/>
      <c r="N64"/>
    </row>
    <row r="65" spans="1:58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 s="15" t="s">
        <v>76</v>
      </c>
      <c r="X65" s="15" t="s">
        <v>42</v>
      </c>
      <c r="AG65" s="15" t="s">
        <v>43</v>
      </c>
      <c r="AP65" s="15" t="s">
        <v>50</v>
      </c>
      <c r="AY65" s="15" t="s">
        <v>51</v>
      </c>
    </row>
    <row r="66" spans="1:58" ht="15.75" x14ac:dyDescent="0.25">
      <c r="A66" s="72" t="s">
        <v>23</v>
      </c>
      <c r="B66" s="72" t="s">
        <v>24</v>
      </c>
      <c r="C66" s="72" t="s">
        <v>25</v>
      </c>
      <c r="D66" s="72" t="s">
        <v>26</v>
      </c>
      <c r="E66" s="72" t="s">
        <v>27</v>
      </c>
      <c r="F66" s="72" t="s">
        <v>28</v>
      </c>
      <c r="G66" s="72" t="s">
        <v>29</v>
      </c>
      <c r="H66" s="72">
        <v>86.468999999999994</v>
      </c>
      <c r="I66" s="72" t="s">
        <v>30</v>
      </c>
      <c r="J66" s="72" t="s">
        <v>31</v>
      </c>
      <c r="K66" s="72"/>
      <c r="L66" s="72"/>
      <c r="M66" s="72"/>
      <c r="O66" s="16" t="s">
        <v>77</v>
      </c>
      <c r="P66" s="16" t="s">
        <v>78</v>
      </c>
      <c r="Q66" s="16" t="s">
        <v>79</v>
      </c>
      <c r="R66" s="16" t="s">
        <v>80</v>
      </c>
      <c r="S66" s="16" t="s">
        <v>81</v>
      </c>
      <c r="T66" s="16" t="s">
        <v>82</v>
      </c>
      <c r="U66" s="16" t="s">
        <v>83</v>
      </c>
      <c r="V66" s="16" t="s">
        <v>84</v>
      </c>
      <c r="W66" s="16"/>
      <c r="X66" s="16" t="s">
        <v>77</v>
      </c>
      <c r="Y66" s="16" t="s">
        <v>78</v>
      </c>
      <c r="Z66" s="16" t="s">
        <v>79</v>
      </c>
      <c r="AA66" s="16" t="s">
        <v>80</v>
      </c>
      <c r="AB66" s="16" t="s">
        <v>81</v>
      </c>
      <c r="AC66" s="16" t="s">
        <v>82</v>
      </c>
      <c r="AD66" s="16" t="s">
        <v>83</v>
      </c>
      <c r="AE66" s="16" t="s">
        <v>84</v>
      </c>
      <c r="AF66" s="16"/>
      <c r="AG66" s="16" t="s">
        <v>77</v>
      </c>
      <c r="AH66" s="16" t="s">
        <v>78</v>
      </c>
      <c r="AI66" s="16" t="s">
        <v>79</v>
      </c>
      <c r="AJ66" s="16" t="s">
        <v>80</v>
      </c>
      <c r="AK66" s="16" t="s">
        <v>81</v>
      </c>
      <c r="AL66" s="16" t="s">
        <v>82</v>
      </c>
      <c r="AM66" s="16" t="s">
        <v>83</v>
      </c>
      <c r="AN66" s="16" t="s">
        <v>84</v>
      </c>
      <c r="AO66" s="12"/>
      <c r="AP66" s="16" t="s">
        <v>85</v>
      </c>
      <c r="AQ66" s="16" t="s">
        <v>86</v>
      </c>
      <c r="AR66" s="16" t="s">
        <v>87</v>
      </c>
      <c r="AS66" s="16" t="s">
        <v>83</v>
      </c>
      <c r="AT66" s="17" t="s">
        <v>58</v>
      </c>
      <c r="AU66" s="16" t="s">
        <v>65</v>
      </c>
      <c r="AV66" s="18" t="s">
        <v>88</v>
      </c>
      <c r="AW66" s="21" t="s">
        <v>89</v>
      </c>
      <c r="AY66" s="16" t="s">
        <v>85</v>
      </c>
      <c r="AZ66" s="16" t="s">
        <v>86</v>
      </c>
      <c r="BA66" s="16" t="s">
        <v>87</v>
      </c>
      <c r="BB66" s="16" t="s">
        <v>83</v>
      </c>
      <c r="BC66" s="17" t="s">
        <v>58</v>
      </c>
      <c r="BD66" s="16" t="s">
        <v>65</v>
      </c>
      <c r="BE66" s="18" t="s">
        <v>88</v>
      </c>
      <c r="BF66" s="21" t="s">
        <v>89</v>
      </c>
    </row>
    <row r="67" spans="1:58" ht="15" x14ac:dyDescent="0.25">
      <c r="A67" s="72">
        <v>1</v>
      </c>
      <c r="B67" s="72">
        <v>1498730119.9860001</v>
      </c>
      <c r="C67" s="73">
        <v>1.83607072929209E-4</v>
      </c>
      <c r="D67" s="73">
        <v>-2.3150483167629299E-5</v>
      </c>
      <c r="E67" s="73">
        <v>7.3729801370647503E-4</v>
      </c>
      <c r="F67" s="73">
        <v>-1.02144842559526E-4</v>
      </c>
      <c r="G67" s="73">
        <v>1.0785234579290799E-3</v>
      </c>
      <c r="H67" s="73">
        <v>-3.0190344872191701E-5</v>
      </c>
      <c r="I67" s="73">
        <v>6.3205029080447197E-4</v>
      </c>
      <c r="J67" s="73">
        <v>7.2755430393622103E-3</v>
      </c>
      <c r="K67" s="73"/>
      <c r="L67" s="73"/>
      <c r="M67" s="73"/>
      <c r="O67" s="13">
        <f t="shared" ref="O67:O130" ca="1" si="0">C67-AVERAGE(OFFSET(C$67,$J$2,0,$J$3))</f>
        <v>-8.1080156342352587E-5</v>
      </c>
      <c r="P67" s="13">
        <f t="shared" ref="P67:P130" ca="1" si="1">D67-AVERAGE(OFFSET(D$67,$J$2,0,$J$3))</f>
        <v>-3.4437958552469471E-5</v>
      </c>
      <c r="Q67" s="13">
        <f t="shared" ref="Q67:Q130" ca="1" si="2">E67-AVERAGE(OFFSET(E$67,$J$2,0,$J$3))</f>
        <v>-1.0344160426621033E-4</v>
      </c>
      <c r="R67" s="13">
        <f t="shared" ref="R67:R130" ca="1" si="3">F67-AVERAGE(OFFSET(F$67,$J$2,0,$J$3))</f>
        <v>-1.1192112145020712E-4</v>
      </c>
      <c r="S67" s="13">
        <f t="shared" ref="S67:S130" ca="1" si="4">G67-AVERAGE(OFFSET(G$67,$J$2,0,$J$3))</f>
        <v>-5.6555175312293562E-5</v>
      </c>
      <c r="T67" s="13">
        <f t="shared" ref="T67:T130" ca="1" si="5">H67-AVERAGE(OFFSET(H$67,$J$2,0,$J$3))</f>
        <v>-3.0540166383215788E-5</v>
      </c>
      <c r="U67" s="13">
        <f t="shared" ref="U67:U130" ca="1" si="6">I67-AVERAGE(OFFSET(I$67,$J$2,0,$J$3))</f>
        <v>-2.179370398404921E-5</v>
      </c>
      <c r="V67" s="13">
        <f t="shared" ref="V67:V130" ca="1" si="7">J67-AVERAGE(OFFSET(J$67,$J$2,0,$J$3))</f>
        <v>1.3676211690804609E-4</v>
      </c>
      <c r="X67" s="3">
        <f t="shared" ref="X67:X130" ca="1" si="8">O67</f>
        <v>-8.1080156342352587E-5</v>
      </c>
      <c r="Y67" s="3">
        <f t="shared" ref="Y67:Y130" ca="1" si="9">P67</f>
        <v>-3.4437958552469471E-5</v>
      </c>
      <c r="Z67" s="3">
        <f t="shared" ref="Z67:Z130" ca="1" si="10">IF($T67&gt;0,Q67-($B$14/$B$18*$T67), Q67)</f>
        <v>-1.0344160426621033E-4</v>
      </c>
      <c r="AA67" s="3">
        <f t="shared" ref="AA67:AA130" ca="1" si="11">IF($T67&gt;0,R67-($B$15/$B$18*$T67), R67)</f>
        <v>-1.1192112145020712E-4</v>
      </c>
      <c r="AB67" s="3">
        <f t="shared" ref="AB67:AB130" ca="1" si="12">IF($T67&gt;0,S67-($B$17/$B$18*$T67), S67)</f>
        <v>-5.6555175312293562E-5</v>
      </c>
      <c r="AC67" s="3">
        <f t="shared" ref="AC67:AC130" ca="1" si="13">T67</f>
        <v>-3.0540166383215788E-5</v>
      </c>
      <c r="AD67" s="3">
        <f t="shared" ref="AD67:AD130" ca="1" si="14">IF($T67&gt;0,U67-($B$19/$B$18*$T67), U67)</f>
        <v>-2.179370398404921E-5</v>
      </c>
      <c r="AE67" s="3">
        <f t="shared" ref="AE67:AE130" ca="1" si="15">IF($T67&gt;0,V67-($B$20/$B$18*$T67), V67)</f>
        <v>1.3676211690804609E-4</v>
      </c>
      <c r="AG67" s="3">
        <f t="shared" ref="AG67:AG130" ca="1" si="16">X67</f>
        <v>-8.1080156342352587E-5</v>
      </c>
      <c r="AH67" s="3">
        <f t="shared" ref="AH67:AH130" ca="1" si="17">Y67</f>
        <v>-3.4437958552469471E-5</v>
      </c>
      <c r="AI67" s="3">
        <f t="shared" ref="AI67:AI130" ca="1" si="18">IF($Y67&gt;0,Z67-($B$25/$B$23*$Y67),Z67)</f>
        <v>-1.0344160426621033E-4</v>
      </c>
      <c r="AJ67" s="3">
        <f t="shared" ref="AJ67:AJ130" ca="1" si="19">IF($Y67&gt;0,AA67-($B$26/$B$23*$Y67),AA67)</f>
        <v>-1.1192112145020712E-4</v>
      </c>
      <c r="AK67" s="3">
        <f t="shared" ref="AK67:AK130" ca="1" si="20">AB67</f>
        <v>-5.6555175312293562E-5</v>
      </c>
      <c r="AL67" s="3">
        <f t="shared" ref="AL67:AL130" ca="1" si="21">AC67</f>
        <v>-3.0540166383215788E-5</v>
      </c>
      <c r="AM67" s="3">
        <f t="shared" ref="AM67:AM130" ca="1" si="22">AD67</f>
        <v>-2.179370398404921E-5</v>
      </c>
      <c r="AN67" s="3">
        <f t="shared" ref="AN67:AN130" ca="1" si="23">AE67</f>
        <v>1.3676211690804609E-4</v>
      </c>
      <c r="AP67" s="3" t="e">
        <f t="shared" ref="AP67:AP130" ca="1" si="24">IF(AND(S67&gt;0,V67&gt;0),V67/S67, #N/A)</f>
        <v>#N/A</v>
      </c>
      <c r="AQ67" s="3" t="e">
        <f ca="1">$B$8*((AP67/$B$10)^$B$11)</f>
        <v>#N/A</v>
      </c>
      <c r="AR67" s="3" t="e">
        <f t="shared" ref="AR67:AR130" ca="1" si="25">AQ67*R67</f>
        <v>#N/A</v>
      </c>
      <c r="AS67" s="3" t="e">
        <f t="shared" ref="AS67:AS130" ca="1" si="26">U67-AR67</f>
        <v>#N/A</v>
      </c>
      <c r="AT67" s="3" t="e">
        <f t="shared" ref="AT67:AT130" ca="1" si="27">(AS67/S67)/((AP67/$B$10)^$B$12)</f>
        <v>#N/A</v>
      </c>
      <c r="AU67" s="3" t="e">
        <f t="shared" ref="AU67:AU130" ca="1" si="28">(Q67/S67)/((AP67/$B$10)^$B$13)</f>
        <v>#N/A</v>
      </c>
      <c r="AV67" s="10" t="e">
        <f ca="1">IF(AND(AT67&lt;$M$3,AT67&gt;$M$4),AT67,"rejected")</f>
        <v>#N/A</v>
      </c>
      <c r="AW67" s="10" t="e">
        <f ca="1">IF(AND(AT67&lt;$M$3,AT67&gt;$M$4),AT67,#N/A)</f>
        <v>#N/A</v>
      </c>
      <c r="AX67" s="20"/>
      <c r="AY67" s="3" t="e">
        <f ca="1">IF(AND(AN67&gt;0, AK67&gt;0),AN67/AK67, #N/A)</f>
        <v>#N/A</v>
      </c>
      <c r="AZ67" s="3" t="e">
        <f ca="1">$B$8*((AY67/$B$10)^$B$11)</f>
        <v>#N/A</v>
      </c>
      <c r="BA67" s="3" t="e">
        <f t="shared" ref="BA67:BA130" ca="1" si="29">AZ67*AJ67</f>
        <v>#N/A</v>
      </c>
      <c r="BB67" s="3" t="e">
        <f ca="1">AM67-BA67</f>
        <v>#N/A</v>
      </c>
      <c r="BC67" s="3" t="e">
        <f ca="1">(BB67/AK67)/((AY67/$B$10)^$B$12)</f>
        <v>#N/A</v>
      </c>
      <c r="BD67" s="3" t="e">
        <f t="shared" ref="BD67:BD130" ca="1" si="30">(AI67/AK67)/((AY67/$B$10)^$B$13)</f>
        <v>#N/A</v>
      </c>
      <c r="BE67" s="3" t="e">
        <f ca="1">IF(AND(BC67&lt;$P$3,BC67&gt;$P$4),BC67,"rejected")</f>
        <v>#N/A</v>
      </c>
      <c r="BF67" s="3" t="e">
        <f ca="1">IF(AND(BC67&lt;$P$3,BC67&gt;$P$4),BC67,#N/A)</f>
        <v>#N/A</v>
      </c>
    </row>
    <row r="68" spans="1:58" ht="15" x14ac:dyDescent="0.25">
      <c r="A68" s="72">
        <v>2</v>
      </c>
      <c r="B68" s="72">
        <v>1498730120.513</v>
      </c>
      <c r="C68" s="73">
        <v>2.95180185488183E-4</v>
      </c>
      <c r="D68" s="73">
        <v>1.2046233825178899E-5</v>
      </c>
      <c r="E68" s="73">
        <v>9.1281759215682305E-4</v>
      </c>
      <c r="F68" s="73">
        <v>-8.5490942029847205E-5</v>
      </c>
      <c r="G68" s="73">
        <v>1.1848619309429501E-3</v>
      </c>
      <c r="H68" s="73">
        <v>-4.5184264771313401E-5</v>
      </c>
      <c r="I68" s="73">
        <v>5.9903955558512803E-4</v>
      </c>
      <c r="J68" s="73">
        <v>7.2633622645115496E-3</v>
      </c>
      <c r="K68" s="73"/>
      <c r="L68" s="73"/>
      <c r="M68" s="73"/>
      <c r="O68" s="13">
        <f t="shared" ca="1" si="0"/>
        <v>3.0492956216621419E-5</v>
      </c>
      <c r="P68" s="13">
        <f t="shared" ca="1" si="1"/>
        <v>7.587584403387262E-7</v>
      </c>
      <c r="Q68" s="13">
        <f t="shared" ca="1" si="2"/>
        <v>7.2077974184137691E-5</v>
      </c>
      <c r="R68" s="13">
        <f t="shared" ca="1" si="3"/>
        <v>-9.5267220920528325E-5</v>
      </c>
      <c r="S68" s="13">
        <f t="shared" ca="1" si="4"/>
        <v>4.9783297701576574E-5</v>
      </c>
      <c r="T68" s="13">
        <f t="shared" ca="1" si="5"/>
        <v>-4.5534086282337491E-5</v>
      </c>
      <c r="U68" s="13">
        <f t="shared" ca="1" si="6"/>
        <v>-5.4804439203393149E-5</v>
      </c>
      <c r="V68" s="13">
        <f t="shared" ca="1" si="7"/>
        <v>1.2458134205738536E-4</v>
      </c>
      <c r="X68" s="3">
        <f t="shared" ca="1" si="8"/>
        <v>3.0492956216621419E-5</v>
      </c>
      <c r="Y68" s="3">
        <f t="shared" ca="1" si="9"/>
        <v>7.587584403387262E-7</v>
      </c>
      <c r="Z68" s="3">
        <f t="shared" ca="1" si="10"/>
        <v>7.2077974184137691E-5</v>
      </c>
      <c r="AA68" s="3">
        <f t="shared" ca="1" si="11"/>
        <v>-9.5267220920528325E-5</v>
      </c>
      <c r="AB68" s="3">
        <f t="shared" ca="1" si="12"/>
        <v>4.9783297701576574E-5</v>
      </c>
      <c r="AC68" s="3">
        <f t="shared" ca="1" si="13"/>
        <v>-4.5534086282337491E-5</v>
      </c>
      <c r="AD68" s="3">
        <f t="shared" ca="1" si="14"/>
        <v>-5.4804439203393149E-5</v>
      </c>
      <c r="AE68" s="3">
        <f t="shared" ca="1" si="15"/>
        <v>1.2458134205738536E-4</v>
      </c>
      <c r="AG68" s="3">
        <f t="shared" ca="1" si="16"/>
        <v>3.0492956216621419E-5</v>
      </c>
      <c r="AH68" s="3">
        <f t="shared" ca="1" si="17"/>
        <v>7.587584403387262E-7</v>
      </c>
      <c r="AI68" s="3">
        <f t="shared" ca="1" si="18"/>
        <v>7.1466798285093813E-5</v>
      </c>
      <c r="AJ68" s="3">
        <f t="shared" ca="1" si="19"/>
        <v>-9.5604713895359807E-5</v>
      </c>
      <c r="AK68" s="3">
        <f t="shared" ca="1" si="20"/>
        <v>4.9783297701576574E-5</v>
      </c>
      <c r="AL68" s="3">
        <f t="shared" ca="1" si="21"/>
        <v>-4.5534086282337491E-5</v>
      </c>
      <c r="AM68" s="3">
        <f t="shared" ca="1" si="22"/>
        <v>-5.4804439203393149E-5</v>
      </c>
      <c r="AN68" s="3">
        <f t="shared" ca="1" si="23"/>
        <v>1.2458134205738536E-4</v>
      </c>
      <c r="AP68" s="3">
        <f t="shared" ca="1" si="24"/>
        <v>2.5024726727462259</v>
      </c>
      <c r="AQ68" s="3">
        <f t="shared" ref="AQ68:AQ131" ca="1" si="31">$B$8*((AP68/$B$10)^$B$11)</f>
        <v>0.11355898235904026</v>
      </c>
      <c r="AR68" s="3">
        <f t="shared" ca="1" si="25"/>
        <v>-1.0818448659909067E-5</v>
      </c>
      <c r="AS68" s="3">
        <f t="shared" ca="1" si="26"/>
        <v>-4.3985990543484082E-5</v>
      </c>
      <c r="AT68" s="3">
        <f t="shared" ca="1" si="27"/>
        <v>-1.623412950803828</v>
      </c>
      <c r="AU68" s="3">
        <f t="shared" ca="1" si="28"/>
        <v>0.42062472091210501</v>
      </c>
      <c r="AV68" s="10" t="str">
        <f t="shared" ref="AV68:AV131" ca="1" si="32">IF(AND(AT68&lt;$M$3,AT68&gt;$M$4),AT68,"rejected")</f>
        <v>rejected</v>
      </c>
      <c r="AW68" s="10" t="e">
        <f t="shared" ref="AW68:AW131" ca="1" si="33">IF(AND(AT68&lt;$M$3,AT68&gt;$M$4),AT68,#N/A)</f>
        <v>#N/A</v>
      </c>
      <c r="AX68" s="13"/>
      <c r="AY68" s="3">
        <f ca="1">IF(AND(AN68&gt;0, AK68&gt;0),AN68/AK68, #N/A)</f>
        <v>2.5024726727462259</v>
      </c>
      <c r="AZ68" s="3">
        <f t="shared" ref="AZ68:AZ131" ca="1" si="34">$B$8*((AY68/$B$10)^$B$11)</f>
        <v>0.11355898235904026</v>
      </c>
      <c r="BA68" s="3">
        <f t="shared" ca="1" si="29"/>
        <v>-1.0856774018684256E-5</v>
      </c>
      <c r="BB68" s="3">
        <f t="shared" ref="BB68:BB131" ca="1" si="35">AM68-BA68</f>
        <v>-4.3947665184708894E-5</v>
      </c>
      <c r="BC68" s="3">
        <f t="shared" ref="BC68:BC131" ca="1" si="36">(BB68/AK68)/((AY68/$B$10)^$B$12)</f>
        <v>-1.6219984576206328</v>
      </c>
      <c r="BD68" s="3">
        <f t="shared" ca="1" si="30"/>
        <v>0.41705808776413689</v>
      </c>
      <c r="BE68" s="3" t="str">
        <f t="shared" ref="BE68:BE131" ca="1" si="37">IF(AND(BC68&lt;$P$3,BC68&gt;$P$4),BC68,"rejected")</f>
        <v>rejected</v>
      </c>
      <c r="BF68" s="3" t="e">
        <f t="shared" ref="BF68:BF131" ca="1" si="38">IF(AND(BC68&lt;$P$3,BC68&gt;$P$4),BC68,#N/A)</f>
        <v>#N/A</v>
      </c>
    </row>
    <row r="69" spans="1:58" ht="15" x14ac:dyDescent="0.25">
      <c r="A69" s="72">
        <v>3</v>
      </c>
      <c r="B69" s="72">
        <v>1498730121.04</v>
      </c>
      <c r="C69" s="73">
        <v>3.1088230646364999E-4</v>
      </c>
      <c r="D69" s="73">
        <v>6.1654465071966306E-5</v>
      </c>
      <c r="E69" s="73">
        <v>9.1521234124846405E-4</v>
      </c>
      <c r="F69" s="73">
        <v>1.27941483564668E-4</v>
      </c>
      <c r="G69" s="73">
        <v>1.2022681835948501E-3</v>
      </c>
      <c r="H69" s="73">
        <v>8.2229981577971697E-5</v>
      </c>
      <c r="I69" s="73">
        <v>7.4747770616185704E-4</v>
      </c>
      <c r="J69" s="73">
        <v>7.2597797118233703E-3</v>
      </c>
      <c r="K69" s="73"/>
      <c r="L69" s="73"/>
      <c r="M69" s="73"/>
      <c r="O69" s="13">
        <f t="shared" ca="1" si="0"/>
        <v>4.6195077192088402E-5</v>
      </c>
      <c r="P69" s="13">
        <f t="shared" ca="1" si="1"/>
        <v>5.0366989687126135E-5</v>
      </c>
      <c r="Q69" s="13">
        <f t="shared" ca="1" si="2"/>
        <v>7.4472723275778694E-5</v>
      </c>
      <c r="R69" s="13">
        <f t="shared" ca="1" si="3"/>
        <v>1.1816520467398688E-4</v>
      </c>
      <c r="S69" s="13">
        <f t="shared" ca="1" si="4"/>
        <v>6.7189550353476601E-5</v>
      </c>
      <c r="T69" s="13">
        <f t="shared" ca="1" si="5"/>
        <v>8.1880160066947607E-5</v>
      </c>
      <c r="U69" s="13">
        <f t="shared" ca="1" si="6"/>
        <v>9.3633711373335865E-5</v>
      </c>
      <c r="V69" s="13">
        <f t="shared" ca="1" si="7"/>
        <v>1.2099878936920605E-4</v>
      </c>
      <c r="X69" s="3">
        <f t="shared" ca="1" si="8"/>
        <v>4.6195077192088402E-5</v>
      </c>
      <c r="Y69" s="3">
        <f t="shared" ca="1" si="9"/>
        <v>5.0366989687126135E-5</v>
      </c>
      <c r="Z69" s="3">
        <f t="shared" ca="1" si="10"/>
        <v>7.384627877970666E-5</v>
      </c>
      <c r="AA69" s="3">
        <f t="shared" ca="1" si="11"/>
        <v>1.0300240039406155E-4</v>
      </c>
      <c r="AB69" s="3">
        <f t="shared" ca="1" si="12"/>
        <v>-4.3078918330111902E-5</v>
      </c>
      <c r="AC69" s="3">
        <f t="shared" ca="1" si="13"/>
        <v>8.1880160066947607E-5</v>
      </c>
      <c r="AD69" s="3">
        <f t="shared" ca="1" si="14"/>
        <v>-6.9206264168115837E-5</v>
      </c>
      <c r="AE69" s="3">
        <f t="shared" ca="1" si="15"/>
        <v>5.4922115453166559E-5</v>
      </c>
      <c r="AG69" s="3">
        <f t="shared" ca="1" si="16"/>
        <v>4.6195077192088402E-5</v>
      </c>
      <c r="AH69" s="3">
        <f t="shared" ca="1" si="17"/>
        <v>5.0366989687126135E-5</v>
      </c>
      <c r="AI69" s="3">
        <f t="shared" ca="1" si="18"/>
        <v>3.3275935746130859E-5</v>
      </c>
      <c r="AJ69" s="3">
        <f t="shared" ca="1" si="19"/>
        <v>8.0599347882083755E-5</v>
      </c>
      <c r="AK69" s="3">
        <f t="shared" ca="1" si="20"/>
        <v>-4.3078918330111902E-5</v>
      </c>
      <c r="AL69" s="3">
        <f t="shared" ca="1" si="21"/>
        <v>8.1880160066947607E-5</v>
      </c>
      <c r="AM69" s="3">
        <f t="shared" ca="1" si="22"/>
        <v>-6.9206264168115837E-5</v>
      </c>
      <c r="AN69" s="3">
        <f t="shared" ca="1" si="23"/>
        <v>5.4922115453166559E-5</v>
      </c>
      <c r="AP69" s="3">
        <f t="shared" ca="1" si="24"/>
        <v>1.8008572573063095</v>
      </c>
      <c r="AQ69" s="3">
        <f t="shared" ca="1" si="31"/>
        <v>8.1395117751590793E-2</v>
      </c>
      <c r="AR69" s="3">
        <f t="shared" ca="1" si="25"/>
        <v>9.6180707485799885E-6</v>
      </c>
      <c r="AS69" s="3">
        <f t="shared" ca="1" si="26"/>
        <v>8.4015640624755881E-5</v>
      </c>
      <c r="AT69" s="3">
        <f t="shared" ca="1" si="27"/>
        <v>2.7115347348791481</v>
      </c>
      <c r="AU69" s="3">
        <f t="shared" ca="1" si="28"/>
        <v>0.22996358448448026</v>
      </c>
      <c r="AV69" s="10" t="str">
        <f t="shared" ca="1" si="32"/>
        <v>rejected</v>
      </c>
      <c r="AW69" s="10" t="e">
        <f t="shared" ca="1" si="33"/>
        <v>#N/A</v>
      </c>
      <c r="AY69" s="3" t="e">
        <f t="shared" ref="AY69:AY132" ca="1" si="39">IF(AND(AN69&gt;0, AK69&gt;0),AN69/AK69, #N/A)</f>
        <v>#N/A</v>
      </c>
      <c r="AZ69" s="3" t="e">
        <f t="shared" ca="1" si="34"/>
        <v>#N/A</v>
      </c>
      <c r="BA69" s="3" t="e">
        <f t="shared" ca="1" si="29"/>
        <v>#N/A</v>
      </c>
      <c r="BB69" s="3" t="e">
        <f t="shared" ca="1" si="35"/>
        <v>#N/A</v>
      </c>
      <c r="BC69" s="3" t="e">
        <f t="shared" ca="1" si="36"/>
        <v>#N/A</v>
      </c>
      <c r="BD69" s="3" t="e">
        <f t="shared" ca="1" si="30"/>
        <v>#N/A</v>
      </c>
      <c r="BE69" s="3" t="e">
        <f t="shared" ca="1" si="37"/>
        <v>#N/A</v>
      </c>
      <c r="BF69" s="3" t="e">
        <f t="shared" ca="1" si="38"/>
        <v>#N/A</v>
      </c>
    </row>
    <row r="70" spans="1:58" ht="15" x14ac:dyDescent="0.25">
      <c r="A70" s="72">
        <v>4</v>
      </c>
      <c r="B70" s="72">
        <v>1498730121.5669999</v>
      </c>
      <c r="C70" s="73">
        <v>2.5235747409532499E-4</v>
      </c>
      <c r="D70" s="73">
        <v>-4.7480369741631198E-5</v>
      </c>
      <c r="E70" s="73">
        <v>9.1185969411729305E-4</v>
      </c>
      <c r="F70" s="73">
        <v>8.7588272942773404E-7</v>
      </c>
      <c r="G70" s="73">
        <v>1.1111867635999E-3</v>
      </c>
      <c r="H70" s="73">
        <v>-6.5732752627766196E-6</v>
      </c>
      <c r="I70" s="73">
        <v>6.7384962326122802E-4</v>
      </c>
      <c r="J70" s="73">
        <v>7.2048488395096604E-3</v>
      </c>
      <c r="K70" s="73"/>
      <c r="L70" s="73"/>
      <c r="M70" s="73"/>
      <c r="O70" s="13">
        <f t="shared" ca="1" si="0"/>
        <v>-1.2329755176236591E-5</v>
      </c>
      <c r="P70" s="13">
        <f t="shared" ca="1" si="1"/>
        <v>-5.876784512647137E-5</v>
      </c>
      <c r="Q70" s="13">
        <f t="shared" ca="1" si="2"/>
        <v>7.1120076144607692E-5</v>
      </c>
      <c r="R70" s="13">
        <f t="shared" ca="1" si="3"/>
        <v>-8.9003961612533919E-6</v>
      </c>
      <c r="S70" s="13">
        <f t="shared" ca="1" si="4"/>
        <v>-2.3891869641473476E-5</v>
      </c>
      <c r="T70" s="13">
        <f t="shared" ca="1" si="5"/>
        <v>-6.9230967738007061E-6</v>
      </c>
      <c r="U70" s="13">
        <f t="shared" ca="1" si="6"/>
        <v>2.0005628472706842E-5</v>
      </c>
      <c r="V70" s="13">
        <f t="shared" ca="1" si="7"/>
        <v>6.606791705549616E-5</v>
      </c>
      <c r="X70" s="3">
        <f t="shared" ca="1" si="8"/>
        <v>-1.2329755176236591E-5</v>
      </c>
      <c r="Y70" s="3">
        <f t="shared" ca="1" si="9"/>
        <v>-5.876784512647137E-5</v>
      </c>
      <c r="Z70" s="3">
        <f t="shared" ca="1" si="10"/>
        <v>7.1120076144607692E-5</v>
      </c>
      <c r="AA70" s="3">
        <f t="shared" ca="1" si="11"/>
        <v>-8.9003961612533919E-6</v>
      </c>
      <c r="AB70" s="3">
        <f t="shared" ca="1" si="12"/>
        <v>-2.3891869641473476E-5</v>
      </c>
      <c r="AC70" s="3">
        <f t="shared" ca="1" si="13"/>
        <v>-6.9230967738007061E-6</v>
      </c>
      <c r="AD70" s="3">
        <f t="shared" ca="1" si="14"/>
        <v>2.0005628472706842E-5</v>
      </c>
      <c r="AE70" s="3">
        <f t="shared" ca="1" si="15"/>
        <v>6.606791705549616E-5</v>
      </c>
      <c r="AG70" s="3">
        <f t="shared" ca="1" si="16"/>
        <v>-1.2329755176236591E-5</v>
      </c>
      <c r="AH70" s="3">
        <f t="shared" ca="1" si="17"/>
        <v>-5.876784512647137E-5</v>
      </c>
      <c r="AI70" s="3">
        <f t="shared" ca="1" si="18"/>
        <v>7.1120076144607692E-5</v>
      </c>
      <c r="AJ70" s="3">
        <f t="shared" ca="1" si="19"/>
        <v>-8.9003961612533919E-6</v>
      </c>
      <c r="AK70" s="3">
        <f t="shared" ca="1" si="20"/>
        <v>-2.3891869641473476E-5</v>
      </c>
      <c r="AL70" s="3">
        <f t="shared" ca="1" si="21"/>
        <v>-6.9230967738007061E-6</v>
      </c>
      <c r="AM70" s="3">
        <f t="shared" ca="1" si="22"/>
        <v>2.0005628472706842E-5</v>
      </c>
      <c r="AN70" s="3">
        <f t="shared" ca="1" si="23"/>
        <v>6.606791705549616E-5</v>
      </c>
      <c r="AP70" s="3" t="e">
        <f t="shared" ca="1" si="24"/>
        <v>#N/A</v>
      </c>
      <c r="AQ70" s="3" t="e">
        <f t="shared" ca="1" si="31"/>
        <v>#N/A</v>
      </c>
      <c r="AR70" s="3" t="e">
        <f t="shared" ca="1" si="25"/>
        <v>#N/A</v>
      </c>
      <c r="AS70" s="3" t="e">
        <f t="shared" ca="1" si="26"/>
        <v>#N/A</v>
      </c>
      <c r="AT70" s="3" t="e">
        <f t="shared" ca="1" si="27"/>
        <v>#N/A</v>
      </c>
      <c r="AU70" s="3" t="e">
        <f t="shared" ca="1" si="28"/>
        <v>#N/A</v>
      </c>
      <c r="AV70" s="10" t="e">
        <f t="shared" ca="1" si="32"/>
        <v>#N/A</v>
      </c>
      <c r="AW70" s="10" t="e">
        <f t="shared" ca="1" si="33"/>
        <v>#N/A</v>
      </c>
      <c r="AY70" s="3" t="e">
        <f t="shared" ca="1" si="39"/>
        <v>#N/A</v>
      </c>
      <c r="AZ70" s="3" t="e">
        <f t="shared" ca="1" si="34"/>
        <v>#N/A</v>
      </c>
      <c r="BA70" s="3" t="e">
        <f t="shared" ca="1" si="29"/>
        <v>#N/A</v>
      </c>
      <c r="BB70" s="3" t="e">
        <f t="shared" ca="1" si="35"/>
        <v>#N/A</v>
      </c>
      <c r="BC70" s="3" t="e">
        <f t="shared" ca="1" si="36"/>
        <v>#N/A</v>
      </c>
      <c r="BD70" s="3" t="e">
        <f t="shared" ca="1" si="30"/>
        <v>#N/A</v>
      </c>
      <c r="BE70" s="3" t="e">
        <f t="shared" ca="1" si="37"/>
        <v>#N/A</v>
      </c>
      <c r="BF70" s="3" t="e">
        <f t="shared" ca="1" si="38"/>
        <v>#N/A</v>
      </c>
    </row>
    <row r="71" spans="1:58" ht="15" x14ac:dyDescent="0.25">
      <c r="A71" s="72">
        <v>5</v>
      </c>
      <c r="B71" s="72">
        <v>1498730122.0940001</v>
      </c>
      <c r="C71" s="73">
        <v>2.6472829098079999E-4</v>
      </c>
      <c r="D71" s="73">
        <v>-5.7873537475259103E-5</v>
      </c>
      <c r="E71" s="73">
        <v>7.9404519406680695E-4</v>
      </c>
      <c r="F71" s="73">
        <v>1.7055622766485799E-5</v>
      </c>
      <c r="G71" s="73">
        <v>1.16936346772639E-3</v>
      </c>
      <c r="H71" s="73">
        <v>-8.3355397213798004E-5</v>
      </c>
      <c r="I71" s="73">
        <v>6.4273745350141296E-4</v>
      </c>
      <c r="J71" s="73">
        <v>7.1487269247098896E-3</v>
      </c>
      <c r="K71" s="73"/>
      <c r="L71" s="73"/>
      <c r="M71" s="73"/>
      <c r="O71" s="13">
        <f t="shared" ca="1" si="0"/>
        <v>4.1061709238408677E-8</v>
      </c>
      <c r="P71" s="13">
        <f t="shared" ca="1" si="1"/>
        <v>-6.9161012860099281E-5</v>
      </c>
      <c r="Q71" s="13">
        <f t="shared" ca="1" si="2"/>
        <v>-4.6694423905878401E-5</v>
      </c>
      <c r="R71" s="13">
        <f t="shared" ca="1" si="3"/>
        <v>7.2793438758046736E-6</v>
      </c>
      <c r="S71" s="13">
        <f t="shared" ca="1" si="4"/>
        <v>3.4284834485016555E-5</v>
      </c>
      <c r="T71" s="13">
        <f t="shared" ca="1" si="5"/>
        <v>-8.3705218724822094E-5</v>
      </c>
      <c r="U71" s="13">
        <f t="shared" ca="1" si="6"/>
        <v>-1.1106541287108219E-5</v>
      </c>
      <c r="V71" s="13">
        <f t="shared" ca="1" si="7"/>
        <v>9.9460022557253808E-6</v>
      </c>
      <c r="X71" s="3">
        <f t="shared" ca="1" si="8"/>
        <v>4.1061709238408677E-8</v>
      </c>
      <c r="Y71" s="3">
        <f t="shared" ca="1" si="9"/>
        <v>-6.9161012860099281E-5</v>
      </c>
      <c r="Z71" s="3">
        <f t="shared" ca="1" si="10"/>
        <v>-4.6694423905878401E-5</v>
      </c>
      <c r="AA71" s="3">
        <f t="shared" ca="1" si="11"/>
        <v>7.2793438758046736E-6</v>
      </c>
      <c r="AB71" s="3">
        <f t="shared" ca="1" si="12"/>
        <v>3.4284834485016555E-5</v>
      </c>
      <c r="AC71" s="3">
        <f t="shared" ca="1" si="13"/>
        <v>-8.3705218724822094E-5</v>
      </c>
      <c r="AD71" s="3">
        <f t="shared" ca="1" si="14"/>
        <v>-1.1106541287108219E-5</v>
      </c>
      <c r="AE71" s="3">
        <f t="shared" ca="1" si="15"/>
        <v>9.9460022557253808E-6</v>
      </c>
      <c r="AG71" s="3">
        <f t="shared" ca="1" si="16"/>
        <v>4.1061709238408677E-8</v>
      </c>
      <c r="AH71" s="3">
        <f t="shared" ca="1" si="17"/>
        <v>-6.9161012860099281E-5</v>
      </c>
      <c r="AI71" s="3">
        <f t="shared" ca="1" si="18"/>
        <v>-4.6694423905878401E-5</v>
      </c>
      <c r="AJ71" s="3">
        <f t="shared" ca="1" si="19"/>
        <v>7.2793438758046736E-6</v>
      </c>
      <c r="AK71" s="3">
        <f t="shared" ca="1" si="20"/>
        <v>3.4284834485016555E-5</v>
      </c>
      <c r="AL71" s="3">
        <f t="shared" ca="1" si="21"/>
        <v>-8.3705218724822094E-5</v>
      </c>
      <c r="AM71" s="3">
        <f t="shared" ca="1" si="22"/>
        <v>-1.1106541287108219E-5</v>
      </c>
      <c r="AN71" s="3">
        <f t="shared" ca="1" si="23"/>
        <v>9.9460022557253808E-6</v>
      </c>
      <c r="AP71" s="3">
        <f t="shared" ca="1" si="24"/>
        <v>0.29009917665118279</v>
      </c>
      <c r="AQ71" s="3">
        <f t="shared" ca="1" si="31"/>
        <v>1.2824730540973E-2</v>
      </c>
      <c r="AR71" s="3">
        <f t="shared" ca="1" si="25"/>
        <v>9.3355623722276973E-8</v>
      </c>
      <c r="AS71" s="3">
        <f t="shared" ca="1" si="26"/>
        <v>-1.1199896910830496E-5</v>
      </c>
      <c r="AT71" s="3">
        <f t="shared" ca="1" si="27"/>
        <v>-1.7765783640030532</v>
      </c>
      <c r="AU71" s="3">
        <f t="shared" ca="1" si="28"/>
        <v>-4.3627234142594999E-2</v>
      </c>
      <c r="AV71" s="10" t="str">
        <f t="shared" ca="1" si="32"/>
        <v>rejected</v>
      </c>
      <c r="AW71" s="10" t="e">
        <f t="shared" ca="1" si="33"/>
        <v>#N/A</v>
      </c>
      <c r="AY71" s="3">
        <f t="shared" ca="1" si="39"/>
        <v>0.29009917665118279</v>
      </c>
      <c r="AZ71" s="3">
        <f t="shared" ca="1" si="34"/>
        <v>1.2824730540973E-2</v>
      </c>
      <c r="BA71" s="3">
        <f t="shared" ca="1" si="29"/>
        <v>9.3355623722276973E-8</v>
      </c>
      <c r="BB71" s="3">
        <f t="shared" ca="1" si="35"/>
        <v>-1.1199896910830496E-5</v>
      </c>
      <c r="BC71" s="3">
        <f t="shared" ca="1" si="36"/>
        <v>-1.7765783640030532</v>
      </c>
      <c r="BD71" s="3">
        <f t="shared" ca="1" si="30"/>
        <v>-4.3627234142594999E-2</v>
      </c>
      <c r="BE71" s="3" t="str">
        <f t="shared" ca="1" si="37"/>
        <v>rejected</v>
      </c>
      <c r="BF71" s="3" t="e">
        <f t="shared" ca="1" si="38"/>
        <v>#N/A</v>
      </c>
    </row>
    <row r="72" spans="1:58" ht="15" x14ac:dyDescent="0.25">
      <c r="A72" s="72">
        <v>6</v>
      </c>
      <c r="B72" s="72">
        <v>1498730122.6210001</v>
      </c>
      <c r="C72" s="73">
        <v>3.0541032718543097E-4</v>
      </c>
      <c r="D72" s="73">
        <v>3.3059929410003501E-6</v>
      </c>
      <c r="E72" s="73">
        <v>8.1200382971920301E-4</v>
      </c>
      <c r="F72" s="73">
        <v>-5.8130359616032903E-5</v>
      </c>
      <c r="G72" s="73">
        <v>1.14361270591983E-3</v>
      </c>
      <c r="H72" s="73">
        <v>1.19464412143437E-5</v>
      </c>
      <c r="I72" s="73">
        <v>6.6624961438429805E-4</v>
      </c>
      <c r="J72" s="73">
        <v>7.1972065217418401E-3</v>
      </c>
      <c r="K72" s="73"/>
      <c r="L72" s="73"/>
      <c r="M72" s="73"/>
      <c r="O72" s="13">
        <f t="shared" ca="1" si="0"/>
        <v>4.0723097913869391E-5</v>
      </c>
      <c r="P72" s="13">
        <f t="shared" ca="1" si="1"/>
        <v>-7.9814824438398235E-6</v>
      </c>
      <c r="Q72" s="13">
        <f t="shared" ca="1" si="2"/>
        <v>-2.8735788253482345E-5</v>
      </c>
      <c r="R72" s="13">
        <f t="shared" ca="1" si="3"/>
        <v>-6.7906638506714024E-5</v>
      </c>
      <c r="S72" s="13">
        <f t="shared" ca="1" si="4"/>
        <v>8.5340726784564978E-6</v>
      </c>
      <c r="T72" s="13">
        <f t="shared" ca="1" si="5"/>
        <v>1.1596619703319614E-5</v>
      </c>
      <c r="U72" s="13">
        <f t="shared" ca="1" si="6"/>
        <v>1.2405619595776867E-5</v>
      </c>
      <c r="V72" s="13">
        <f t="shared" ca="1" si="7"/>
        <v>5.8425599287675878E-5</v>
      </c>
      <c r="X72" s="3">
        <f t="shared" ca="1" si="8"/>
        <v>4.0723097913869391E-5</v>
      </c>
      <c r="Y72" s="3">
        <f t="shared" ca="1" si="9"/>
        <v>-7.9814824438398235E-6</v>
      </c>
      <c r="Z72" s="3">
        <f t="shared" ca="1" si="10"/>
        <v>-2.8824511072053354E-5</v>
      </c>
      <c r="AA72" s="3">
        <f t="shared" ca="1" si="11"/>
        <v>-7.005413400167143E-5</v>
      </c>
      <c r="AB72" s="3">
        <f t="shared" ca="1" si="12"/>
        <v>-7.0831598177360814E-6</v>
      </c>
      <c r="AC72" s="3">
        <f t="shared" ca="1" si="13"/>
        <v>1.1596619703319614E-5</v>
      </c>
      <c r="AD72" s="3">
        <f t="shared" ca="1" si="14"/>
        <v>-1.065727216344878E-5</v>
      </c>
      <c r="AE72" s="3">
        <f t="shared" ca="1" si="15"/>
        <v>4.9067214325579477E-5</v>
      </c>
      <c r="AG72" s="3">
        <f t="shared" ca="1" si="16"/>
        <v>4.0723097913869391E-5</v>
      </c>
      <c r="AH72" s="3">
        <f t="shared" ca="1" si="17"/>
        <v>-7.9814824438398235E-6</v>
      </c>
      <c r="AI72" s="3">
        <f t="shared" ca="1" si="18"/>
        <v>-2.8824511072053354E-5</v>
      </c>
      <c r="AJ72" s="3">
        <f t="shared" ca="1" si="19"/>
        <v>-7.005413400167143E-5</v>
      </c>
      <c r="AK72" s="3">
        <f t="shared" ca="1" si="20"/>
        <v>-7.0831598177360814E-6</v>
      </c>
      <c r="AL72" s="3">
        <f t="shared" ca="1" si="21"/>
        <v>1.1596619703319614E-5</v>
      </c>
      <c r="AM72" s="3">
        <f t="shared" ca="1" si="22"/>
        <v>-1.065727216344878E-5</v>
      </c>
      <c r="AN72" s="3">
        <f t="shared" ca="1" si="23"/>
        <v>4.9067214325579477E-5</v>
      </c>
      <c r="AP72" s="3">
        <f t="shared" ca="1" si="24"/>
        <v>6.8461567517659034</v>
      </c>
      <c r="AQ72" s="3">
        <f t="shared" ca="1" si="31"/>
        <v>0.31448519622222754</v>
      </c>
      <c r="AR72" s="3">
        <f t="shared" ca="1" si="25"/>
        <v>-2.1355632535575833E-5</v>
      </c>
      <c r="AS72" s="3">
        <f t="shared" ca="1" si="26"/>
        <v>3.3761252131352699E-5</v>
      </c>
      <c r="AT72" s="3">
        <f t="shared" ca="1" si="27"/>
        <v>4.378760625247029</v>
      </c>
      <c r="AU72" s="3">
        <f t="shared" ca="1" si="28"/>
        <v>-2.7395700641287641</v>
      </c>
      <c r="AV72" s="10" t="str">
        <f t="shared" ca="1" si="32"/>
        <v>rejected</v>
      </c>
      <c r="AW72" s="10" t="e">
        <f t="shared" ca="1" si="33"/>
        <v>#N/A</v>
      </c>
      <c r="AY72" s="3" t="e">
        <f t="shared" ca="1" si="39"/>
        <v>#N/A</v>
      </c>
      <c r="AZ72" s="3" t="e">
        <f t="shared" ca="1" si="34"/>
        <v>#N/A</v>
      </c>
      <c r="BA72" s="3" t="e">
        <f t="shared" ca="1" si="29"/>
        <v>#N/A</v>
      </c>
      <c r="BB72" s="3" t="e">
        <f t="shared" ca="1" si="35"/>
        <v>#N/A</v>
      </c>
      <c r="BC72" s="3" t="e">
        <f t="shared" ca="1" si="36"/>
        <v>#N/A</v>
      </c>
      <c r="BD72" s="3" t="e">
        <f t="shared" ca="1" si="30"/>
        <v>#N/A</v>
      </c>
      <c r="BE72" s="3" t="e">
        <f t="shared" ca="1" si="37"/>
        <v>#N/A</v>
      </c>
      <c r="BF72" s="3" t="e">
        <f t="shared" ca="1" si="38"/>
        <v>#N/A</v>
      </c>
    </row>
    <row r="73" spans="1:58" ht="15" x14ac:dyDescent="0.25">
      <c r="A73" s="72">
        <v>7</v>
      </c>
      <c r="B73" s="72">
        <v>1498730123.148</v>
      </c>
      <c r="C73" s="73">
        <v>2.4141418690945099E-4</v>
      </c>
      <c r="D73" s="73">
        <v>-5.4341709493278398E-6</v>
      </c>
      <c r="E73" s="73">
        <v>8.7977063713032396E-4</v>
      </c>
      <c r="F73" s="73">
        <v>-5.5172880605543898E-7</v>
      </c>
      <c r="G73" s="73">
        <v>1.1173857595437699E-3</v>
      </c>
      <c r="H73" s="73">
        <v>1.5995406410694301E-6</v>
      </c>
      <c r="I73" s="73">
        <v>6.5342473067177395E-4</v>
      </c>
      <c r="J73" s="73">
        <v>7.1575629327999797E-3</v>
      </c>
      <c r="K73" s="73"/>
      <c r="L73" s="73"/>
      <c r="M73" s="73"/>
      <c r="O73" s="13">
        <f t="shared" ca="1" si="0"/>
        <v>-2.3273042362110597E-5</v>
      </c>
      <c r="P73" s="13">
        <f t="shared" ca="1" si="1"/>
        <v>-1.6721646334168015E-5</v>
      </c>
      <c r="Q73" s="13">
        <f t="shared" ca="1" si="2"/>
        <v>3.903101915763861E-5</v>
      </c>
      <c r="R73" s="13">
        <f t="shared" ca="1" si="3"/>
        <v>-1.0328007696736565E-5</v>
      </c>
      <c r="S73" s="13">
        <f t="shared" ca="1" si="4"/>
        <v>-1.7692873697603556E-5</v>
      </c>
      <c r="T73" s="13">
        <f t="shared" ca="1" si="5"/>
        <v>1.2497191300453434E-6</v>
      </c>
      <c r="U73" s="13">
        <f t="shared" ca="1" si="6"/>
        <v>-4.1926411674722813E-7</v>
      </c>
      <c r="V73" s="13">
        <f t="shared" ca="1" si="7"/>
        <v>1.8782010345815524E-5</v>
      </c>
      <c r="X73" s="3">
        <f t="shared" ca="1" si="8"/>
        <v>-2.3273042362110597E-5</v>
      </c>
      <c r="Y73" s="3">
        <f t="shared" ca="1" si="9"/>
        <v>-1.6721646334168015E-5</v>
      </c>
      <c r="Z73" s="3">
        <f t="shared" ca="1" si="10"/>
        <v>3.9021457871119232E-5</v>
      </c>
      <c r="AA73" s="3">
        <f t="shared" ca="1" si="11"/>
        <v>-1.0559434290898847E-5</v>
      </c>
      <c r="AB73" s="3">
        <f t="shared" ca="1" si="12"/>
        <v>-1.9375877426980895E-5</v>
      </c>
      <c r="AC73" s="3">
        <f t="shared" ca="1" si="13"/>
        <v>1.2497191300453434E-6</v>
      </c>
      <c r="AD73" s="3">
        <f t="shared" ca="1" si="14"/>
        <v>-2.904655356870318E-6</v>
      </c>
      <c r="AE73" s="3">
        <f t="shared" ca="1" si="15"/>
        <v>1.777349639841819E-5</v>
      </c>
      <c r="AG73" s="3">
        <f t="shared" ca="1" si="16"/>
        <v>-2.3273042362110597E-5</v>
      </c>
      <c r="AH73" s="3">
        <f t="shared" ca="1" si="17"/>
        <v>-1.6721646334168015E-5</v>
      </c>
      <c r="AI73" s="3">
        <f t="shared" ca="1" si="18"/>
        <v>3.9021457871119232E-5</v>
      </c>
      <c r="AJ73" s="3">
        <f t="shared" ca="1" si="19"/>
        <v>-1.0559434290898847E-5</v>
      </c>
      <c r="AK73" s="3">
        <f t="shared" ca="1" si="20"/>
        <v>-1.9375877426980895E-5</v>
      </c>
      <c r="AL73" s="3">
        <f t="shared" ca="1" si="21"/>
        <v>1.2497191300453434E-6</v>
      </c>
      <c r="AM73" s="3">
        <f t="shared" ca="1" si="22"/>
        <v>-2.904655356870318E-6</v>
      </c>
      <c r="AN73" s="3">
        <f t="shared" ca="1" si="23"/>
        <v>1.777349639841819E-5</v>
      </c>
      <c r="AP73" s="3" t="e">
        <f t="shared" ca="1" si="24"/>
        <v>#N/A</v>
      </c>
      <c r="AQ73" s="3" t="e">
        <f t="shared" ca="1" si="31"/>
        <v>#N/A</v>
      </c>
      <c r="AR73" s="3" t="e">
        <f t="shared" ca="1" si="25"/>
        <v>#N/A</v>
      </c>
      <c r="AS73" s="3" t="e">
        <f t="shared" ca="1" si="26"/>
        <v>#N/A</v>
      </c>
      <c r="AT73" s="3" t="e">
        <f t="shared" ca="1" si="27"/>
        <v>#N/A</v>
      </c>
      <c r="AU73" s="3" t="e">
        <f t="shared" ca="1" si="28"/>
        <v>#N/A</v>
      </c>
      <c r="AV73" s="10" t="e">
        <f t="shared" ca="1" si="32"/>
        <v>#N/A</v>
      </c>
      <c r="AW73" s="10" t="e">
        <f t="shared" ca="1" si="33"/>
        <v>#N/A</v>
      </c>
      <c r="AY73" s="3" t="e">
        <f t="shared" ca="1" si="39"/>
        <v>#N/A</v>
      </c>
      <c r="AZ73" s="3" t="e">
        <f t="shared" ca="1" si="34"/>
        <v>#N/A</v>
      </c>
      <c r="BA73" s="3" t="e">
        <f t="shared" ca="1" si="29"/>
        <v>#N/A</v>
      </c>
      <c r="BB73" s="3" t="e">
        <f t="shared" ca="1" si="35"/>
        <v>#N/A</v>
      </c>
      <c r="BC73" s="3" t="e">
        <f t="shared" ca="1" si="36"/>
        <v>#N/A</v>
      </c>
      <c r="BD73" s="3" t="e">
        <f t="shared" ca="1" si="30"/>
        <v>#N/A</v>
      </c>
      <c r="BE73" s="3" t="e">
        <f t="shared" ca="1" si="37"/>
        <v>#N/A</v>
      </c>
      <c r="BF73" s="3" t="e">
        <f t="shared" ca="1" si="38"/>
        <v>#N/A</v>
      </c>
    </row>
    <row r="74" spans="1:58" ht="15" x14ac:dyDescent="0.25">
      <c r="A74" s="72">
        <v>8</v>
      </c>
      <c r="B74" s="72">
        <v>1498730123.675</v>
      </c>
      <c r="C74" s="73">
        <v>2.6401458584081902E-4</v>
      </c>
      <c r="D74" s="73">
        <v>-4.1575112297952602E-5</v>
      </c>
      <c r="E74" s="73">
        <v>8.2397643169594703E-4</v>
      </c>
      <c r="F74" s="73">
        <v>3.53771154689378E-5</v>
      </c>
      <c r="G74" s="73">
        <v>1.2468581850764999E-3</v>
      </c>
      <c r="H74" s="73">
        <v>-1.0696900588165999E-6</v>
      </c>
      <c r="I74" s="73">
        <v>7.2348860502016103E-4</v>
      </c>
      <c r="J74" s="73">
        <v>7.2280149710170502E-3</v>
      </c>
      <c r="K74" s="73"/>
      <c r="L74" s="73"/>
      <c r="M74" s="73"/>
      <c r="O74" s="13">
        <f t="shared" ca="1" si="0"/>
        <v>-6.7264343074256109E-7</v>
      </c>
      <c r="P74" s="13">
        <f t="shared" ca="1" si="1"/>
        <v>-5.2862587682792773E-5</v>
      </c>
      <c r="Q74" s="13">
        <f t="shared" ca="1" si="2"/>
        <v>-1.6763186276738326E-5</v>
      </c>
      <c r="R74" s="13">
        <f t="shared" ca="1" si="3"/>
        <v>2.5600836578256673E-5</v>
      </c>
      <c r="S74" s="13">
        <f t="shared" ca="1" si="4"/>
        <v>1.1177955183512642E-4</v>
      </c>
      <c r="T74" s="13">
        <f t="shared" ca="1" si="5"/>
        <v>-1.4195115698406866E-6</v>
      </c>
      <c r="U74" s="13">
        <f t="shared" ca="1" si="6"/>
        <v>6.964461023163985E-5</v>
      </c>
      <c r="V74" s="13">
        <f t="shared" ca="1" si="7"/>
        <v>8.9234048562886019E-5</v>
      </c>
      <c r="X74" s="3">
        <f t="shared" ca="1" si="8"/>
        <v>-6.7264343074256109E-7</v>
      </c>
      <c r="Y74" s="3">
        <f t="shared" ca="1" si="9"/>
        <v>-5.2862587682792773E-5</v>
      </c>
      <c r="Z74" s="3">
        <f t="shared" ca="1" si="10"/>
        <v>-1.6763186276738326E-5</v>
      </c>
      <c r="AA74" s="3">
        <f t="shared" ca="1" si="11"/>
        <v>2.5600836578256673E-5</v>
      </c>
      <c r="AB74" s="3">
        <f t="shared" ca="1" si="12"/>
        <v>1.1177955183512642E-4</v>
      </c>
      <c r="AC74" s="3">
        <f t="shared" ca="1" si="13"/>
        <v>-1.4195115698406866E-6</v>
      </c>
      <c r="AD74" s="3">
        <f t="shared" ca="1" si="14"/>
        <v>6.964461023163985E-5</v>
      </c>
      <c r="AE74" s="3">
        <f t="shared" ca="1" si="15"/>
        <v>8.9234048562886019E-5</v>
      </c>
      <c r="AG74" s="3">
        <f t="shared" ca="1" si="16"/>
        <v>-6.7264343074256109E-7</v>
      </c>
      <c r="AH74" s="3">
        <f t="shared" ca="1" si="17"/>
        <v>-5.2862587682792773E-5</v>
      </c>
      <c r="AI74" s="3">
        <f t="shared" ca="1" si="18"/>
        <v>-1.6763186276738326E-5</v>
      </c>
      <c r="AJ74" s="3">
        <f t="shared" ca="1" si="19"/>
        <v>2.5600836578256673E-5</v>
      </c>
      <c r="AK74" s="3">
        <f t="shared" ca="1" si="20"/>
        <v>1.1177955183512642E-4</v>
      </c>
      <c r="AL74" s="3">
        <f t="shared" ca="1" si="21"/>
        <v>-1.4195115698406866E-6</v>
      </c>
      <c r="AM74" s="3">
        <f t="shared" ca="1" si="22"/>
        <v>6.964461023163985E-5</v>
      </c>
      <c r="AN74" s="3">
        <f t="shared" ca="1" si="23"/>
        <v>8.9234048562886019E-5</v>
      </c>
      <c r="AP74" s="3">
        <f t="shared" ca="1" si="24"/>
        <v>0.79830386772801909</v>
      </c>
      <c r="AQ74" s="3">
        <f t="shared" ca="1" si="31"/>
        <v>3.5727453643553245E-2</v>
      </c>
      <c r="AR74" s="3">
        <f t="shared" ca="1" si="25"/>
        <v>9.1465270208584759E-7</v>
      </c>
      <c r="AS74" s="3">
        <f t="shared" ca="1" si="26"/>
        <v>6.8729957529554004E-5</v>
      </c>
      <c r="AT74" s="3">
        <f t="shared" ca="1" si="27"/>
        <v>2.0084709463875496</v>
      </c>
      <c r="AU74" s="3">
        <f t="shared" ca="1" si="28"/>
        <v>-1.35341838460106E-2</v>
      </c>
      <c r="AV74" s="10" t="str">
        <f t="shared" ca="1" si="32"/>
        <v>rejected</v>
      </c>
      <c r="AW74" s="10" t="e">
        <f t="shared" ca="1" si="33"/>
        <v>#N/A</v>
      </c>
      <c r="AY74" s="3">
        <f t="shared" ca="1" si="39"/>
        <v>0.79830386772801909</v>
      </c>
      <c r="AZ74" s="3">
        <f t="shared" ca="1" si="34"/>
        <v>3.5727453643553245E-2</v>
      </c>
      <c r="BA74" s="3">
        <f t="shared" ca="1" si="29"/>
        <v>9.1465270208584759E-7</v>
      </c>
      <c r="BB74" s="3">
        <f t="shared" ca="1" si="35"/>
        <v>6.8729957529554004E-5</v>
      </c>
      <c r="BC74" s="3">
        <f t="shared" ca="1" si="36"/>
        <v>2.0084709463875496</v>
      </c>
      <c r="BD74" s="3">
        <f t="shared" ca="1" si="30"/>
        <v>-1.35341838460106E-2</v>
      </c>
      <c r="BE74" s="3" t="str">
        <f t="shared" ca="1" si="37"/>
        <v>rejected</v>
      </c>
      <c r="BF74" s="3" t="e">
        <f t="shared" ca="1" si="38"/>
        <v>#N/A</v>
      </c>
    </row>
    <row r="75" spans="1:58" ht="15" x14ac:dyDescent="0.25">
      <c r="A75" s="72">
        <v>9</v>
      </c>
      <c r="B75" s="72">
        <v>1498730124.2019999</v>
      </c>
      <c r="C75" s="73">
        <v>3.0089001909331802E-4</v>
      </c>
      <c r="D75" s="73">
        <v>3.6613809759812802E-5</v>
      </c>
      <c r="E75" s="73">
        <v>9.1664919344114902E-4</v>
      </c>
      <c r="F75" s="73">
        <v>1.7055622766485799E-5</v>
      </c>
      <c r="G75" s="73">
        <v>1.2609271006898E-3</v>
      </c>
      <c r="H75" s="73">
        <v>3.05641312154905E-5</v>
      </c>
      <c r="I75" s="73">
        <v>7.52703131422053E-4</v>
      </c>
      <c r="J75" s="73">
        <v>7.2270596560480502E-3</v>
      </c>
      <c r="K75" s="73"/>
      <c r="L75" s="73"/>
      <c r="M75" s="73"/>
      <c r="O75" s="13">
        <f t="shared" ca="1" si="0"/>
        <v>3.6202789821756435E-5</v>
      </c>
      <c r="P75" s="13">
        <f t="shared" ca="1" si="1"/>
        <v>2.5326334374972631E-5</v>
      </c>
      <c r="Q75" s="13">
        <f t="shared" ca="1" si="2"/>
        <v>7.5909575468463661E-5</v>
      </c>
      <c r="R75" s="13">
        <f t="shared" ca="1" si="3"/>
        <v>7.2793438758046736E-6</v>
      </c>
      <c r="S75" s="13">
        <f t="shared" ca="1" si="4"/>
        <v>1.2584846744842656E-4</v>
      </c>
      <c r="T75" s="13">
        <f t="shared" ca="1" si="5"/>
        <v>3.0214309704466414E-5</v>
      </c>
      <c r="U75" s="13">
        <f t="shared" ca="1" si="6"/>
        <v>9.8859136633531824E-5</v>
      </c>
      <c r="V75" s="13">
        <f t="shared" ca="1" si="7"/>
        <v>8.8278733593885952E-5</v>
      </c>
      <c r="X75" s="3">
        <f t="shared" ca="1" si="8"/>
        <v>3.6202789821756435E-5</v>
      </c>
      <c r="Y75" s="3">
        <f t="shared" ca="1" si="9"/>
        <v>2.5326334374972631E-5</v>
      </c>
      <c r="Z75" s="3">
        <f t="shared" ca="1" si="10"/>
        <v>7.5678413389621813E-5</v>
      </c>
      <c r="AA75" s="3">
        <f t="shared" ca="1" si="11"/>
        <v>1.6841708311099682E-6</v>
      </c>
      <c r="AB75" s="3">
        <f t="shared" ca="1" si="12"/>
        <v>8.515868788865145E-5</v>
      </c>
      <c r="AC75" s="3">
        <f t="shared" ca="1" si="13"/>
        <v>3.0214309704466414E-5</v>
      </c>
      <c r="AD75" s="3">
        <f t="shared" ca="1" si="14"/>
        <v>3.8770130343676719E-5</v>
      </c>
      <c r="AE75" s="3">
        <f t="shared" ca="1" si="15"/>
        <v>6.3896012696566129E-5</v>
      </c>
      <c r="AG75" s="3">
        <f t="shared" ca="1" si="16"/>
        <v>3.6202789821756435E-5</v>
      </c>
      <c r="AH75" s="3">
        <f t="shared" ca="1" si="17"/>
        <v>2.5326334374972631E-5</v>
      </c>
      <c r="AI75" s="3">
        <f t="shared" ca="1" si="18"/>
        <v>5.5278185387940942E-5</v>
      </c>
      <c r="AJ75" s="3">
        <f t="shared" ca="1" si="19"/>
        <v>-9.580889925210058E-6</v>
      </c>
      <c r="AK75" s="3">
        <f t="shared" ca="1" si="20"/>
        <v>8.515868788865145E-5</v>
      </c>
      <c r="AL75" s="3">
        <f t="shared" ca="1" si="21"/>
        <v>3.0214309704466414E-5</v>
      </c>
      <c r="AM75" s="3">
        <f t="shared" ca="1" si="22"/>
        <v>3.8770130343676719E-5</v>
      </c>
      <c r="AN75" s="3">
        <f t="shared" ca="1" si="23"/>
        <v>6.3896012696566129E-5</v>
      </c>
      <c r="AP75" s="3">
        <f t="shared" ca="1" si="24"/>
        <v>0.70146848335728118</v>
      </c>
      <c r="AQ75" s="3">
        <f t="shared" ca="1" si="31"/>
        <v>3.1344463493224319E-2</v>
      </c>
      <c r="AR75" s="3">
        <f t="shared" ca="1" si="25"/>
        <v>2.2816712836978562E-7</v>
      </c>
      <c r="AS75" s="3">
        <f t="shared" ca="1" si="26"/>
        <v>9.8630969505162034E-5</v>
      </c>
      <c r="AT75" s="3">
        <f t="shared" ca="1" si="27"/>
        <v>2.7323041888733188</v>
      </c>
      <c r="AU75" s="3">
        <f t="shared" ca="1" si="28"/>
        <v>4.7689270359514209E-2</v>
      </c>
      <c r="AV75" s="10" t="str">
        <f t="shared" ca="1" si="32"/>
        <v>rejected</v>
      </c>
      <c r="AW75" s="10" t="e">
        <f t="shared" ca="1" si="33"/>
        <v>#N/A</v>
      </c>
      <c r="AY75" s="3">
        <f t="shared" ca="1" si="39"/>
        <v>0.75031701733254552</v>
      </c>
      <c r="AZ75" s="3">
        <f t="shared" ca="1" si="34"/>
        <v>3.3554600989056764E-2</v>
      </c>
      <c r="BA75" s="3">
        <f t="shared" ca="1" si="29"/>
        <v>-3.2148293856049738E-7</v>
      </c>
      <c r="BB75" s="3">
        <f t="shared" ca="1" si="35"/>
        <v>3.9091613282237218E-5</v>
      </c>
      <c r="BC75" s="3">
        <f t="shared" ca="1" si="36"/>
        <v>1.5470164691944053</v>
      </c>
      <c r="BD75" s="3">
        <f t="shared" ca="1" si="30"/>
        <v>5.4981079416575575E-2</v>
      </c>
      <c r="BE75" s="3" t="str">
        <f t="shared" ca="1" si="37"/>
        <v>rejected</v>
      </c>
      <c r="BF75" s="3" t="e">
        <f t="shared" ca="1" si="38"/>
        <v>#N/A</v>
      </c>
    </row>
    <row r="76" spans="1:58" ht="15" x14ac:dyDescent="0.25">
      <c r="A76" s="72">
        <v>10</v>
      </c>
      <c r="B76" s="72">
        <v>1498730124.7290001</v>
      </c>
      <c r="C76" s="73">
        <v>2.1334282470014001E-4</v>
      </c>
      <c r="D76" s="73">
        <v>4.0393490820292603E-5</v>
      </c>
      <c r="E76" s="73">
        <v>7.9596076658695002E-4</v>
      </c>
      <c r="F76" s="73">
        <v>-2.4582883329817301E-5</v>
      </c>
      <c r="G76" s="73">
        <v>1.11976999898195E-3</v>
      </c>
      <c r="H76" s="73">
        <v>-2.96944442231371E-5</v>
      </c>
      <c r="I76" s="73">
        <v>6.8073718130924404E-4</v>
      </c>
      <c r="J76" s="73">
        <v>7.24616612830274E-3</v>
      </c>
      <c r="K76" s="73"/>
      <c r="L76" s="73"/>
      <c r="M76" s="73"/>
      <c r="O76" s="13">
        <f t="shared" ca="1" si="0"/>
        <v>-5.1344404571421572E-5</v>
      </c>
      <c r="P76" s="13">
        <f t="shared" ca="1" si="1"/>
        <v>2.9106015435452431E-5</v>
      </c>
      <c r="Q76" s="13">
        <f t="shared" ca="1" si="2"/>
        <v>-4.4778851385735333E-5</v>
      </c>
      <c r="R76" s="13">
        <f t="shared" ca="1" si="3"/>
        <v>-3.4359162220498428E-5</v>
      </c>
      <c r="S76" s="13">
        <f t="shared" ca="1" si="4"/>
        <v>-1.5308634259423529E-5</v>
      </c>
      <c r="T76" s="13">
        <f t="shared" ca="1" si="5"/>
        <v>-3.0044265734161186E-5</v>
      </c>
      <c r="U76" s="13">
        <f t="shared" ca="1" si="6"/>
        <v>2.6893186520722859E-5</v>
      </c>
      <c r="V76" s="13">
        <f t="shared" ca="1" si="7"/>
        <v>1.073852058485758E-4</v>
      </c>
      <c r="X76" s="3">
        <f t="shared" ca="1" si="8"/>
        <v>-5.1344404571421572E-5</v>
      </c>
      <c r="Y76" s="3">
        <f t="shared" ca="1" si="9"/>
        <v>2.9106015435452431E-5</v>
      </c>
      <c r="Z76" s="3">
        <f t="shared" ca="1" si="10"/>
        <v>-4.4778851385735333E-5</v>
      </c>
      <c r="AA76" s="3">
        <f t="shared" ca="1" si="11"/>
        <v>-3.4359162220498428E-5</v>
      </c>
      <c r="AB76" s="3">
        <f t="shared" ca="1" si="12"/>
        <v>-1.5308634259423529E-5</v>
      </c>
      <c r="AC76" s="3">
        <f t="shared" ca="1" si="13"/>
        <v>-3.0044265734161186E-5</v>
      </c>
      <c r="AD76" s="3">
        <f t="shared" ca="1" si="14"/>
        <v>2.6893186520722859E-5</v>
      </c>
      <c r="AE76" s="3">
        <f t="shared" ca="1" si="15"/>
        <v>1.073852058485758E-4</v>
      </c>
      <c r="AG76" s="3">
        <f t="shared" ca="1" si="16"/>
        <v>-5.1344404571421572E-5</v>
      </c>
      <c r="AH76" s="3">
        <f t="shared" ca="1" si="17"/>
        <v>2.9106015435452431E-5</v>
      </c>
      <c r="AI76" s="3">
        <f t="shared" ca="1" si="18"/>
        <v>-6.8223592433236963E-5</v>
      </c>
      <c r="AJ76" s="3">
        <f t="shared" ca="1" si="19"/>
        <v>-4.7305411267054912E-5</v>
      </c>
      <c r="AK76" s="3">
        <f t="shared" ca="1" si="20"/>
        <v>-1.5308634259423529E-5</v>
      </c>
      <c r="AL76" s="3">
        <f t="shared" ca="1" si="21"/>
        <v>-3.0044265734161186E-5</v>
      </c>
      <c r="AM76" s="3">
        <f t="shared" ca="1" si="22"/>
        <v>2.6893186520722859E-5</v>
      </c>
      <c r="AN76" s="3">
        <f t="shared" ca="1" si="23"/>
        <v>1.073852058485758E-4</v>
      </c>
      <c r="AP76" s="3" t="e">
        <f t="shared" ca="1" si="24"/>
        <v>#N/A</v>
      </c>
      <c r="AQ76" s="3" t="e">
        <f t="shared" ca="1" si="31"/>
        <v>#N/A</v>
      </c>
      <c r="AR76" s="3" t="e">
        <f t="shared" ca="1" si="25"/>
        <v>#N/A</v>
      </c>
      <c r="AS76" s="3" t="e">
        <f t="shared" ca="1" si="26"/>
        <v>#N/A</v>
      </c>
      <c r="AT76" s="3" t="e">
        <f t="shared" ca="1" si="27"/>
        <v>#N/A</v>
      </c>
      <c r="AU76" s="3" t="e">
        <f t="shared" ca="1" si="28"/>
        <v>#N/A</v>
      </c>
      <c r="AV76" s="10" t="e">
        <f t="shared" ca="1" si="32"/>
        <v>#N/A</v>
      </c>
      <c r="AW76" s="10" t="e">
        <f t="shared" ca="1" si="33"/>
        <v>#N/A</v>
      </c>
      <c r="AY76" s="3" t="e">
        <f t="shared" ca="1" si="39"/>
        <v>#N/A</v>
      </c>
      <c r="AZ76" s="3" t="e">
        <f t="shared" ca="1" si="34"/>
        <v>#N/A</v>
      </c>
      <c r="BA76" s="3" t="e">
        <f t="shared" ca="1" si="29"/>
        <v>#N/A</v>
      </c>
      <c r="BB76" s="3" t="e">
        <f t="shared" ca="1" si="35"/>
        <v>#N/A</v>
      </c>
      <c r="BC76" s="3" t="e">
        <f t="shared" ca="1" si="36"/>
        <v>#N/A</v>
      </c>
      <c r="BD76" s="3" t="e">
        <f t="shared" ca="1" si="30"/>
        <v>#N/A</v>
      </c>
      <c r="BE76" s="3" t="e">
        <f t="shared" ca="1" si="37"/>
        <v>#N/A</v>
      </c>
      <c r="BF76" s="3" t="e">
        <f t="shared" ca="1" si="38"/>
        <v>#N/A</v>
      </c>
    </row>
    <row r="77" spans="1:58" ht="15" x14ac:dyDescent="0.25">
      <c r="A77" s="72">
        <v>11</v>
      </c>
      <c r="B77" s="72">
        <v>1498730125.256</v>
      </c>
      <c r="C77" s="73">
        <v>2.1096393197145099E-4</v>
      </c>
      <c r="D77" s="73">
        <v>-8.4800783784095502E-5</v>
      </c>
      <c r="E77" s="73">
        <v>9.3724430050506804E-4</v>
      </c>
      <c r="F77" s="73">
        <v>1.27227586714771E-4</v>
      </c>
      <c r="G77" s="73">
        <v>1.06612598610926E-3</v>
      </c>
      <c r="H77" s="73">
        <v>-1.40038620602529E-6</v>
      </c>
      <c r="I77" s="73">
        <v>6.0236432837593699E-4</v>
      </c>
      <c r="J77" s="73">
        <v>7.1176821080810096E-3</v>
      </c>
      <c r="K77" s="73"/>
      <c r="L77" s="73"/>
      <c r="M77" s="73"/>
      <c r="O77" s="13">
        <f t="shared" ca="1" si="0"/>
        <v>-5.3723297300110596E-5</v>
      </c>
      <c r="P77" s="13">
        <f t="shared" ca="1" si="1"/>
        <v>-9.6088259168935681E-5</v>
      </c>
      <c r="Q77" s="13">
        <f t="shared" ca="1" si="2"/>
        <v>9.6504682532382686E-5</v>
      </c>
      <c r="R77" s="13">
        <f t="shared" ca="1" si="3"/>
        <v>1.1745130782408988E-4</v>
      </c>
      <c r="S77" s="13">
        <f t="shared" ca="1" si="4"/>
        <v>-6.8952647132113467E-5</v>
      </c>
      <c r="T77" s="13">
        <f t="shared" ca="1" si="5"/>
        <v>-1.7502077170493767E-6</v>
      </c>
      <c r="U77" s="13">
        <f t="shared" ca="1" si="6"/>
        <v>-5.1479666412584187E-5</v>
      </c>
      <c r="V77" s="13">
        <f t="shared" ca="1" si="7"/>
        <v>-2.1098814373154626E-5</v>
      </c>
      <c r="X77" s="3">
        <f t="shared" ca="1" si="8"/>
        <v>-5.3723297300110596E-5</v>
      </c>
      <c r="Y77" s="3">
        <f t="shared" ca="1" si="9"/>
        <v>-9.6088259168935681E-5</v>
      </c>
      <c r="Z77" s="3">
        <f t="shared" ca="1" si="10"/>
        <v>9.6504682532382686E-5</v>
      </c>
      <c r="AA77" s="3">
        <f t="shared" ca="1" si="11"/>
        <v>1.1745130782408988E-4</v>
      </c>
      <c r="AB77" s="3">
        <f t="shared" ca="1" si="12"/>
        <v>-6.8952647132113467E-5</v>
      </c>
      <c r="AC77" s="3">
        <f t="shared" ca="1" si="13"/>
        <v>-1.7502077170493767E-6</v>
      </c>
      <c r="AD77" s="3">
        <f t="shared" ca="1" si="14"/>
        <v>-5.1479666412584187E-5</v>
      </c>
      <c r="AE77" s="3">
        <f t="shared" ca="1" si="15"/>
        <v>-2.1098814373154626E-5</v>
      </c>
      <c r="AG77" s="3">
        <f t="shared" ca="1" si="16"/>
        <v>-5.3723297300110596E-5</v>
      </c>
      <c r="AH77" s="3">
        <f t="shared" ca="1" si="17"/>
        <v>-9.6088259168935681E-5</v>
      </c>
      <c r="AI77" s="3">
        <f t="shared" ca="1" si="18"/>
        <v>9.6504682532382686E-5</v>
      </c>
      <c r="AJ77" s="3">
        <f t="shared" ca="1" si="19"/>
        <v>1.1745130782408988E-4</v>
      </c>
      <c r="AK77" s="3">
        <f t="shared" ca="1" si="20"/>
        <v>-6.8952647132113467E-5</v>
      </c>
      <c r="AL77" s="3">
        <f t="shared" ca="1" si="21"/>
        <v>-1.7502077170493767E-6</v>
      </c>
      <c r="AM77" s="3">
        <f t="shared" ca="1" si="22"/>
        <v>-5.1479666412584187E-5</v>
      </c>
      <c r="AN77" s="3">
        <f t="shared" ca="1" si="23"/>
        <v>-2.1098814373154626E-5</v>
      </c>
      <c r="AP77" s="3" t="e">
        <f t="shared" ca="1" si="24"/>
        <v>#N/A</v>
      </c>
      <c r="AQ77" s="3" t="e">
        <f t="shared" ca="1" si="31"/>
        <v>#N/A</v>
      </c>
      <c r="AR77" s="3" t="e">
        <f t="shared" ca="1" si="25"/>
        <v>#N/A</v>
      </c>
      <c r="AS77" s="3" t="e">
        <f t="shared" ca="1" si="26"/>
        <v>#N/A</v>
      </c>
      <c r="AT77" s="3" t="e">
        <f t="shared" ca="1" si="27"/>
        <v>#N/A</v>
      </c>
      <c r="AU77" s="3" t="e">
        <f t="shared" ca="1" si="28"/>
        <v>#N/A</v>
      </c>
      <c r="AV77" s="10" t="e">
        <f t="shared" ca="1" si="32"/>
        <v>#N/A</v>
      </c>
      <c r="AW77" s="10" t="e">
        <f t="shared" ca="1" si="33"/>
        <v>#N/A</v>
      </c>
      <c r="AY77" s="3" t="e">
        <f t="shared" ca="1" si="39"/>
        <v>#N/A</v>
      </c>
      <c r="AZ77" s="3" t="e">
        <f t="shared" ca="1" si="34"/>
        <v>#N/A</v>
      </c>
      <c r="BA77" s="3" t="e">
        <f t="shared" ca="1" si="29"/>
        <v>#N/A</v>
      </c>
      <c r="BB77" s="3" t="e">
        <f t="shared" ca="1" si="35"/>
        <v>#N/A</v>
      </c>
      <c r="BC77" s="3" t="e">
        <f t="shared" ca="1" si="36"/>
        <v>#N/A</v>
      </c>
      <c r="BD77" s="3" t="e">
        <f t="shared" ca="1" si="30"/>
        <v>#N/A</v>
      </c>
      <c r="BE77" s="3" t="e">
        <f t="shared" ca="1" si="37"/>
        <v>#N/A</v>
      </c>
      <c r="BF77" s="3" t="e">
        <f t="shared" ca="1" si="38"/>
        <v>#N/A</v>
      </c>
    </row>
    <row r="78" spans="1:58" ht="15" x14ac:dyDescent="0.25">
      <c r="A78" s="72">
        <v>12</v>
      </c>
      <c r="B78" s="72">
        <v>1498730125.783</v>
      </c>
      <c r="C78" s="73">
        <v>2.9755927885590698E-4</v>
      </c>
      <c r="D78" s="73">
        <v>8.4333339771825103E-5</v>
      </c>
      <c r="E78" s="73">
        <v>8.5007719818406202E-4</v>
      </c>
      <c r="F78" s="73">
        <v>1.6030534337925701E-4</v>
      </c>
      <c r="G78" s="73">
        <v>1.0668412206914701E-3</v>
      </c>
      <c r="H78" s="73">
        <v>7.7414062163371206E-6</v>
      </c>
      <c r="I78" s="73">
        <v>6.3537517359891604E-4</v>
      </c>
      <c r="J78" s="73">
        <v>7.1107568569947601E-3</v>
      </c>
      <c r="K78" s="73"/>
      <c r="L78" s="73"/>
      <c r="M78" s="73"/>
      <c r="O78" s="13">
        <f t="shared" ca="1" si="0"/>
        <v>3.2872049584345398E-5</v>
      </c>
      <c r="P78" s="13">
        <f t="shared" ca="1" si="1"/>
        <v>7.3045864386984925E-5</v>
      </c>
      <c r="Q78" s="13">
        <f t="shared" ca="1" si="2"/>
        <v>9.3375802113766608E-6</v>
      </c>
      <c r="R78" s="13">
        <f t="shared" ca="1" si="3"/>
        <v>1.5052906448857588E-4</v>
      </c>
      <c r="S78" s="13">
        <f t="shared" ca="1" si="4"/>
        <v>-6.8237412549903382E-5</v>
      </c>
      <c r="T78" s="13">
        <f t="shared" ca="1" si="5"/>
        <v>7.3915847053130341E-6</v>
      </c>
      <c r="U78" s="13">
        <f t="shared" ca="1" si="6"/>
        <v>-1.846882118960514E-5</v>
      </c>
      <c r="V78" s="13">
        <f t="shared" ca="1" si="7"/>
        <v>-2.8024065459404147E-5</v>
      </c>
      <c r="X78" s="3">
        <f t="shared" ca="1" si="8"/>
        <v>3.2872049584345398E-5</v>
      </c>
      <c r="Y78" s="3">
        <f t="shared" ca="1" si="9"/>
        <v>7.3045864386984925E-5</v>
      </c>
      <c r="Z78" s="3">
        <f t="shared" ca="1" si="10"/>
        <v>9.2810290572007574E-6</v>
      </c>
      <c r="AA78" s="3">
        <f t="shared" ca="1" si="11"/>
        <v>1.4916026950681822E-4</v>
      </c>
      <c r="AB78" s="3">
        <f t="shared" ca="1" si="12"/>
        <v>-7.8191700938366306E-5</v>
      </c>
      <c r="AC78" s="3">
        <f t="shared" ca="1" si="13"/>
        <v>7.3915847053130341E-6</v>
      </c>
      <c r="AD78" s="3">
        <f t="shared" ca="1" si="14"/>
        <v>-3.3168908141579919E-5</v>
      </c>
      <c r="AE78" s="3">
        <f t="shared" ca="1" si="15"/>
        <v>-3.3989018775279626E-5</v>
      </c>
      <c r="AG78" s="3">
        <f t="shared" ca="1" si="16"/>
        <v>3.2872049584345398E-5</v>
      </c>
      <c r="AH78" s="3">
        <f t="shared" ca="1" si="17"/>
        <v>7.3045864386984925E-5</v>
      </c>
      <c r="AI78" s="3">
        <f t="shared" ca="1" si="18"/>
        <v>-4.9557027252555423E-5</v>
      </c>
      <c r="AJ78" s="3">
        <f t="shared" ca="1" si="19"/>
        <v>1.1666973660402077E-4</v>
      </c>
      <c r="AK78" s="3">
        <f t="shared" ca="1" si="20"/>
        <v>-7.8191700938366306E-5</v>
      </c>
      <c r="AL78" s="3">
        <f t="shared" ca="1" si="21"/>
        <v>7.3915847053130341E-6</v>
      </c>
      <c r="AM78" s="3">
        <f t="shared" ca="1" si="22"/>
        <v>-3.3168908141579919E-5</v>
      </c>
      <c r="AN78" s="3">
        <f t="shared" ca="1" si="23"/>
        <v>-3.3989018775279626E-5</v>
      </c>
      <c r="AP78" s="3" t="e">
        <f t="shared" ca="1" si="24"/>
        <v>#N/A</v>
      </c>
      <c r="AQ78" s="3" t="e">
        <f t="shared" ca="1" si="31"/>
        <v>#N/A</v>
      </c>
      <c r="AR78" s="3" t="e">
        <f t="shared" ca="1" si="25"/>
        <v>#N/A</v>
      </c>
      <c r="AS78" s="3" t="e">
        <f t="shared" ca="1" si="26"/>
        <v>#N/A</v>
      </c>
      <c r="AT78" s="3" t="e">
        <f t="shared" ca="1" si="27"/>
        <v>#N/A</v>
      </c>
      <c r="AU78" s="3" t="e">
        <f t="shared" ca="1" si="28"/>
        <v>#N/A</v>
      </c>
      <c r="AV78" s="10" t="e">
        <f t="shared" ca="1" si="32"/>
        <v>#N/A</v>
      </c>
      <c r="AW78" s="10" t="e">
        <f t="shared" ca="1" si="33"/>
        <v>#N/A</v>
      </c>
      <c r="AY78" s="3" t="e">
        <f t="shared" ca="1" si="39"/>
        <v>#N/A</v>
      </c>
      <c r="AZ78" s="3" t="e">
        <f t="shared" ca="1" si="34"/>
        <v>#N/A</v>
      </c>
      <c r="BA78" s="3" t="e">
        <f t="shared" ca="1" si="29"/>
        <v>#N/A</v>
      </c>
      <c r="BB78" s="3" t="e">
        <f t="shared" ca="1" si="35"/>
        <v>#N/A</v>
      </c>
      <c r="BC78" s="3" t="e">
        <f t="shared" ca="1" si="36"/>
        <v>#N/A</v>
      </c>
      <c r="BD78" s="3" t="e">
        <f t="shared" ca="1" si="30"/>
        <v>#N/A</v>
      </c>
      <c r="BE78" s="3" t="e">
        <f t="shared" ca="1" si="37"/>
        <v>#N/A</v>
      </c>
      <c r="BF78" s="3" t="e">
        <f t="shared" ca="1" si="38"/>
        <v>#N/A</v>
      </c>
    </row>
    <row r="79" spans="1:58" ht="15" x14ac:dyDescent="0.25">
      <c r="A79" s="72">
        <v>13</v>
      </c>
      <c r="B79" s="72">
        <v>1498730126.3099999</v>
      </c>
      <c r="C79" s="73">
        <v>2.5449856605068899E-4</v>
      </c>
      <c r="D79" s="73">
        <v>-1.13396435052362E-5</v>
      </c>
      <c r="E79" s="73">
        <v>8.3930157026447202E-4</v>
      </c>
      <c r="F79" s="73">
        <v>2.01488382100095E-5</v>
      </c>
      <c r="G79" s="73">
        <v>1.11523994890833E-3</v>
      </c>
      <c r="H79" s="73">
        <v>8.1902497674560592E-6</v>
      </c>
      <c r="I79" s="73">
        <v>6.0758899371734501E-4</v>
      </c>
      <c r="J79" s="73">
        <v>7.0866382523307198E-3</v>
      </c>
      <c r="K79" s="73"/>
      <c r="L79" s="73"/>
      <c r="M79" s="73"/>
      <c r="O79" s="13">
        <f t="shared" ca="1" si="0"/>
        <v>-1.0188663220872594E-5</v>
      </c>
      <c r="P79" s="13">
        <f t="shared" ca="1" si="1"/>
        <v>-2.2627118890076371E-5</v>
      </c>
      <c r="Q79" s="13">
        <f t="shared" ca="1" si="2"/>
        <v>-1.4380477082133383E-6</v>
      </c>
      <c r="R79" s="13">
        <f t="shared" ca="1" si="3"/>
        <v>1.0372559319328374E-5</v>
      </c>
      <c r="S79" s="13">
        <f t="shared" ca="1" si="4"/>
        <v>-1.9838684333043461E-5</v>
      </c>
      <c r="T79" s="13">
        <f t="shared" ca="1" si="5"/>
        <v>7.8404282564319728E-6</v>
      </c>
      <c r="U79" s="13">
        <f t="shared" ca="1" si="6"/>
        <v>-4.6255001071176171E-5</v>
      </c>
      <c r="V79" s="13">
        <f t="shared" ca="1" si="7"/>
        <v>-5.2142670123444396E-5</v>
      </c>
      <c r="X79" s="3">
        <f t="shared" ca="1" si="8"/>
        <v>-1.0188663220872594E-5</v>
      </c>
      <c r="Y79" s="3">
        <f t="shared" ca="1" si="9"/>
        <v>-2.2627118890076371E-5</v>
      </c>
      <c r="Z79" s="3">
        <f t="shared" ca="1" si="10"/>
        <v>-1.4980328514284173E-6</v>
      </c>
      <c r="AA79" s="3">
        <f t="shared" ca="1" si="11"/>
        <v>8.9206461937815733E-6</v>
      </c>
      <c r="AB79" s="3">
        <f t="shared" ca="1" si="12"/>
        <v>-3.0397432837606818E-5</v>
      </c>
      <c r="AC79" s="3">
        <f t="shared" ca="1" si="13"/>
        <v>7.8404282564319728E-6</v>
      </c>
      <c r="AD79" s="3">
        <f t="shared" ca="1" si="14"/>
        <v>-6.1847730060323155E-5</v>
      </c>
      <c r="AE79" s="3">
        <f t="shared" ca="1" si="15"/>
        <v>-5.8469836812405053E-5</v>
      </c>
      <c r="AG79" s="3">
        <f t="shared" ca="1" si="16"/>
        <v>-1.0188663220872594E-5</v>
      </c>
      <c r="AH79" s="3">
        <f t="shared" ca="1" si="17"/>
        <v>-2.2627118890076371E-5</v>
      </c>
      <c r="AI79" s="3">
        <f t="shared" ca="1" si="18"/>
        <v>-1.4980328514284173E-6</v>
      </c>
      <c r="AJ79" s="3">
        <f t="shared" ca="1" si="19"/>
        <v>8.9206461937815733E-6</v>
      </c>
      <c r="AK79" s="3">
        <f t="shared" ca="1" si="20"/>
        <v>-3.0397432837606818E-5</v>
      </c>
      <c r="AL79" s="3">
        <f t="shared" ca="1" si="21"/>
        <v>7.8404282564319728E-6</v>
      </c>
      <c r="AM79" s="3">
        <f t="shared" ca="1" si="22"/>
        <v>-6.1847730060323155E-5</v>
      </c>
      <c r="AN79" s="3">
        <f t="shared" ca="1" si="23"/>
        <v>-5.8469836812405053E-5</v>
      </c>
      <c r="AP79" s="3" t="e">
        <f t="shared" ca="1" si="24"/>
        <v>#N/A</v>
      </c>
      <c r="AQ79" s="3" t="e">
        <f t="shared" ca="1" si="31"/>
        <v>#N/A</v>
      </c>
      <c r="AR79" s="3" t="e">
        <f t="shared" ca="1" si="25"/>
        <v>#N/A</v>
      </c>
      <c r="AS79" s="3" t="e">
        <f t="shared" ca="1" si="26"/>
        <v>#N/A</v>
      </c>
      <c r="AT79" s="3" t="e">
        <f t="shared" ca="1" si="27"/>
        <v>#N/A</v>
      </c>
      <c r="AU79" s="3" t="e">
        <f t="shared" ca="1" si="28"/>
        <v>#N/A</v>
      </c>
      <c r="AV79" s="10" t="e">
        <f t="shared" ca="1" si="32"/>
        <v>#N/A</v>
      </c>
      <c r="AW79" s="10" t="e">
        <f t="shared" ca="1" si="33"/>
        <v>#N/A</v>
      </c>
      <c r="AY79" s="3" t="e">
        <f t="shared" ca="1" si="39"/>
        <v>#N/A</v>
      </c>
      <c r="AZ79" s="3" t="e">
        <f t="shared" ca="1" si="34"/>
        <v>#N/A</v>
      </c>
      <c r="BA79" s="3" t="e">
        <f t="shared" ca="1" si="29"/>
        <v>#N/A</v>
      </c>
      <c r="BB79" s="3" t="e">
        <f t="shared" ca="1" si="35"/>
        <v>#N/A</v>
      </c>
      <c r="BC79" s="3" t="e">
        <f t="shared" ca="1" si="36"/>
        <v>#N/A</v>
      </c>
      <c r="BD79" s="3" t="e">
        <f t="shared" ca="1" si="30"/>
        <v>#N/A</v>
      </c>
      <c r="BE79" s="3" t="e">
        <f t="shared" ca="1" si="37"/>
        <v>#N/A</v>
      </c>
      <c r="BF79" s="3" t="e">
        <f t="shared" ca="1" si="38"/>
        <v>#N/A</v>
      </c>
    </row>
    <row r="80" spans="1:58" ht="15" x14ac:dyDescent="0.25">
      <c r="A80" s="72">
        <v>14</v>
      </c>
      <c r="B80" s="72">
        <v>1498730126.8369999</v>
      </c>
      <c r="C80" s="73">
        <v>2.3951101877151999E-4</v>
      </c>
      <c r="D80" s="73">
        <v>-9.6138353065765704E-5</v>
      </c>
      <c r="E80" s="73">
        <v>7.45678197417627E-4</v>
      </c>
      <c r="F80" s="73">
        <v>-7.8591387584652205E-5</v>
      </c>
      <c r="G80" s="73">
        <v>1.11357098826291E-3</v>
      </c>
      <c r="H80" s="73">
        <v>-2.5396534714211201E-5</v>
      </c>
      <c r="I80" s="73">
        <v>6.3086283534892495E-4</v>
      </c>
      <c r="J80" s="73">
        <v>7.2227607499468598E-3</v>
      </c>
      <c r="K80" s="73"/>
      <c r="L80" s="73"/>
      <c r="M80" s="73"/>
      <c r="O80" s="13">
        <f t="shared" ca="1" si="0"/>
        <v>-2.5176210500041596E-5</v>
      </c>
      <c r="P80" s="13">
        <f t="shared" ca="1" si="1"/>
        <v>-1.0742582845060588E-4</v>
      </c>
      <c r="Q80" s="13">
        <f t="shared" ca="1" si="2"/>
        <v>-9.5061420555058351E-5</v>
      </c>
      <c r="R80" s="13">
        <f t="shared" ca="1" si="3"/>
        <v>-8.8367666475333326E-5</v>
      </c>
      <c r="S80" s="13">
        <f t="shared" ca="1" si="4"/>
        <v>-2.1507644978463469E-5</v>
      </c>
      <c r="T80" s="13">
        <f t="shared" ca="1" si="5"/>
        <v>-2.5746356225235288E-5</v>
      </c>
      <c r="U80" s="13">
        <f t="shared" ca="1" si="6"/>
        <v>-2.2981159439596226E-5</v>
      </c>
      <c r="V80" s="13">
        <f t="shared" ca="1" si="7"/>
        <v>8.3979827492695544E-5</v>
      </c>
      <c r="X80" s="3">
        <f t="shared" ca="1" si="8"/>
        <v>-2.5176210500041596E-5</v>
      </c>
      <c r="Y80" s="3">
        <f t="shared" ca="1" si="9"/>
        <v>-1.0742582845060588E-4</v>
      </c>
      <c r="Z80" s="3">
        <f t="shared" ca="1" si="10"/>
        <v>-9.5061420555058351E-5</v>
      </c>
      <c r="AA80" s="3">
        <f t="shared" ca="1" si="11"/>
        <v>-8.8367666475333326E-5</v>
      </c>
      <c r="AB80" s="3">
        <f t="shared" ca="1" si="12"/>
        <v>-2.1507644978463469E-5</v>
      </c>
      <c r="AC80" s="3">
        <f t="shared" ca="1" si="13"/>
        <v>-2.5746356225235288E-5</v>
      </c>
      <c r="AD80" s="3">
        <f t="shared" ca="1" si="14"/>
        <v>-2.2981159439596226E-5</v>
      </c>
      <c r="AE80" s="3">
        <f t="shared" ca="1" si="15"/>
        <v>8.3979827492695544E-5</v>
      </c>
      <c r="AG80" s="3">
        <f t="shared" ca="1" si="16"/>
        <v>-2.5176210500041596E-5</v>
      </c>
      <c r="AH80" s="3">
        <f t="shared" ca="1" si="17"/>
        <v>-1.0742582845060588E-4</v>
      </c>
      <c r="AI80" s="3">
        <f t="shared" ca="1" si="18"/>
        <v>-9.5061420555058351E-5</v>
      </c>
      <c r="AJ80" s="3">
        <f t="shared" ca="1" si="19"/>
        <v>-8.8367666475333326E-5</v>
      </c>
      <c r="AK80" s="3">
        <f t="shared" ca="1" si="20"/>
        <v>-2.1507644978463469E-5</v>
      </c>
      <c r="AL80" s="3">
        <f t="shared" ca="1" si="21"/>
        <v>-2.5746356225235288E-5</v>
      </c>
      <c r="AM80" s="3">
        <f t="shared" ca="1" si="22"/>
        <v>-2.2981159439596226E-5</v>
      </c>
      <c r="AN80" s="3">
        <f t="shared" ca="1" si="23"/>
        <v>8.3979827492695544E-5</v>
      </c>
      <c r="AP80" s="3" t="e">
        <f t="shared" ca="1" si="24"/>
        <v>#N/A</v>
      </c>
      <c r="AQ80" s="3" t="e">
        <f t="shared" ca="1" si="31"/>
        <v>#N/A</v>
      </c>
      <c r="AR80" s="3" t="e">
        <f t="shared" ca="1" si="25"/>
        <v>#N/A</v>
      </c>
      <c r="AS80" s="3" t="e">
        <f t="shared" ca="1" si="26"/>
        <v>#N/A</v>
      </c>
      <c r="AT80" s="3" t="e">
        <f t="shared" ca="1" si="27"/>
        <v>#N/A</v>
      </c>
      <c r="AU80" s="3" t="e">
        <f t="shared" ca="1" si="28"/>
        <v>#N/A</v>
      </c>
      <c r="AV80" s="10" t="e">
        <f t="shared" ca="1" si="32"/>
        <v>#N/A</v>
      </c>
      <c r="AW80" s="10" t="e">
        <f t="shared" ca="1" si="33"/>
        <v>#N/A</v>
      </c>
      <c r="AY80" s="3" t="e">
        <f t="shared" ca="1" si="39"/>
        <v>#N/A</v>
      </c>
      <c r="AZ80" s="3" t="e">
        <f t="shared" ca="1" si="34"/>
        <v>#N/A</v>
      </c>
      <c r="BA80" s="3" t="e">
        <f t="shared" ca="1" si="29"/>
        <v>#N/A</v>
      </c>
      <c r="BB80" s="3" t="e">
        <f t="shared" ca="1" si="35"/>
        <v>#N/A</v>
      </c>
      <c r="BC80" s="3" t="e">
        <f t="shared" ca="1" si="36"/>
        <v>#N/A</v>
      </c>
      <c r="BD80" s="3" t="e">
        <f t="shared" ca="1" si="30"/>
        <v>#N/A</v>
      </c>
      <c r="BE80" s="3" t="e">
        <f t="shared" ca="1" si="37"/>
        <v>#N/A</v>
      </c>
      <c r="BF80" s="3" t="e">
        <f t="shared" ca="1" si="38"/>
        <v>#N/A</v>
      </c>
    </row>
    <row r="81" spans="1:58" ht="15" x14ac:dyDescent="0.25">
      <c r="A81" s="72">
        <v>15</v>
      </c>
      <c r="B81" s="72">
        <v>1498730127.3629999</v>
      </c>
      <c r="C81" s="73">
        <v>2.8590177551221502E-4</v>
      </c>
      <c r="D81" s="73">
        <v>-3.3071479830632403E-5</v>
      </c>
      <c r="E81" s="73">
        <v>8.0577813303409898E-4</v>
      </c>
      <c r="F81" s="73">
        <v>-5.6702830391643699E-5</v>
      </c>
      <c r="G81" s="73">
        <v>1.0897289973527599E-3</v>
      </c>
      <c r="H81" s="73">
        <v>-2.28696548094741E-5</v>
      </c>
      <c r="I81" s="73">
        <v>5.9927703898848903E-4</v>
      </c>
      <c r="J81" s="73">
        <v>7.2024606089523E-3</v>
      </c>
      <c r="K81" s="73"/>
      <c r="L81" s="73"/>
      <c r="M81" s="73"/>
      <c r="O81" s="13">
        <f t="shared" ca="1" si="0"/>
        <v>2.1214546240653435E-5</v>
      </c>
      <c r="P81" s="13">
        <f t="shared" ca="1" si="1"/>
        <v>-4.4358955215472575E-5</v>
      </c>
      <c r="Q81" s="13">
        <f t="shared" ca="1" si="2"/>
        <v>-3.4961484938586377E-5</v>
      </c>
      <c r="R81" s="13">
        <f t="shared" ca="1" si="3"/>
        <v>-6.6479109282324819E-5</v>
      </c>
      <c r="S81" s="13">
        <f t="shared" ca="1" si="4"/>
        <v>-4.534963588861355E-5</v>
      </c>
      <c r="T81" s="13">
        <f t="shared" ca="1" si="5"/>
        <v>-2.3219476320498187E-5</v>
      </c>
      <c r="U81" s="13">
        <f t="shared" ca="1" si="6"/>
        <v>-5.4566955800032144E-5</v>
      </c>
      <c r="V81" s="13">
        <f t="shared" ca="1" si="7"/>
        <v>6.3679686498135761E-5</v>
      </c>
      <c r="X81" s="3">
        <f t="shared" ca="1" si="8"/>
        <v>2.1214546240653435E-5</v>
      </c>
      <c r="Y81" s="3">
        <f t="shared" ca="1" si="9"/>
        <v>-4.4358955215472575E-5</v>
      </c>
      <c r="Z81" s="3">
        <f t="shared" ca="1" si="10"/>
        <v>-3.4961484938586377E-5</v>
      </c>
      <c r="AA81" s="3">
        <f t="shared" ca="1" si="11"/>
        <v>-6.6479109282324819E-5</v>
      </c>
      <c r="AB81" s="3">
        <f t="shared" ca="1" si="12"/>
        <v>-4.534963588861355E-5</v>
      </c>
      <c r="AC81" s="3">
        <f t="shared" ca="1" si="13"/>
        <v>-2.3219476320498187E-5</v>
      </c>
      <c r="AD81" s="3">
        <f t="shared" ca="1" si="14"/>
        <v>-5.4566955800032144E-5</v>
      </c>
      <c r="AE81" s="3">
        <f t="shared" ca="1" si="15"/>
        <v>6.3679686498135761E-5</v>
      </c>
      <c r="AG81" s="3">
        <f t="shared" ca="1" si="16"/>
        <v>2.1214546240653435E-5</v>
      </c>
      <c r="AH81" s="3">
        <f t="shared" ca="1" si="17"/>
        <v>-4.4358955215472575E-5</v>
      </c>
      <c r="AI81" s="3">
        <f t="shared" ca="1" si="18"/>
        <v>-3.4961484938586377E-5</v>
      </c>
      <c r="AJ81" s="3">
        <f t="shared" ca="1" si="19"/>
        <v>-6.6479109282324819E-5</v>
      </c>
      <c r="AK81" s="3">
        <f t="shared" ca="1" si="20"/>
        <v>-4.534963588861355E-5</v>
      </c>
      <c r="AL81" s="3">
        <f t="shared" ca="1" si="21"/>
        <v>-2.3219476320498187E-5</v>
      </c>
      <c r="AM81" s="3">
        <f t="shared" ca="1" si="22"/>
        <v>-5.4566955800032144E-5</v>
      </c>
      <c r="AN81" s="3">
        <f t="shared" ca="1" si="23"/>
        <v>6.3679686498135761E-5</v>
      </c>
      <c r="AP81" s="3" t="e">
        <f t="shared" ca="1" si="24"/>
        <v>#N/A</v>
      </c>
      <c r="AQ81" s="3" t="e">
        <f t="shared" ca="1" si="31"/>
        <v>#N/A</v>
      </c>
      <c r="AR81" s="3" t="e">
        <f t="shared" ca="1" si="25"/>
        <v>#N/A</v>
      </c>
      <c r="AS81" s="3" t="e">
        <f t="shared" ca="1" si="26"/>
        <v>#N/A</v>
      </c>
      <c r="AT81" s="3" t="e">
        <f t="shared" ca="1" si="27"/>
        <v>#N/A</v>
      </c>
      <c r="AU81" s="3" t="e">
        <f t="shared" ca="1" si="28"/>
        <v>#N/A</v>
      </c>
      <c r="AV81" s="10" t="e">
        <f t="shared" ca="1" si="32"/>
        <v>#N/A</v>
      </c>
      <c r="AW81" s="10" t="e">
        <f t="shared" ca="1" si="33"/>
        <v>#N/A</v>
      </c>
      <c r="AY81" s="3" t="e">
        <f t="shared" ca="1" si="39"/>
        <v>#N/A</v>
      </c>
      <c r="AZ81" s="3" t="e">
        <f t="shared" ca="1" si="34"/>
        <v>#N/A</v>
      </c>
      <c r="BA81" s="3" t="e">
        <f t="shared" ca="1" si="29"/>
        <v>#N/A</v>
      </c>
      <c r="BB81" s="3" t="e">
        <f t="shared" ca="1" si="35"/>
        <v>#N/A</v>
      </c>
      <c r="BC81" s="3" t="e">
        <f t="shared" ca="1" si="36"/>
        <v>#N/A</v>
      </c>
      <c r="BD81" s="3" t="e">
        <f t="shared" ca="1" si="30"/>
        <v>#N/A</v>
      </c>
      <c r="BE81" s="3" t="e">
        <f t="shared" ca="1" si="37"/>
        <v>#N/A</v>
      </c>
      <c r="BF81" s="3" t="e">
        <f t="shared" ca="1" si="38"/>
        <v>#N/A</v>
      </c>
    </row>
    <row r="82" spans="1:58" ht="15" x14ac:dyDescent="0.25">
      <c r="A82" s="72">
        <v>16</v>
      </c>
      <c r="B82" s="72">
        <v>1498730127.891</v>
      </c>
      <c r="C82" s="73">
        <v>2.7020004733438702E-4</v>
      </c>
      <c r="D82" s="73">
        <v>1.3699801572602101E-5</v>
      </c>
      <c r="E82" s="73">
        <v>7.66988122071319E-4</v>
      </c>
      <c r="F82" s="73">
        <v>-6.5030055432141196E-5</v>
      </c>
      <c r="G82" s="73">
        <v>1.1481428844834301E-3</v>
      </c>
      <c r="H82" s="73">
        <v>-4.2209273564692101E-5</v>
      </c>
      <c r="I82" s="73">
        <v>6.9926257335369598E-4</v>
      </c>
      <c r="J82" s="73">
        <v>7.2361351849891996E-3</v>
      </c>
      <c r="K82" s="73"/>
      <c r="L82" s="73"/>
      <c r="M82" s="73"/>
      <c r="O82" s="13">
        <f t="shared" ca="1" si="0"/>
        <v>5.5128180628254315E-6</v>
      </c>
      <c r="P82" s="13">
        <f t="shared" ca="1" si="1"/>
        <v>2.4123261877619273E-6</v>
      </c>
      <c r="Q82" s="13">
        <f t="shared" ca="1" si="2"/>
        <v>-7.375149590136635E-5</v>
      </c>
      <c r="R82" s="13">
        <f t="shared" ca="1" si="3"/>
        <v>-7.4806334322822317E-5</v>
      </c>
      <c r="S82" s="13">
        <f t="shared" ca="1" si="4"/>
        <v>1.3064251242056587E-5</v>
      </c>
      <c r="T82" s="13">
        <f t="shared" ca="1" si="5"/>
        <v>-4.2559095075716191E-5</v>
      </c>
      <c r="U82" s="13">
        <f t="shared" ca="1" si="6"/>
        <v>4.5418578565174805E-5</v>
      </c>
      <c r="V82" s="13">
        <f t="shared" ca="1" si="7"/>
        <v>9.7354262535035395E-5</v>
      </c>
      <c r="X82" s="3">
        <f t="shared" ca="1" si="8"/>
        <v>5.5128180628254315E-6</v>
      </c>
      <c r="Y82" s="3">
        <f t="shared" ca="1" si="9"/>
        <v>2.4123261877619273E-6</v>
      </c>
      <c r="Z82" s="3">
        <f t="shared" ca="1" si="10"/>
        <v>-7.375149590136635E-5</v>
      </c>
      <c r="AA82" s="3">
        <f t="shared" ca="1" si="11"/>
        <v>-7.4806334322822317E-5</v>
      </c>
      <c r="AB82" s="3">
        <f t="shared" ca="1" si="12"/>
        <v>1.3064251242056587E-5</v>
      </c>
      <c r="AC82" s="3">
        <f t="shared" ca="1" si="13"/>
        <v>-4.2559095075716191E-5</v>
      </c>
      <c r="AD82" s="3">
        <f t="shared" ca="1" si="14"/>
        <v>4.5418578565174805E-5</v>
      </c>
      <c r="AE82" s="3">
        <f t="shared" ca="1" si="15"/>
        <v>9.7354262535035395E-5</v>
      </c>
      <c r="AG82" s="3">
        <f t="shared" ca="1" si="16"/>
        <v>5.5128180628254315E-6</v>
      </c>
      <c r="AH82" s="3">
        <f t="shared" ca="1" si="17"/>
        <v>2.4123261877619273E-6</v>
      </c>
      <c r="AI82" s="3">
        <f t="shared" ca="1" si="18"/>
        <v>-7.5694611850013062E-5</v>
      </c>
      <c r="AJ82" s="3">
        <f t="shared" ca="1" si="19"/>
        <v>-7.5879328174473202E-5</v>
      </c>
      <c r="AK82" s="3">
        <f t="shared" ca="1" si="20"/>
        <v>1.3064251242056587E-5</v>
      </c>
      <c r="AL82" s="3">
        <f t="shared" ca="1" si="21"/>
        <v>-4.2559095075716191E-5</v>
      </c>
      <c r="AM82" s="3">
        <f t="shared" ca="1" si="22"/>
        <v>4.5418578565174805E-5</v>
      </c>
      <c r="AN82" s="3">
        <f t="shared" ca="1" si="23"/>
        <v>9.7354262535035395E-5</v>
      </c>
      <c r="AP82" s="3">
        <f t="shared" ca="1" si="24"/>
        <v>7.4519588402916987</v>
      </c>
      <c r="AQ82" s="3">
        <f t="shared" ca="1" si="31"/>
        <v>0.34266554725921422</v>
      </c>
      <c r="AR82" s="3">
        <f t="shared" ca="1" si="25"/>
        <v>-2.563355348918565E-5</v>
      </c>
      <c r="AS82" s="3">
        <f t="shared" ca="1" si="26"/>
        <v>7.1052132054360458E-5</v>
      </c>
      <c r="AT82" s="3">
        <f t="shared" ca="1" si="27"/>
        <v>5.7681621974501027</v>
      </c>
      <c r="AU82" s="3">
        <f t="shared" ca="1" si="28"/>
        <v>-5.0093539479488056</v>
      </c>
      <c r="AV82" s="10" t="str">
        <f t="shared" ca="1" si="32"/>
        <v>rejected</v>
      </c>
      <c r="AW82" s="10" t="e">
        <f t="shared" ca="1" si="33"/>
        <v>#N/A</v>
      </c>
      <c r="AY82" s="3">
        <f t="shared" ca="1" si="39"/>
        <v>7.4519588402916987</v>
      </c>
      <c r="AZ82" s="3">
        <f t="shared" ca="1" si="34"/>
        <v>0.34266554725921422</v>
      </c>
      <c r="BA82" s="3">
        <f t="shared" ca="1" si="29"/>
        <v>-2.6001231514567371E-5</v>
      </c>
      <c r="BB82" s="3">
        <f t="shared" ca="1" si="35"/>
        <v>7.141981007974218E-5</v>
      </c>
      <c r="BC82" s="3">
        <f t="shared" ca="1" si="36"/>
        <v>5.7980110763720942</v>
      </c>
      <c r="BD82" s="3">
        <f t="shared" ca="1" si="30"/>
        <v>-5.1413343970192003</v>
      </c>
      <c r="BE82" s="3" t="str">
        <f t="shared" ca="1" si="37"/>
        <v>rejected</v>
      </c>
      <c r="BF82" s="3" t="e">
        <f t="shared" ca="1" si="38"/>
        <v>#N/A</v>
      </c>
    </row>
    <row r="83" spans="1:58" ht="15" x14ac:dyDescent="0.25">
      <c r="A83" s="72">
        <v>17</v>
      </c>
      <c r="B83" s="72">
        <v>1498730128.418</v>
      </c>
      <c r="C83" s="73">
        <v>3.2230218589247199E-4</v>
      </c>
      <c r="D83" s="73">
        <v>1.07012732852235E-4</v>
      </c>
      <c r="E83" s="73">
        <v>8.3475189537225399E-4</v>
      </c>
      <c r="F83" s="73">
        <v>-3.3862085266323897E-5</v>
      </c>
      <c r="G83" s="73">
        <v>1.1526730835630301E-3</v>
      </c>
      <c r="H83" s="73">
        <v>3.9617516208070303E-6</v>
      </c>
      <c r="I83" s="73">
        <v>6.6957461114475301E-4</v>
      </c>
      <c r="J83" s="73">
        <v>7.1680707194213596E-3</v>
      </c>
      <c r="K83" s="73"/>
      <c r="L83" s="73"/>
      <c r="M83" s="73"/>
      <c r="O83" s="13">
        <f t="shared" ca="1" si="0"/>
        <v>5.761495662091041E-5</v>
      </c>
      <c r="P83" s="13">
        <f t="shared" ca="1" si="1"/>
        <v>9.5725257467394826E-5</v>
      </c>
      <c r="Q83" s="13">
        <f t="shared" ca="1" si="2"/>
        <v>-5.9877226004313635E-6</v>
      </c>
      <c r="R83" s="13">
        <f t="shared" ca="1" si="3"/>
        <v>-4.3638364157005025E-5</v>
      </c>
      <c r="S83" s="13">
        <f t="shared" ca="1" si="4"/>
        <v>1.75944503216566E-5</v>
      </c>
      <c r="T83" s="13">
        <f t="shared" ca="1" si="5"/>
        <v>3.6119301097829438E-6</v>
      </c>
      <c r="U83" s="13">
        <f t="shared" ca="1" si="6"/>
        <v>1.5730616356231827E-5</v>
      </c>
      <c r="V83" s="13">
        <f t="shared" ca="1" si="7"/>
        <v>2.9289796967195414E-5</v>
      </c>
      <c r="X83" s="3">
        <f t="shared" ca="1" si="8"/>
        <v>5.761495662091041E-5</v>
      </c>
      <c r="Y83" s="3">
        <f t="shared" ca="1" si="9"/>
        <v>9.5725257467394826E-5</v>
      </c>
      <c r="Z83" s="3">
        <f t="shared" ca="1" si="10"/>
        <v>-6.0153565686065646E-6</v>
      </c>
      <c r="AA83" s="3">
        <f t="shared" ca="1" si="11"/>
        <v>-4.4307231795791133E-5</v>
      </c>
      <c r="AB83" s="3">
        <f t="shared" ca="1" si="12"/>
        <v>1.2730243878090003E-5</v>
      </c>
      <c r="AC83" s="3">
        <f t="shared" ca="1" si="13"/>
        <v>3.6119301097829438E-6</v>
      </c>
      <c r="AD83" s="3">
        <f t="shared" ca="1" si="14"/>
        <v>8.5473547425077531E-6</v>
      </c>
      <c r="AE83" s="3">
        <f t="shared" ca="1" si="15"/>
        <v>2.6374996509105036E-5</v>
      </c>
      <c r="AG83" s="3">
        <f t="shared" ca="1" si="16"/>
        <v>5.761495662091041E-5</v>
      </c>
      <c r="AH83" s="3">
        <f t="shared" ca="1" si="17"/>
        <v>9.5725257467394826E-5</v>
      </c>
      <c r="AI83" s="3">
        <f t="shared" ca="1" si="18"/>
        <v>-8.312154370732743E-5</v>
      </c>
      <c r="AJ83" s="3">
        <f t="shared" ca="1" si="19"/>
        <v>-8.6885475663178488E-5</v>
      </c>
      <c r="AK83" s="3">
        <f t="shared" ca="1" si="20"/>
        <v>1.2730243878090003E-5</v>
      </c>
      <c r="AL83" s="3">
        <f t="shared" ca="1" si="21"/>
        <v>3.6119301097829438E-6</v>
      </c>
      <c r="AM83" s="3">
        <f t="shared" ca="1" si="22"/>
        <v>8.5473547425077531E-6</v>
      </c>
      <c r="AN83" s="3">
        <f t="shared" ca="1" si="23"/>
        <v>2.6374996509105036E-5</v>
      </c>
      <c r="AP83" s="3">
        <f t="shared" ca="1" si="24"/>
        <v>1.6647179327417398</v>
      </c>
      <c r="AQ83" s="3">
        <f t="shared" ca="1" si="31"/>
        <v>7.5170192619569823E-2</v>
      </c>
      <c r="AR83" s="3">
        <f t="shared" ca="1" si="25"/>
        <v>-3.2803042392849995E-6</v>
      </c>
      <c r="AS83" s="3">
        <f t="shared" ca="1" si="26"/>
        <v>1.9010920595516826E-5</v>
      </c>
      <c r="AT83" s="3">
        <f t="shared" ca="1" si="27"/>
        <v>2.4376771954433849</v>
      </c>
      <c r="AU83" s="3">
        <f t="shared" ca="1" si="28"/>
        <v>-6.5150411945755951E-2</v>
      </c>
      <c r="AV83" s="10" t="str">
        <f t="shared" ca="1" si="32"/>
        <v>rejected</v>
      </c>
      <c r="AW83" s="10" t="e">
        <f t="shared" ca="1" si="33"/>
        <v>#N/A</v>
      </c>
      <c r="AY83" s="3">
        <f t="shared" ca="1" si="39"/>
        <v>2.0718374888715987</v>
      </c>
      <c r="AZ83" s="3">
        <f t="shared" ca="1" si="34"/>
        <v>9.3802218382793012E-2</v>
      </c>
      <c r="BA83" s="3">
        <f t="shared" ca="1" si="29"/>
        <v>-8.150050362450316E-6</v>
      </c>
      <c r="BB83" s="3">
        <f t="shared" ca="1" si="35"/>
        <v>1.6697405104958069E-5</v>
      </c>
      <c r="BC83" s="3">
        <f t="shared" ca="1" si="36"/>
        <v>2.6504040025598572</v>
      </c>
      <c r="BD83" s="3">
        <f t="shared" ca="1" si="30"/>
        <v>-1.5636237092313721</v>
      </c>
      <c r="BE83" s="3" t="str">
        <f t="shared" ca="1" si="37"/>
        <v>rejected</v>
      </c>
      <c r="BF83" s="3" t="e">
        <f t="shared" ca="1" si="38"/>
        <v>#N/A</v>
      </c>
    </row>
    <row r="84" spans="1:58" ht="15" x14ac:dyDescent="0.25">
      <c r="A84" s="72">
        <v>18</v>
      </c>
      <c r="B84" s="72">
        <v>1498730128.9449999</v>
      </c>
      <c r="C84" s="73">
        <v>2.9779718850442901E-4</v>
      </c>
      <c r="D84" s="73">
        <v>1.2236886624356199E-4</v>
      </c>
      <c r="E84" s="73">
        <v>7.7560799517605201E-4</v>
      </c>
      <c r="F84" s="73">
        <v>-7.3595128744629096E-5</v>
      </c>
      <c r="G84" s="73">
        <v>1.1166704888206E-3</v>
      </c>
      <c r="H84" s="73">
        <v>1.7592807934917099E-5</v>
      </c>
      <c r="I84" s="73">
        <v>6.2611302765840397E-4</v>
      </c>
      <c r="J84" s="73">
        <v>7.2657506400788099E-3</v>
      </c>
      <c r="K84" s="73"/>
      <c r="L84" s="73"/>
      <c r="M84" s="73"/>
      <c r="O84" s="13">
        <f t="shared" ca="1" si="0"/>
        <v>3.3109959232867424E-5</v>
      </c>
      <c r="P84" s="13">
        <f t="shared" ca="1" si="1"/>
        <v>1.1108139085872181E-4</v>
      </c>
      <c r="Q84" s="13">
        <f t="shared" ca="1" si="2"/>
        <v>-6.513162279663334E-5</v>
      </c>
      <c r="R84" s="13">
        <f t="shared" ca="1" si="3"/>
        <v>-8.3371407635310217E-5</v>
      </c>
      <c r="S84" s="13">
        <f t="shared" ca="1" si="4"/>
        <v>-1.840814442077344E-5</v>
      </c>
      <c r="T84" s="13">
        <f t="shared" ca="1" si="5"/>
        <v>1.7242986423893013E-5</v>
      </c>
      <c r="U84" s="13">
        <f t="shared" ca="1" si="6"/>
        <v>-2.7730967130117209E-5</v>
      </c>
      <c r="V84" s="13">
        <f t="shared" ca="1" si="7"/>
        <v>1.2696971762464569E-4</v>
      </c>
      <c r="X84" s="3">
        <f t="shared" ca="1" si="8"/>
        <v>3.3109959232867424E-5</v>
      </c>
      <c r="Y84" s="3">
        <f t="shared" ca="1" si="9"/>
        <v>1.1108139085872181E-4</v>
      </c>
      <c r="Z84" s="3">
        <f t="shared" ca="1" si="10"/>
        <v>-6.5263544545836823E-5</v>
      </c>
      <c r="AA84" s="3">
        <f t="shared" ca="1" si="11"/>
        <v>-8.656451361034896E-5</v>
      </c>
      <c r="AB84" s="3">
        <f t="shared" ca="1" si="12"/>
        <v>-4.1629370502158512E-5</v>
      </c>
      <c r="AC84" s="3">
        <f t="shared" ca="1" si="13"/>
        <v>1.7242986423893013E-5</v>
      </c>
      <c r="AD84" s="3">
        <f t="shared" ca="1" si="14"/>
        <v>-6.2023126369089671E-5</v>
      </c>
      <c r="AE84" s="3">
        <f t="shared" ca="1" si="15"/>
        <v>1.1305475714656771E-4</v>
      </c>
      <c r="AG84" s="3">
        <f t="shared" ca="1" si="16"/>
        <v>3.3109959232867424E-5</v>
      </c>
      <c r="AH84" s="3">
        <f t="shared" ca="1" si="17"/>
        <v>1.1108139085872181E-4</v>
      </c>
      <c r="AI84" s="3">
        <f t="shared" ca="1" si="18"/>
        <v>-1.5473901567840978E-4</v>
      </c>
      <c r="AJ84" s="3">
        <f t="shared" ca="1" si="19"/>
        <v>-1.3597310935867805E-4</v>
      </c>
      <c r="AK84" s="3">
        <f t="shared" ca="1" si="20"/>
        <v>-4.1629370502158512E-5</v>
      </c>
      <c r="AL84" s="3">
        <f t="shared" ca="1" si="21"/>
        <v>1.7242986423893013E-5</v>
      </c>
      <c r="AM84" s="3">
        <f t="shared" ca="1" si="22"/>
        <v>-6.2023126369089671E-5</v>
      </c>
      <c r="AN84" s="3">
        <f t="shared" ca="1" si="23"/>
        <v>1.1305475714656771E-4</v>
      </c>
      <c r="AP84" s="3" t="e">
        <f t="shared" ca="1" si="24"/>
        <v>#N/A</v>
      </c>
      <c r="AQ84" s="3" t="e">
        <f t="shared" ca="1" si="31"/>
        <v>#N/A</v>
      </c>
      <c r="AR84" s="3" t="e">
        <f t="shared" ca="1" si="25"/>
        <v>#N/A</v>
      </c>
      <c r="AS84" s="3" t="e">
        <f t="shared" ca="1" si="26"/>
        <v>#N/A</v>
      </c>
      <c r="AT84" s="3" t="e">
        <f t="shared" ca="1" si="27"/>
        <v>#N/A</v>
      </c>
      <c r="AU84" s="3" t="e">
        <f t="shared" ca="1" si="28"/>
        <v>#N/A</v>
      </c>
      <c r="AV84" s="10" t="e">
        <f t="shared" ca="1" si="32"/>
        <v>#N/A</v>
      </c>
      <c r="AW84" s="10" t="e">
        <f t="shared" ca="1" si="33"/>
        <v>#N/A</v>
      </c>
      <c r="AY84" s="3" t="e">
        <f t="shared" ca="1" si="39"/>
        <v>#N/A</v>
      </c>
      <c r="AZ84" s="3" t="e">
        <f t="shared" ca="1" si="34"/>
        <v>#N/A</v>
      </c>
      <c r="BA84" s="3" t="e">
        <f t="shared" ca="1" si="29"/>
        <v>#N/A</v>
      </c>
      <c r="BB84" s="3" t="e">
        <f t="shared" ca="1" si="35"/>
        <v>#N/A</v>
      </c>
      <c r="BC84" s="3" t="e">
        <f t="shared" ca="1" si="36"/>
        <v>#N/A</v>
      </c>
      <c r="BD84" s="3" t="e">
        <f t="shared" ca="1" si="30"/>
        <v>#N/A</v>
      </c>
      <c r="BE84" s="3" t="e">
        <f t="shared" ca="1" si="37"/>
        <v>#N/A</v>
      </c>
      <c r="BF84" s="3" t="e">
        <f t="shared" ca="1" si="38"/>
        <v>#N/A</v>
      </c>
    </row>
    <row r="85" spans="1:58" ht="15" x14ac:dyDescent="0.25">
      <c r="A85" s="72">
        <v>19</v>
      </c>
      <c r="B85" s="72">
        <v>1498730129.4719999</v>
      </c>
      <c r="C85" s="73">
        <v>2.6805892171214801E-4</v>
      </c>
      <c r="D85" s="73">
        <v>-6.5904547064233105E-5</v>
      </c>
      <c r="E85" s="73">
        <v>7.7249525469662501E-4</v>
      </c>
      <c r="F85" s="73">
        <v>6.2503059552917103E-5</v>
      </c>
      <c r="G85" s="73">
        <v>1.10403412370716E-3</v>
      </c>
      <c r="H85" s="73">
        <v>-1.23599775197575E-5</v>
      </c>
      <c r="I85" s="73">
        <v>6.0236432837593699E-4</v>
      </c>
      <c r="J85" s="73">
        <v>7.2628845900805598E-3</v>
      </c>
      <c r="K85" s="73"/>
      <c r="L85" s="73"/>
      <c r="M85" s="73"/>
      <c r="O85" s="13">
        <f t="shared" ca="1" si="0"/>
        <v>3.3716924405864288E-6</v>
      </c>
      <c r="P85" s="13">
        <f t="shared" ca="1" si="1"/>
        <v>-7.7192022449073283E-5</v>
      </c>
      <c r="Q85" s="13">
        <f t="shared" ca="1" si="2"/>
        <v>-6.8244363276060349E-5</v>
      </c>
      <c r="R85" s="13">
        <f t="shared" ca="1" si="3"/>
        <v>5.2726780662235976E-5</v>
      </c>
      <c r="S85" s="13">
        <f t="shared" ca="1" si="4"/>
        <v>-3.104450953421347E-5</v>
      </c>
      <c r="T85" s="13">
        <f t="shared" ca="1" si="5"/>
        <v>-1.2709799030781586E-5</v>
      </c>
      <c r="U85" s="13">
        <f t="shared" ca="1" si="6"/>
        <v>-5.1479666412584187E-5</v>
      </c>
      <c r="V85" s="13">
        <f t="shared" ca="1" si="7"/>
        <v>1.2410366762639555E-4</v>
      </c>
      <c r="X85" s="3">
        <f t="shared" ca="1" si="8"/>
        <v>3.3716924405864288E-6</v>
      </c>
      <c r="Y85" s="3">
        <f t="shared" ca="1" si="9"/>
        <v>-7.7192022449073283E-5</v>
      </c>
      <c r="Z85" s="3">
        <f t="shared" ca="1" si="10"/>
        <v>-6.8244363276060349E-5</v>
      </c>
      <c r="AA85" s="3">
        <f t="shared" ca="1" si="11"/>
        <v>5.2726780662235976E-5</v>
      </c>
      <c r="AB85" s="3">
        <f t="shared" ca="1" si="12"/>
        <v>-3.104450953421347E-5</v>
      </c>
      <c r="AC85" s="3">
        <f t="shared" ca="1" si="13"/>
        <v>-1.2709799030781586E-5</v>
      </c>
      <c r="AD85" s="3">
        <f t="shared" ca="1" si="14"/>
        <v>-5.1479666412584187E-5</v>
      </c>
      <c r="AE85" s="3">
        <f t="shared" ca="1" si="15"/>
        <v>1.2410366762639555E-4</v>
      </c>
      <c r="AG85" s="3">
        <f t="shared" ca="1" si="16"/>
        <v>3.3716924405864288E-6</v>
      </c>
      <c r="AH85" s="3">
        <f t="shared" ca="1" si="17"/>
        <v>-7.7192022449073283E-5</v>
      </c>
      <c r="AI85" s="3">
        <f t="shared" ca="1" si="18"/>
        <v>-6.8244363276060349E-5</v>
      </c>
      <c r="AJ85" s="3">
        <f t="shared" ca="1" si="19"/>
        <v>5.2726780662235976E-5</v>
      </c>
      <c r="AK85" s="3">
        <f t="shared" ca="1" si="20"/>
        <v>-3.104450953421347E-5</v>
      </c>
      <c r="AL85" s="3">
        <f t="shared" ca="1" si="21"/>
        <v>-1.2709799030781586E-5</v>
      </c>
      <c r="AM85" s="3">
        <f t="shared" ca="1" si="22"/>
        <v>-5.1479666412584187E-5</v>
      </c>
      <c r="AN85" s="3">
        <f t="shared" ca="1" si="23"/>
        <v>1.2410366762639555E-4</v>
      </c>
      <c r="AP85" s="3" t="e">
        <f t="shared" ca="1" si="24"/>
        <v>#N/A</v>
      </c>
      <c r="AQ85" s="3" t="e">
        <f t="shared" ca="1" si="31"/>
        <v>#N/A</v>
      </c>
      <c r="AR85" s="3" t="e">
        <f t="shared" ca="1" si="25"/>
        <v>#N/A</v>
      </c>
      <c r="AS85" s="3" t="e">
        <f t="shared" ca="1" si="26"/>
        <v>#N/A</v>
      </c>
      <c r="AT85" s="3" t="e">
        <f t="shared" ca="1" si="27"/>
        <v>#N/A</v>
      </c>
      <c r="AU85" s="3" t="e">
        <f t="shared" ca="1" si="28"/>
        <v>#N/A</v>
      </c>
      <c r="AV85" s="10" t="e">
        <f t="shared" ca="1" si="32"/>
        <v>#N/A</v>
      </c>
      <c r="AW85" s="10" t="e">
        <f t="shared" ca="1" si="33"/>
        <v>#N/A</v>
      </c>
      <c r="AY85" s="3" t="e">
        <f t="shared" ca="1" si="39"/>
        <v>#N/A</v>
      </c>
      <c r="AZ85" s="3" t="e">
        <f t="shared" ca="1" si="34"/>
        <v>#N/A</v>
      </c>
      <c r="BA85" s="3" t="e">
        <f t="shared" ca="1" si="29"/>
        <v>#N/A</v>
      </c>
      <c r="BB85" s="3" t="e">
        <f t="shared" ca="1" si="35"/>
        <v>#N/A</v>
      </c>
      <c r="BC85" s="3" t="e">
        <f t="shared" ca="1" si="36"/>
        <v>#N/A</v>
      </c>
      <c r="BD85" s="3" t="e">
        <f t="shared" ca="1" si="30"/>
        <v>#N/A</v>
      </c>
      <c r="BE85" s="3" t="e">
        <f t="shared" ca="1" si="37"/>
        <v>#N/A</v>
      </c>
      <c r="BF85" s="3" t="e">
        <f t="shared" ca="1" si="38"/>
        <v>#N/A</v>
      </c>
    </row>
    <row r="86" spans="1:58" ht="15" x14ac:dyDescent="0.25">
      <c r="A86" s="72">
        <v>20</v>
      </c>
      <c r="B86" s="72">
        <v>1498730129.9990001</v>
      </c>
      <c r="C86" s="73">
        <v>2.3451521966730101E-4</v>
      </c>
      <c r="D86" s="73">
        <v>-3.4961182233207297E-5</v>
      </c>
      <c r="E86" s="73">
        <v>8.2493424601322903E-4</v>
      </c>
      <c r="F86" s="73">
        <v>6.1104758202676702E-6</v>
      </c>
      <c r="G86" s="73">
        <v>1.0515829938540599E-3</v>
      </c>
      <c r="H86" s="73">
        <v>3.15565427391622E-5</v>
      </c>
      <c r="I86" s="73">
        <v>6.0877642147415896E-4</v>
      </c>
      <c r="J86" s="73">
        <v>7.0821011538913896E-3</v>
      </c>
      <c r="K86" s="73"/>
      <c r="L86" s="73"/>
      <c r="M86" s="73"/>
      <c r="O86" s="13">
        <f t="shared" ca="1" si="0"/>
        <v>-3.0172009604260578E-5</v>
      </c>
      <c r="P86" s="13">
        <f t="shared" ca="1" si="1"/>
        <v>-4.6248657618047469E-5</v>
      </c>
      <c r="Q86" s="13">
        <f t="shared" ca="1" si="2"/>
        <v>-1.580537195945632E-5</v>
      </c>
      <c r="R86" s="13">
        <f t="shared" ca="1" si="3"/>
        <v>-3.6658030704134555E-6</v>
      </c>
      <c r="S86" s="13">
        <f t="shared" ca="1" si="4"/>
        <v>-8.3495639387313548E-5</v>
      </c>
      <c r="T86" s="13">
        <f t="shared" ca="1" si="5"/>
        <v>3.120672122813811E-5</v>
      </c>
      <c r="U86" s="13">
        <f t="shared" ca="1" si="6"/>
        <v>-4.5067573314362219E-5</v>
      </c>
      <c r="V86" s="13">
        <f t="shared" ca="1" si="7"/>
        <v>-5.6679768562774638E-5</v>
      </c>
      <c r="X86" s="3">
        <f t="shared" ca="1" si="8"/>
        <v>-3.0172009604260578E-5</v>
      </c>
      <c r="Y86" s="3">
        <f t="shared" ca="1" si="9"/>
        <v>-4.6248657618047469E-5</v>
      </c>
      <c r="Z86" s="3">
        <f t="shared" ca="1" si="10"/>
        <v>-1.604412672908351E-5</v>
      </c>
      <c r="AA86" s="3">
        <f t="shared" ca="1" si="11"/>
        <v>-9.4447537443442661E-6</v>
      </c>
      <c r="AB86" s="3">
        <f t="shared" ca="1" si="12"/>
        <v>-1.2552190508646296E-4</v>
      </c>
      <c r="AC86" s="3">
        <f t="shared" ca="1" si="13"/>
        <v>3.120672122813811E-5</v>
      </c>
      <c r="AD86" s="3">
        <f t="shared" ca="1" si="14"/>
        <v>-1.0713024780552057E-4</v>
      </c>
      <c r="AE86" s="3">
        <f t="shared" ca="1" si="15"/>
        <v>-8.1863358102590494E-5</v>
      </c>
      <c r="AG86" s="3">
        <f t="shared" ca="1" si="16"/>
        <v>-3.0172009604260578E-5</v>
      </c>
      <c r="AH86" s="3">
        <f t="shared" ca="1" si="17"/>
        <v>-4.6248657618047469E-5</v>
      </c>
      <c r="AI86" s="3">
        <f t="shared" ca="1" si="18"/>
        <v>-1.604412672908351E-5</v>
      </c>
      <c r="AJ86" s="3">
        <f t="shared" ca="1" si="19"/>
        <v>-9.4447537443442661E-6</v>
      </c>
      <c r="AK86" s="3">
        <f t="shared" ca="1" si="20"/>
        <v>-1.2552190508646296E-4</v>
      </c>
      <c r="AL86" s="3">
        <f t="shared" ca="1" si="21"/>
        <v>3.120672122813811E-5</v>
      </c>
      <c r="AM86" s="3">
        <f t="shared" ca="1" si="22"/>
        <v>-1.0713024780552057E-4</v>
      </c>
      <c r="AN86" s="3">
        <f t="shared" ca="1" si="23"/>
        <v>-8.1863358102590494E-5</v>
      </c>
      <c r="AP86" s="3" t="e">
        <f t="shared" ca="1" si="24"/>
        <v>#N/A</v>
      </c>
      <c r="AQ86" s="3" t="e">
        <f t="shared" ca="1" si="31"/>
        <v>#N/A</v>
      </c>
      <c r="AR86" s="3" t="e">
        <f t="shared" ca="1" si="25"/>
        <v>#N/A</v>
      </c>
      <c r="AS86" s="3" t="e">
        <f t="shared" ca="1" si="26"/>
        <v>#N/A</v>
      </c>
      <c r="AT86" s="3" t="e">
        <f t="shared" ca="1" si="27"/>
        <v>#N/A</v>
      </c>
      <c r="AU86" s="3" t="e">
        <f t="shared" ca="1" si="28"/>
        <v>#N/A</v>
      </c>
      <c r="AV86" s="10" t="e">
        <f t="shared" ca="1" si="32"/>
        <v>#N/A</v>
      </c>
      <c r="AW86" s="10" t="e">
        <f t="shared" ca="1" si="33"/>
        <v>#N/A</v>
      </c>
      <c r="AY86" s="3" t="e">
        <f t="shared" ca="1" si="39"/>
        <v>#N/A</v>
      </c>
      <c r="AZ86" s="3" t="e">
        <f t="shared" ca="1" si="34"/>
        <v>#N/A</v>
      </c>
      <c r="BA86" s="3" t="e">
        <f t="shared" ca="1" si="29"/>
        <v>#N/A</v>
      </c>
      <c r="BB86" s="3" t="e">
        <f t="shared" ca="1" si="35"/>
        <v>#N/A</v>
      </c>
      <c r="BC86" s="3" t="e">
        <f t="shared" ca="1" si="36"/>
        <v>#N/A</v>
      </c>
      <c r="BD86" s="3" t="e">
        <f t="shared" ca="1" si="30"/>
        <v>#N/A</v>
      </c>
      <c r="BE86" s="3" t="e">
        <f t="shared" ca="1" si="37"/>
        <v>#N/A</v>
      </c>
      <c r="BF86" s="3" t="e">
        <f t="shared" ca="1" si="38"/>
        <v>#N/A</v>
      </c>
    </row>
    <row r="87" spans="1:58" ht="15" x14ac:dyDescent="0.25">
      <c r="A87" s="72">
        <v>21</v>
      </c>
      <c r="B87" s="72">
        <v>1498730130.526</v>
      </c>
      <c r="C87" s="73">
        <v>2.6401458584081902E-4</v>
      </c>
      <c r="D87" s="73">
        <v>3.4015287382993798E-5</v>
      </c>
      <c r="E87" s="73">
        <v>8.7569971056564297E-4</v>
      </c>
      <c r="F87" s="73">
        <v>3.1570024383927899E-5</v>
      </c>
      <c r="G87" s="73">
        <v>1.1552958397754601E-3</v>
      </c>
      <c r="H87" s="73">
        <v>3.4656826481071E-6</v>
      </c>
      <c r="I87" s="73">
        <v>6.3988753225601401E-4</v>
      </c>
      <c r="J87" s="73">
        <v>7.1859819730869402E-3</v>
      </c>
      <c r="K87" s="73"/>
      <c r="L87" s="73"/>
      <c r="M87" s="73"/>
      <c r="O87" s="13">
        <f t="shared" ca="1" si="0"/>
        <v>-6.7264343074256109E-7</v>
      </c>
      <c r="P87" s="13">
        <f t="shared" ca="1" si="1"/>
        <v>2.2727811998153626E-5</v>
      </c>
      <c r="Q87" s="13">
        <f t="shared" ca="1" si="2"/>
        <v>3.4960092592957611E-5</v>
      </c>
      <c r="R87" s="13">
        <f t="shared" ca="1" si="3"/>
        <v>2.1793745493246771E-5</v>
      </c>
      <c r="S87" s="13">
        <f t="shared" ca="1" si="4"/>
        <v>2.0217206534086599E-5</v>
      </c>
      <c r="T87" s="13">
        <f t="shared" ca="1" si="5"/>
        <v>3.1158611370830135E-6</v>
      </c>
      <c r="U87" s="13">
        <f t="shared" ca="1" si="6"/>
        <v>-1.3956462532507168E-5</v>
      </c>
      <c r="V87" s="13">
        <f t="shared" ca="1" si="7"/>
        <v>4.7201050632775937E-5</v>
      </c>
      <c r="X87" s="3">
        <f t="shared" ca="1" si="8"/>
        <v>-6.7264343074256109E-7</v>
      </c>
      <c r="Y87" s="3">
        <f t="shared" ca="1" si="9"/>
        <v>2.2727811998153626E-5</v>
      </c>
      <c r="Z87" s="3">
        <f t="shared" ca="1" si="10"/>
        <v>3.4936253923635833E-5</v>
      </c>
      <c r="AA87" s="3">
        <f t="shared" ca="1" si="11"/>
        <v>2.1216741338071864E-5</v>
      </c>
      <c r="AB87" s="3">
        <f t="shared" ca="1" si="12"/>
        <v>1.6021058945514148E-5</v>
      </c>
      <c r="AC87" s="3">
        <f t="shared" ca="1" si="13"/>
        <v>3.1158611370830135E-6</v>
      </c>
      <c r="AD87" s="3">
        <f t="shared" ca="1" si="14"/>
        <v>-2.0153162086322203E-5</v>
      </c>
      <c r="AE87" s="3">
        <f t="shared" ca="1" si="15"/>
        <v>4.4686574108128745E-5</v>
      </c>
      <c r="AG87" s="3">
        <f t="shared" ca="1" si="16"/>
        <v>-6.7264343074256109E-7</v>
      </c>
      <c r="AH87" s="3">
        <f t="shared" ca="1" si="17"/>
        <v>2.2727811998153626E-5</v>
      </c>
      <c r="AI87" s="3">
        <f t="shared" ca="1" si="18"/>
        <v>1.6629121913254915E-5</v>
      </c>
      <c r="AJ87" s="3">
        <f t="shared" ca="1" si="19"/>
        <v>1.1107493816234368E-5</v>
      </c>
      <c r="AK87" s="3">
        <f t="shared" ca="1" si="20"/>
        <v>1.6021058945514148E-5</v>
      </c>
      <c r="AL87" s="3">
        <f t="shared" ca="1" si="21"/>
        <v>3.1158611370830135E-6</v>
      </c>
      <c r="AM87" s="3">
        <f t="shared" ca="1" si="22"/>
        <v>-2.0153162086322203E-5</v>
      </c>
      <c r="AN87" s="3">
        <f t="shared" ca="1" si="23"/>
        <v>4.4686574108128745E-5</v>
      </c>
      <c r="AP87" s="3">
        <f t="shared" ca="1" si="24"/>
        <v>2.3346969598986913</v>
      </c>
      <c r="AQ87" s="3">
        <f t="shared" ca="1" si="31"/>
        <v>0.10585639963694542</v>
      </c>
      <c r="AR87" s="3">
        <f t="shared" ca="1" si="25"/>
        <v>2.3070074325190084E-6</v>
      </c>
      <c r="AS87" s="3">
        <f t="shared" ca="1" si="26"/>
        <v>-1.6263469965026175E-5</v>
      </c>
      <c r="AT87" s="3">
        <f t="shared" ca="1" si="27"/>
        <v>-1.5306224039332341</v>
      </c>
      <c r="AU87" s="3">
        <f t="shared" ca="1" si="28"/>
        <v>0.46793738278214231</v>
      </c>
      <c r="AV87" s="10" t="str">
        <f t="shared" ca="1" si="32"/>
        <v>rejected</v>
      </c>
      <c r="AW87" s="10" t="e">
        <f t="shared" ca="1" si="33"/>
        <v>#N/A</v>
      </c>
      <c r="AY87" s="3">
        <f t="shared" ca="1" si="39"/>
        <v>2.7892397287908901</v>
      </c>
      <c r="AZ87" s="3">
        <f t="shared" ca="1" si="34"/>
        <v>0.12673876090694322</v>
      </c>
      <c r="BA87" s="3">
        <f t="shared" ca="1" si="29"/>
        <v>1.4077500030510779E-6</v>
      </c>
      <c r="BB87" s="3">
        <f t="shared" ca="1" si="35"/>
        <v>-2.156091208937328E-5</v>
      </c>
      <c r="BC87" s="3">
        <f t="shared" ca="1" si="36"/>
        <v>-2.3412438457886497</v>
      </c>
      <c r="BD87" s="3">
        <f t="shared" ca="1" si="30"/>
        <v>0.33695038843106706</v>
      </c>
      <c r="BE87" s="3" t="str">
        <f t="shared" ca="1" si="37"/>
        <v>rejected</v>
      </c>
      <c r="BF87" s="3" t="e">
        <f t="shared" ca="1" si="38"/>
        <v>#N/A</v>
      </c>
    </row>
    <row r="88" spans="1:58" ht="15" x14ac:dyDescent="0.25">
      <c r="A88" s="72">
        <v>22</v>
      </c>
      <c r="B88" s="72">
        <v>1498730131.052</v>
      </c>
      <c r="C88" s="73">
        <v>3.1683014403643701E-4</v>
      </c>
      <c r="D88" s="73">
        <v>4.8661593337905698E-5</v>
      </c>
      <c r="E88" s="73">
        <v>9.1162021974995405E-4</v>
      </c>
      <c r="F88" s="73">
        <v>9.2009309022014798E-5</v>
      </c>
      <c r="G88" s="73">
        <v>1.1738937629076501E-3</v>
      </c>
      <c r="H88" s="73">
        <v>2.7988633343056199E-5</v>
      </c>
      <c r="I88" s="73">
        <v>6.9641249065164603E-4</v>
      </c>
      <c r="J88" s="73">
        <v>7.1816832430369503E-3</v>
      </c>
      <c r="K88" s="73"/>
      <c r="L88" s="73"/>
      <c r="M88" s="73"/>
      <c r="O88" s="13">
        <f t="shared" ca="1" si="0"/>
        <v>5.2142914764875424E-5</v>
      </c>
      <c r="P88" s="13">
        <f t="shared" ca="1" si="1"/>
        <v>3.7374117953065526E-5</v>
      </c>
      <c r="Q88" s="13">
        <f t="shared" ca="1" si="2"/>
        <v>7.0880601777268694E-5</v>
      </c>
      <c r="R88" s="13">
        <f t="shared" ca="1" si="3"/>
        <v>8.2233030131333677E-5</v>
      </c>
      <c r="S88" s="13">
        <f t="shared" ca="1" si="4"/>
        <v>3.8815129666276618E-5</v>
      </c>
      <c r="T88" s="13">
        <f t="shared" ca="1" si="5"/>
        <v>2.7638811832032113E-5</v>
      </c>
      <c r="U88" s="13">
        <f t="shared" ca="1" si="6"/>
        <v>4.2568495863124856E-5</v>
      </c>
      <c r="V88" s="13">
        <f t="shared" ca="1" si="7"/>
        <v>4.2902320582786056E-5</v>
      </c>
      <c r="X88" s="3">
        <f t="shared" ca="1" si="8"/>
        <v>5.2142914764875424E-5</v>
      </c>
      <c r="Y88" s="3">
        <f t="shared" ca="1" si="9"/>
        <v>3.7374117953065526E-5</v>
      </c>
      <c r="Z88" s="3">
        <f t="shared" ca="1" si="10"/>
        <v>7.0669144184416031E-5</v>
      </c>
      <c r="AA88" s="3">
        <f t="shared" ca="1" si="11"/>
        <v>7.7114795213422747E-5</v>
      </c>
      <c r="AB88" s="3">
        <f t="shared" ca="1" si="12"/>
        <v>1.593787469825753E-6</v>
      </c>
      <c r="AC88" s="3">
        <f t="shared" ca="1" si="13"/>
        <v>2.7638811832032113E-5</v>
      </c>
      <c r="AD88" s="3">
        <f t="shared" ca="1" si="14"/>
        <v>-1.2398463642608754E-5</v>
      </c>
      <c r="AE88" s="3">
        <f t="shared" ca="1" si="15"/>
        <v>2.0598007115900552E-5</v>
      </c>
      <c r="AG88" s="3">
        <f t="shared" ca="1" si="16"/>
        <v>5.2142914764875424E-5</v>
      </c>
      <c r="AH88" s="3">
        <f t="shared" ca="1" si="17"/>
        <v>3.7374117953065526E-5</v>
      </c>
      <c r="AI88" s="3">
        <f t="shared" ca="1" si="18"/>
        <v>4.056449041510896E-5</v>
      </c>
      <c r="AJ88" s="3">
        <f t="shared" ca="1" si="19"/>
        <v>6.0490924454170433E-5</v>
      </c>
      <c r="AK88" s="3">
        <f t="shared" ca="1" si="20"/>
        <v>1.593787469825753E-6</v>
      </c>
      <c r="AL88" s="3">
        <f t="shared" ca="1" si="21"/>
        <v>2.7638811832032113E-5</v>
      </c>
      <c r="AM88" s="3">
        <f t="shared" ca="1" si="22"/>
        <v>-1.2398463642608754E-5</v>
      </c>
      <c r="AN88" s="3">
        <f t="shared" ca="1" si="23"/>
        <v>2.0598007115900552E-5</v>
      </c>
      <c r="AP88" s="3">
        <f t="shared" ca="1" si="24"/>
        <v>1.105298911832838</v>
      </c>
      <c r="AQ88" s="3">
        <f t="shared" ca="1" si="31"/>
        <v>4.9662377932530727E-2</v>
      </c>
      <c r="AR88" s="3">
        <f t="shared" ca="1" si="25"/>
        <v>4.0838878209194799E-6</v>
      </c>
      <c r="AS88" s="3">
        <f t="shared" ca="1" si="26"/>
        <v>3.8484608042205378E-5</v>
      </c>
      <c r="AT88" s="3">
        <f t="shared" ca="1" si="27"/>
        <v>2.749187372772476</v>
      </c>
      <c r="AU88" s="3">
        <f t="shared" ca="1" si="28"/>
        <v>0.22991181351475309</v>
      </c>
      <c r="AV88" s="10" t="str">
        <f t="shared" ca="1" si="32"/>
        <v>rejected</v>
      </c>
      <c r="AW88" s="10" t="e">
        <f t="shared" ca="1" si="33"/>
        <v>#N/A</v>
      </c>
      <c r="AY88" s="3">
        <f t="shared" ca="1" si="39"/>
        <v>12.923935911073833</v>
      </c>
      <c r="AZ88" s="3">
        <f t="shared" ca="1" si="34"/>
        <v>0.59826704066501801</v>
      </c>
      <c r="BA88" s="3">
        <f t="shared" ca="1" si="29"/>
        <v>3.6189726360287715E-5</v>
      </c>
      <c r="BB88" s="3">
        <f t="shared" ca="1" si="35"/>
        <v>-4.8588190002896469E-5</v>
      </c>
      <c r="BC88" s="3">
        <f t="shared" ca="1" si="36"/>
        <v>-24.503254371286079</v>
      </c>
      <c r="BD88" s="3">
        <f t="shared" ca="1" si="30"/>
        <v>39.673007733332724</v>
      </c>
      <c r="BE88" s="3" t="str">
        <f t="shared" ca="1" si="37"/>
        <v>rejected</v>
      </c>
      <c r="BF88" s="3" t="e">
        <f t="shared" ca="1" si="38"/>
        <v>#N/A</v>
      </c>
    </row>
    <row r="89" spans="1:58" ht="15" x14ac:dyDescent="0.25">
      <c r="A89" s="72">
        <v>23</v>
      </c>
      <c r="B89" s="72">
        <v>1498730131.579</v>
      </c>
      <c r="C89" s="73">
        <v>1.6338726752197099E-4</v>
      </c>
      <c r="D89" s="73">
        <v>-1.65465006674642E-6</v>
      </c>
      <c r="E89" s="73">
        <v>7.87819608582172E-4</v>
      </c>
      <c r="F89" s="73">
        <v>6.0361510863145698E-5</v>
      </c>
      <c r="G89" s="73">
        <v>1.17270157797622E-3</v>
      </c>
      <c r="H89" s="73">
        <v>-1.030514640028E-5</v>
      </c>
      <c r="I89" s="73">
        <v>5.7932863015681903E-4</v>
      </c>
      <c r="J89" s="73">
        <v>7.08520548218519E-3</v>
      </c>
      <c r="K89" s="73"/>
      <c r="L89" s="73"/>
      <c r="M89" s="73"/>
      <c r="O89" s="13">
        <f t="shared" ca="1" si="0"/>
        <v>-1.0129996174959059E-4</v>
      </c>
      <c r="P89" s="13">
        <f t="shared" ca="1" si="1"/>
        <v>-1.2942125451586593E-5</v>
      </c>
      <c r="Q89" s="13">
        <f t="shared" ca="1" si="2"/>
        <v>-5.2920009390513352E-5</v>
      </c>
      <c r="R89" s="13">
        <f t="shared" ca="1" si="3"/>
        <v>5.0585231972464571E-5</v>
      </c>
      <c r="S89" s="13">
        <f t="shared" ca="1" si="4"/>
        <v>3.7622944734846519E-5</v>
      </c>
      <c r="T89" s="13">
        <f t="shared" ca="1" si="5"/>
        <v>-1.0654967911304086E-5</v>
      </c>
      <c r="U89" s="13">
        <f t="shared" ca="1" si="6"/>
        <v>-7.4515364631702152E-5</v>
      </c>
      <c r="V89" s="13">
        <f t="shared" ca="1" si="7"/>
        <v>-5.3575440268974206E-5</v>
      </c>
      <c r="X89" s="3">
        <f t="shared" ca="1" si="8"/>
        <v>-1.0129996174959059E-4</v>
      </c>
      <c r="Y89" s="3">
        <f t="shared" ca="1" si="9"/>
        <v>-1.2942125451586593E-5</v>
      </c>
      <c r="Z89" s="3">
        <f t="shared" ca="1" si="10"/>
        <v>-5.2920009390513352E-5</v>
      </c>
      <c r="AA89" s="3">
        <f t="shared" ca="1" si="11"/>
        <v>5.0585231972464571E-5</v>
      </c>
      <c r="AB89" s="3">
        <f t="shared" ca="1" si="12"/>
        <v>3.7622944734846519E-5</v>
      </c>
      <c r="AC89" s="3">
        <f t="shared" ca="1" si="13"/>
        <v>-1.0654967911304086E-5</v>
      </c>
      <c r="AD89" s="3">
        <f t="shared" ca="1" si="14"/>
        <v>-7.4515364631702152E-5</v>
      </c>
      <c r="AE89" s="3">
        <f t="shared" ca="1" si="15"/>
        <v>-5.3575440268974206E-5</v>
      </c>
      <c r="AG89" s="3">
        <f t="shared" ca="1" si="16"/>
        <v>-1.0129996174959059E-4</v>
      </c>
      <c r="AH89" s="3">
        <f t="shared" ca="1" si="17"/>
        <v>-1.2942125451586593E-5</v>
      </c>
      <c r="AI89" s="3">
        <f t="shared" ca="1" si="18"/>
        <v>-5.2920009390513352E-5</v>
      </c>
      <c r="AJ89" s="3">
        <f t="shared" ca="1" si="19"/>
        <v>5.0585231972464571E-5</v>
      </c>
      <c r="AK89" s="3">
        <f t="shared" ca="1" si="20"/>
        <v>3.7622944734846519E-5</v>
      </c>
      <c r="AL89" s="3">
        <f t="shared" ca="1" si="21"/>
        <v>-1.0654967911304086E-5</v>
      </c>
      <c r="AM89" s="3">
        <f t="shared" ca="1" si="22"/>
        <v>-7.4515364631702152E-5</v>
      </c>
      <c r="AN89" s="3">
        <f t="shared" ca="1" si="23"/>
        <v>-5.3575440268974206E-5</v>
      </c>
      <c r="AP89" s="3" t="e">
        <f t="shared" ca="1" si="24"/>
        <v>#N/A</v>
      </c>
      <c r="AQ89" s="3" t="e">
        <f t="shared" ca="1" si="31"/>
        <v>#N/A</v>
      </c>
      <c r="AR89" s="3" t="e">
        <f t="shared" ca="1" si="25"/>
        <v>#N/A</v>
      </c>
      <c r="AS89" s="3" t="e">
        <f t="shared" ca="1" si="26"/>
        <v>#N/A</v>
      </c>
      <c r="AT89" s="3" t="e">
        <f t="shared" ca="1" si="27"/>
        <v>#N/A</v>
      </c>
      <c r="AU89" s="3" t="e">
        <f t="shared" ca="1" si="28"/>
        <v>#N/A</v>
      </c>
      <c r="AV89" s="10" t="e">
        <f t="shared" ca="1" si="32"/>
        <v>#N/A</v>
      </c>
      <c r="AW89" s="10" t="e">
        <f t="shared" ca="1" si="33"/>
        <v>#N/A</v>
      </c>
      <c r="AY89" s="3" t="e">
        <f t="shared" ca="1" si="39"/>
        <v>#N/A</v>
      </c>
      <c r="AZ89" s="3" t="e">
        <f t="shared" ca="1" si="34"/>
        <v>#N/A</v>
      </c>
      <c r="BA89" s="3" t="e">
        <f t="shared" ca="1" si="29"/>
        <v>#N/A</v>
      </c>
      <c r="BB89" s="3" t="e">
        <f t="shared" ca="1" si="35"/>
        <v>#N/A</v>
      </c>
      <c r="BC89" s="3" t="e">
        <f t="shared" ca="1" si="36"/>
        <v>#N/A</v>
      </c>
      <c r="BD89" s="3" t="e">
        <f t="shared" ca="1" si="30"/>
        <v>#N/A</v>
      </c>
      <c r="BE89" s="3" t="e">
        <f t="shared" ca="1" si="37"/>
        <v>#N/A</v>
      </c>
      <c r="BF89" s="3" t="e">
        <f t="shared" ca="1" si="38"/>
        <v>#N/A</v>
      </c>
    </row>
    <row r="90" spans="1:58" ht="15" x14ac:dyDescent="0.25">
      <c r="A90" s="72">
        <v>24</v>
      </c>
      <c r="B90" s="72">
        <v>1498730132.1059999</v>
      </c>
      <c r="C90" s="73">
        <v>3.1373726407745101E-4</v>
      </c>
      <c r="D90" s="73">
        <v>-9.21367743438774E-6</v>
      </c>
      <c r="E90" s="73">
        <v>8.7210773022596303E-4</v>
      </c>
      <c r="F90" s="73">
        <v>9.6768463161832E-5</v>
      </c>
      <c r="G90" s="73">
        <v>1.2184824996272199E-3</v>
      </c>
      <c r="H90" s="73">
        <v>-7.0692915439082698E-6</v>
      </c>
      <c r="I90" s="73">
        <v>7.3346420079068895E-4</v>
      </c>
      <c r="J90" s="73">
        <v>7.14633882777736E-3</v>
      </c>
      <c r="K90" s="73"/>
      <c r="L90" s="73"/>
      <c r="M90" s="73"/>
      <c r="O90" s="13">
        <f t="shared" ca="1" si="0"/>
        <v>4.9050034805889426E-5</v>
      </c>
      <c r="P90" s="13">
        <f t="shared" ca="1" si="1"/>
        <v>-2.0501152819227913E-5</v>
      </c>
      <c r="Q90" s="13">
        <f t="shared" ca="1" si="2"/>
        <v>3.1368112253277679E-5</v>
      </c>
      <c r="R90" s="13">
        <f t="shared" ca="1" si="3"/>
        <v>8.6992184271150879E-5</v>
      </c>
      <c r="S90" s="13">
        <f t="shared" ca="1" si="4"/>
        <v>8.3403866385846435E-5</v>
      </c>
      <c r="T90" s="13">
        <f t="shared" ca="1" si="5"/>
        <v>-7.4191130549323562E-6</v>
      </c>
      <c r="U90" s="13">
        <f t="shared" ca="1" si="6"/>
        <v>7.9620206002167771E-5</v>
      </c>
      <c r="V90" s="13">
        <f t="shared" ca="1" si="7"/>
        <v>7.5579053231958002E-6</v>
      </c>
      <c r="X90" s="3">
        <f t="shared" ca="1" si="8"/>
        <v>4.9050034805889426E-5</v>
      </c>
      <c r="Y90" s="3">
        <f t="shared" ca="1" si="9"/>
        <v>-2.0501152819227913E-5</v>
      </c>
      <c r="Z90" s="3">
        <f t="shared" ca="1" si="10"/>
        <v>3.1368112253277679E-5</v>
      </c>
      <c r="AA90" s="3">
        <f t="shared" ca="1" si="11"/>
        <v>8.6992184271150879E-5</v>
      </c>
      <c r="AB90" s="3">
        <f t="shared" ca="1" si="12"/>
        <v>8.3403866385846435E-5</v>
      </c>
      <c r="AC90" s="3">
        <f t="shared" ca="1" si="13"/>
        <v>-7.4191130549323562E-6</v>
      </c>
      <c r="AD90" s="3">
        <f t="shared" ca="1" si="14"/>
        <v>7.9620206002167771E-5</v>
      </c>
      <c r="AE90" s="3">
        <f t="shared" ca="1" si="15"/>
        <v>7.5579053231958002E-6</v>
      </c>
      <c r="AG90" s="3">
        <f t="shared" ca="1" si="16"/>
        <v>4.9050034805889426E-5</v>
      </c>
      <c r="AH90" s="3">
        <f t="shared" ca="1" si="17"/>
        <v>-2.0501152819227913E-5</v>
      </c>
      <c r="AI90" s="3">
        <f t="shared" ca="1" si="18"/>
        <v>3.1368112253277679E-5</v>
      </c>
      <c r="AJ90" s="3">
        <f t="shared" ca="1" si="19"/>
        <v>8.6992184271150879E-5</v>
      </c>
      <c r="AK90" s="3">
        <f t="shared" ca="1" si="20"/>
        <v>8.3403866385846435E-5</v>
      </c>
      <c r="AL90" s="3">
        <f t="shared" ca="1" si="21"/>
        <v>-7.4191130549323562E-6</v>
      </c>
      <c r="AM90" s="3">
        <f t="shared" ca="1" si="22"/>
        <v>7.9620206002167771E-5</v>
      </c>
      <c r="AN90" s="3">
        <f t="shared" ca="1" si="23"/>
        <v>7.5579053231958002E-6</v>
      </c>
      <c r="AP90" s="3">
        <f t="shared" ca="1" si="24"/>
        <v>9.0618164968888901E-2</v>
      </c>
      <c r="AQ90" s="3">
        <f t="shared" ca="1" si="31"/>
        <v>3.9499169238805601E-3</v>
      </c>
      <c r="AR90" s="3">
        <f t="shared" ca="1" si="25"/>
        <v>3.4361190089795514E-7</v>
      </c>
      <c r="AS90" s="3">
        <f t="shared" ca="1" si="26"/>
        <v>7.9276594101269812E-5</v>
      </c>
      <c r="AT90" s="3">
        <f t="shared" ca="1" si="27"/>
        <v>9.2877949802093323</v>
      </c>
      <c r="AU90" s="3">
        <f t="shared" ca="1" si="28"/>
        <v>3.6628277459423921E-3</v>
      </c>
      <c r="AV90" s="10" t="str">
        <f t="shared" ca="1" si="32"/>
        <v>rejected</v>
      </c>
      <c r="AW90" s="10" t="e">
        <f t="shared" ca="1" si="33"/>
        <v>#N/A</v>
      </c>
      <c r="AY90" s="3">
        <f t="shared" ca="1" si="39"/>
        <v>9.0618164968888901E-2</v>
      </c>
      <c r="AZ90" s="3">
        <f t="shared" ca="1" si="34"/>
        <v>3.9499169238805601E-3</v>
      </c>
      <c r="BA90" s="3">
        <f t="shared" ca="1" si="29"/>
        <v>3.4361190089795514E-7</v>
      </c>
      <c r="BB90" s="3">
        <f t="shared" ca="1" si="35"/>
        <v>7.9276594101269812E-5</v>
      </c>
      <c r="BC90" s="3">
        <f t="shared" ca="1" si="36"/>
        <v>9.2877949802093323</v>
      </c>
      <c r="BD90" s="3">
        <f t="shared" ca="1" si="30"/>
        <v>3.6628277459423921E-3</v>
      </c>
      <c r="BE90" s="3" t="str">
        <f t="shared" ca="1" si="37"/>
        <v>rejected</v>
      </c>
      <c r="BF90" s="3" t="e">
        <f t="shared" ca="1" si="38"/>
        <v>#N/A</v>
      </c>
    </row>
    <row r="91" spans="1:58" ht="15" x14ac:dyDescent="0.25">
      <c r="A91" s="72">
        <v>25</v>
      </c>
      <c r="B91" s="72">
        <v>1498730132.6329999</v>
      </c>
      <c r="C91" s="73">
        <v>2.69010532533129E-4</v>
      </c>
      <c r="D91" s="73">
        <v>-4.9842462877650903E-5</v>
      </c>
      <c r="E91" s="73">
        <v>7.7919963078129195E-4</v>
      </c>
      <c r="F91" s="73">
        <v>1.03431317059239E-4</v>
      </c>
      <c r="G91" s="73">
        <v>1.2025066275149E-3</v>
      </c>
      <c r="H91" s="73">
        <v>5.4833803131429798E-5</v>
      </c>
      <c r="I91" s="73">
        <v>6.2991287200189403E-4</v>
      </c>
      <c r="J91" s="73">
        <v>7.2791256483513596E-3</v>
      </c>
      <c r="K91" s="73"/>
      <c r="L91" s="73"/>
      <c r="M91" s="73"/>
      <c r="O91" s="13">
        <f t="shared" ca="1" si="0"/>
        <v>4.3233032615674211E-6</v>
      </c>
      <c r="P91" s="13">
        <f t="shared" ca="1" si="1"/>
        <v>-6.1129938262491075E-5</v>
      </c>
      <c r="Q91" s="13">
        <f t="shared" ca="1" si="2"/>
        <v>-6.1539987191393405E-5</v>
      </c>
      <c r="R91" s="13">
        <f t="shared" ca="1" si="3"/>
        <v>9.3655038168557884E-5</v>
      </c>
      <c r="S91" s="13">
        <f t="shared" ca="1" si="4"/>
        <v>6.742799427352647E-5</v>
      </c>
      <c r="T91" s="13">
        <f t="shared" ca="1" si="5"/>
        <v>5.4483981620405708E-5</v>
      </c>
      <c r="U91" s="13">
        <f t="shared" ca="1" si="6"/>
        <v>-2.3931122786627151E-5</v>
      </c>
      <c r="V91" s="13">
        <f t="shared" ca="1" si="7"/>
        <v>1.4034472589719536E-4</v>
      </c>
      <c r="X91" s="3">
        <f t="shared" ca="1" si="8"/>
        <v>4.3233032615674211E-6</v>
      </c>
      <c r="Y91" s="3">
        <f t="shared" ca="1" si="9"/>
        <v>-6.1129938262491075E-5</v>
      </c>
      <c r="Z91" s="3">
        <f t="shared" ca="1" si="10"/>
        <v>-6.1956830421576231E-5</v>
      </c>
      <c r="AA91" s="3">
        <f t="shared" ca="1" si="11"/>
        <v>8.3565537256178216E-5</v>
      </c>
      <c r="AB91" s="3">
        <f t="shared" ca="1" si="12"/>
        <v>-5.9458879484270783E-6</v>
      </c>
      <c r="AC91" s="3">
        <f t="shared" ca="1" si="13"/>
        <v>5.4483981620405708E-5</v>
      </c>
      <c r="AD91" s="3">
        <f t="shared" ca="1" si="14"/>
        <v>-1.3228667835971867E-4</v>
      </c>
      <c r="AE91" s="3">
        <f t="shared" ca="1" si="15"/>
        <v>9.6376562129129039E-5</v>
      </c>
      <c r="AG91" s="3">
        <f t="shared" ca="1" si="16"/>
        <v>4.3233032615674211E-6</v>
      </c>
      <c r="AH91" s="3">
        <f t="shared" ca="1" si="17"/>
        <v>-6.1129938262491075E-5</v>
      </c>
      <c r="AI91" s="3">
        <f t="shared" ca="1" si="18"/>
        <v>-6.1956830421576231E-5</v>
      </c>
      <c r="AJ91" s="3">
        <f t="shared" ca="1" si="19"/>
        <v>8.3565537256178216E-5</v>
      </c>
      <c r="AK91" s="3">
        <f t="shared" ca="1" si="20"/>
        <v>-5.9458879484270783E-6</v>
      </c>
      <c r="AL91" s="3">
        <f t="shared" ca="1" si="21"/>
        <v>5.4483981620405708E-5</v>
      </c>
      <c r="AM91" s="3">
        <f t="shared" ca="1" si="22"/>
        <v>-1.3228667835971867E-4</v>
      </c>
      <c r="AN91" s="3">
        <f t="shared" ca="1" si="23"/>
        <v>9.6376562129129039E-5</v>
      </c>
      <c r="AP91" s="3">
        <f t="shared" ca="1" si="24"/>
        <v>2.0814014625420558</v>
      </c>
      <c r="AQ91" s="3">
        <f t="shared" ca="1" si="31"/>
        <v>9.4240490367324029E-2</v>
      </c>
      <c r="AR91" s="3">
        <f t="shared" ca="1" si="25"/>
        <v>8.826096722375343E-6</v>
      </c>
      <c r="AS91" s="3">
        <f t="shared" ca="1" si="26"/>
        <v>-3.2757219509002492E-5</v>
      </c>
      <c r="AT91" s="3">
        <f t="shared" ca="1" si="27"/>
        <v>-0.97939827969950854</v>
      </c>
      <c r="AU91" s="3">
        <f t="shared" ca="1" si="28"/>
        <v>-0.21959335996808924</v>
      </c>
      <c r="AV91" s="10" t="str">
        <f t="shared" ca="1" si="32"/>
        <v>rejected</v>
      </c>
      <c r="AW91" s="10" t="e">
        <f t="shared" ca="1" si="33"/>
        <v>#N/A</v>
      </c>
      <c r="AY91" s="3" t="e">
        <f t="shared" ca="1" si="39"/>
        <v>#N/A</v>
      </c>
      <c r="AZ91" s="3" t="e">
        <f t="shared" ca="1" si="34"/>
        <v>#N/A</v>
      </c>
      <c r="BA91" s="3" t="e">
        <f t="shared" ca="1" si="29"/>
        <v>#N/A</v>
      </c>
      <c r="BB91" s="3" t="e">
        <f t="shared" ca="1" si="35"/>
        <v>#N/A</v>
      </c>
      <c r="BC91" s="3" t="e">
        <f t="shared" ca="1" si="36"/>
        <v>#N/A</v>
      </c>
      <c r="BD91" s="3" t="e">
        <f t="shared" ca="1" si="30"/>
        <v>#N/A</v>
      </c>
      <c r="BE91" s="3" t="e">
        <f t="shared" ca="1" si="37"/>
        <v>#N/A</v>
      </c>
      <c r="BF91" s="3" t="e">
        <f t="shared" ca="1" si="38"/>
        <v>#N/A</v>
      </c>
    </row>
    <row r="92" spans="1:58" ht="15" x14ac:dyDescent="0.25">
      <c r="A92" s="72">
        <v>26</v>
      </c>
      <c r="B92" s="72">
        <v>1498730133.1600001</v>
      </c>
      <c r="C92" s="73">
        <v>2.01448417729833E-4</v>
      </c>
      <c r="D92" s="73">
        <v>-7.1573455869685399E-5</v>
      </c>
      <c r="E92" s="73">
        <v>8.1846901707974295E-4</v>
      </c>
      <c r="F92" s="73">
        <v>1.27727248926355E-5</v>
      </c>
      <c r="G92" s="73">
        <v>1.15744173633684E-3</v>
      </c>
      <c r="H92" s="73">
        <v>-4.6010635377094703E-5</v>
      </c>
      <c r="I92" s="73">
        <v>5.60330516358489E-4</v>
      </c>
      <c r="J92" s="73">
        <v>7.1269954521753298E-3</v>
      </c>
      <c r="K92" s="73"/>
      <c r="L92" s="73"/>
      <c r="M92" s="73"/>
      <c r="O92" s="13">
        <f t="shared" ca="1" si="0"/>
        <v>-6.3238811541728587E-5</v>
      </c>
      <c r="P92" s="13">
        <f t="shared" ca="1" si="1"/>
        <v>-8.2860931254525577E-5</v>
      </c>
      <c r="Q92" s="13">
        <f t="shared" ca="1" si="2"/>
        <v>-2.2270600892942407E-5</v>
      </c>
      <c r="R92" s="13">
        <f t="shared" ca="1" si="3"/>
        <v>2.9964460019543742E-6</v>
      </c>
      <c r="S92" s="13">
        <f t="shared" ca="1" si="4"/>
        <v>2.2363103095466479E-5</v>
      </c>
      <c r="T92" s="13">
        <f t="shared" ca="1" si="5"/>
        <v>-4.6360456888118793E-5</v>
      </c>
      <c r="U92" s="13">
        <f t="shared" ca="1" si="6"/>
        <v>-9.3513478430032175E-5</v>
      </c>
      <c r="V92" s="13">
        <f t="shared" ca="1" si="7"/>
        <v>-1.1785470278834372E-5</v>
      </c>
      <c r="X92" s="3">
        <f t="shared" ca="1" si="8"/>
        <v>-6.3238811541728587E-5</v>
      </c>
      <c r="Y92" s="3">
        <f t="shared" ca="1" si="9"/>
        <v>-8.2860931254525577E-5</v>
      </c>
      <c r="Z92" s="3">
        <f t="shared" ca="1" si="10"/>
        <v>-2.2270600892942407E-5</v>
      </c>
      <c r="AA92" s="3">
        <f t="shared" ca="1" si="11"/>
        <v>2.9964460019543742E-6</v>
      </c>
      <c r="AB92" s="3">
        <f t="shared" ca="1" si="12"/>
        <v>2.2363103095466479E-5</v>
      </c>
      <c r="AC92" s="3">
        <f t="shared" ca="1" si="13"/>
        <v>-4.6360456888118793E-5</v>
      </c>
      <c r="AD92" s="3">
        <f t="shared" ca="1" si="14"/>
        <v>-9.3513478430032175E-5</v>
      </c>
      <c r="AE92" s="3">
        <f t="shared" ca="1" si="15"/>
        <v>-1.1785470278834372E-5</v>
      </c>
      <c r="AG92" s="3">
        <f t="shared" ca="1" si="16"/>
        <v>-6.3238811541728587E-5</v>
      </c>
      <c r="AH92" s="3">
        <f t="shared" ca="1" si="17"/>
        <v>-8.2860931254525577E-5</v>
      </c>
      <c r="AI92" s="3">
        <f t="shared" ca="1" si="18"/>
        <v>-2.2270600892942407E-5</v>
      </c>
      <c r="AJ92" s="3">
        <f t="shared" ca="1" si="19"/>
        <v>2.9964460019543742E-6</v>
      </c>
      <c r="AK92" s="3">
        <f t="shared" ca="1" si="20"/>
        <v>2.2363103095466479E-5</v>
      </c>
      <c r="AL92" s="3">
        <f t="shared" ca="1" si="21"/>
        <v>-4.6360456888118793E-5</v>
      </c>
      <c r="AM92" s="3">
        <f t="shared" ca="1" si="22"/>
        <v>-9.3513478430032175E-5</v>
      </c>
      <c r="AN92" s="3">
        <f t="shared" ca="1" si="23"/>
        <v>-1.1785470278834372E-5</v>
      </c>
      <c r="AP92" s="3" t="e">
        <f t="shared" ca="1" si="24"/>
        <v>#N/A</v>
      </c>
      <c r="AQ92" s="3" t="e">
        <f t="shared" ca="1" si="31"/>
        <v>#N/A</v>
      </c>
      <c r="AR92" s="3" t="e">
        <f t="shared" ca="1" si="25"/>
        <v>#N/A</v>
      </c>
      <c r="AS92" s="3" t="e">
        <f t="shared" ca="1" si="26"/>
        <v>#N/A</v>
      </c>
      <c r="AT92" s="3" t="e">
        <f t="shared" ca="1" si="27"/>
        <v>#N/A</v>
      </c>
      <c r="AU92" s="3" t="e">
        <f t="shared" ca="1" si="28"/>
        <v>#N/A</v>
      </c>
      <c r="AV92" s="10" t="e">
        <f t="shared" ca="1" si="32"/>
        <v>#N/A</v>
      </c>
      <c r="AW92" s="10" t="e">
        <f t="shared" ca="1" si="33"/>
        <v>#N/A</v>
      </c>
      <c r="AY92" s="3" t="e">
        <f t="shared" ca="1" si="39"/>
        <v>#N/A</v>
      </c>
      <c r="AZ92" s="3" t="e">
        <f t="shared" ca="1" si="34"/>
        <v>#N/A</v>
      </c>
      <c r="BA92" s="3" t="e">
        <f t="shared" ca="1" si="29"/>
        <v>#N/A</v>
      </c>
      <c r="BB92" s="3" t="e">
        <f t="shared" ca="1" si="35"/>
        <v>#N/A</v>
      </c>
      <c r="BC92" s="3" t="e">
        <f t="shared" ca="1" si="36"/>
        <v>#N/A</v>
      </c>
      <c r="BD92" s="3" t="e">
        <f t="shared" ca="1" si="30"/>
        <v>#N/A</v>
      </c>
      <c r="BE92" s="3" t="e">
        <f t="shared" ca="1" si="37"/>
        <v>#N/A</v>
      </c>
      <c r="BF92" s="3" t="e">
        <f t="shared" ca="1" si="38"/>
        <v>#N/A</v>
      </c>
    </row>
    <row r="93" spans="1:58" ht="15" x14ac:dyDescent="0.25">
      <c r="A93" s="72">
        <v>27</v>
      </c>
      <c r="B93" s="72">
        <v>1498730133.687</v>
      </c>
      <c r="C93" s="73">
        <v>1.8170401496549001E-4</v>
      </c>
      <c r="D93" s="73">
        <v>-2.3633113290010599E-6</v>
      </c>
      <c r="E93" s="73">
        <v>8.6564219795145895E-4</v>
      </c>
      <c r="F93" s="73">
        <v>-1.2686344458702E-5</v>
      </c>
      <c r="G93" s="73">
        <v>1.17770876423666E-3</v>
      </c>
      <c r="H93" s="73">
        <v>-1.01870513640116E-5</v>
      </c>
      <c r="I93" s="73">
        <v>6.1281368641800298E-4</v>
      </c>
      <c r="J93" s="73">
        <v>7.1511150273284802E-3</v>
      </c>
      <c r="K93" s="73"/>
      <c r="L93" s="73"/>
      <c r="M93" s="73"/>
      <c r="O93" s="13">
        <f t="shared" ca="1" si="0"/>
        <v>-8.2983214306071575E-5</v>
      </c>
      <c r="P93" s="13">
        <f t="shared" ca="1" si="1"/>
        <v>-1.3650786713841233E-5</v>
      </c>
      <c r="Q93" s="13">
        <f t="shared" ca="1" si="2"/>
        <v>2.4902579978773598E-5</v>
      </c>
      <c r="R93" s="13">
        <f t="shared" ca="1" si="3"/>
        <v>-2.2462623349383127E-5</v>
      </c>
      <c r="S93" s="13">
        <f t="shared" ca="1" si="4"/>
        <v>4.2630130995286548E-5</v>
      </c>
      <c r="T93" s="13">
        <f t="shared" ca="1" si="5"/>
        <v>-1.0536872875035686E-5</v>
      </c>
      <c r="U93" s="13">
        <f t="shared" ca="1" si="6"/>
        <v>-4.1030308370518199E-5</v>
      </c>
      <c r="V93" s="13">
        <f t="shared" ca="1" si="7"/>
        <v>1.2334104874315958E-5</v>
      </c>
      <c r="X93" s="3">
        <f t="shared" ca="1" si="8"/>
        <v>-8.2983214306071575E-5</v>
      </c>
      <c r="Y93" s="3">
        <f t="shared" ca="1" si="9"/>
        <v>-1.3650786713841233E-5</v>
      </c>
      <c r="Z93" s="3">
        <f t="shared" ca="1" si="10"/>
        <v>2.4902579978773598E-5</v>
      </c>
      <c r="AA93" s="3">
        <f t="shared" ca="1" si="11"/>
        <v>-2.2462623349383127E-5</v>
      </c>
      <c r="AB93" s="3">
        <f t="shared" ca="1" si="12"/>
        <v>4.2630130995286548E-5</v>
      </c>
      <c r="AC93" s="3">
        <f t="shared" ca="1" si="13"/>
        <v>-1.0536872875035686E-5</v>
      </c>
      <c r="AD93" s="3">
        <f t="shared" ca="1" si="14"/>
        <v>-4.1030308370518199E-5</v>
      </c>
      <c r="AE93" s="3">
        <f t="shared" ca="1" si="15"/>
        <v>1.2334104874315958E-5</v>
      </c>
      <c r="AG93" s="3">
        <f t="shared" ca="1" si="16"/>
        <v>-8.2983214306071575E-5</v>
      </c>
      <c r="AH93" s="3">
        <f t="shared" ca="1" si="17"/>
        <v>-1.3650786713841233E-5</v>
      </c>
      <c r="AI93" s="3">
        <f t="shared" ca="1" si="18"/>
        <v>2.4902579978773598E-5</v>
      </c>
      <c r="AJ93" s="3">
        <f t="shared" ca="1" si="19"/>
        <v>-2.2462623349383127E-5</v>
      </c>
      <c r="AK93" s="3">
        <f t="shared" ca="1" si="20"/>
        <v>4.2630130995286548E-5</v>
      </c>
      <c r="AL93" s="3">
        <f t="shared" ca="1" si="21"/>
        <v>-1.0536872875035686E-5</v>
      </c>
      <c r="AM93" s="3">
        <f t="shared" ca="1" si="22"/>
        <v>-4.1030308370518199E-5</v>
      </c>
      <c r="AN93" s="3">
        <f t="shared" ca="1" si="23"/>
        <v>1.2334104874315958E-5</v>
      </c>
      <c r="AP93" s="3">
        <f t="shared" ca="1" si="24"/>
        <v>0.28932833623428683</v>
      </c>
      <c r="AQ93" s="3">
        <f t="shared" ca="1" si="31"/>
        <v>1.2790240397336851E-2</v>
      </c>
      <c r="AR93" s="3">
        <f t="shared" ca="1" si="25"/>
        <v>-2.8730235259344208E-7</v>
      </c>
      <c r="AS93" s="3">
        <f t="shared" ca="1" si="26"/>
        <v>-4.0743006017924758E-5</v>
      </c>
      <c r="AT93" s="3">
        <f t="shared" ca="1" si="27"/>
        <v>-5.2046402625160058</v>
      </c>
      <c r="AU93" s="3">
        <f t="shared" ca="1" si="28"/>
        <v>1.8661218568415995E-2</v>
      </c>
      <c r="AV93" s="10" t="str">
        <f t="shared" ca="1" si="32"/>
        <v>rejected</v>
      </c>
      <c r="AW93" s="10" t="e">
        <f t="shared" ca="1" si="33"/>
        <v>#N/A</v>
      </c>
      <c r="AY93" s="3">
        <f t="shared" ca="1" si="39"/>
        <v>0.28932833623428683</v>
      </c>
      <c r="AZ93" s="3">
        <f t="shared" ca="1" si="34"/>
        <v>1.2790240397336851E-2</v>
      </c>
      <c r="BA93" s="3">
        <f t="shared" ca="1" si="29"/>
        <v>-2.8730235259344208E-7</v>
      </c>
      <c r="BB93" s="3">
        <f t="shared" ca="1" si="35"/>
        <v>-4.0743006017924758E-5</v>
      </c>
      <c r="BC93" s="3">
        <f t="shared" ca="1" si="36"/>
        <v>-5.2046402625160058</v>
      </c>
      <c r="BD93" s="3">
        <f t="shared" ca="1" si="30"/>
        <v>1.8661218568415995E-2</v>
      </c>
      <c r="BE93" s="3" t="str">
        <f t="shared" ca="1" si="37"/>
        <v>rejected</v>
      </c>
      <c r="BF93" s="3" t="e">
        <f t="shared" ca="1" si="38"/>
        <v>#N/A</v>
      </c>
    </row>
    <row r="94" spans="1:58" ht="15" x14ac:dyDescent="0.25">
      <c r="A94" s="72">
        <v>28</v>
      </c>
      <c r="B94" s="72">
        <v>1498730134.214</v>
      </c>
      <c r="C94" s="73">
        <v>2.3142259465206899E-4</v>
      </c>
      <c r="D94" s="73">
        <v>-3.9921633915265298E-5</v>
      </c>
      <c r="E94" s="73">
        <v>8.2182135281854795E-4</v>
      </c>
      <c r="F94" s="73">
        <v>-5.4323610482940297E-5</v>
      </c>
      <c r="G94" s="73">
        <v>1.0825765108899599E-3</v>
      </c>
      <c r="H94" s="73">
        <v>3.0847676351973998E-5</v>
      </c>
      <c r="I94" s="73">
        <v>6.81449690027736E-4</v>
      </c>
      <c r="J94" s="73">
        <v>7.2755430393622103E-3</v>
      </c>
      <c r="K94" s="73"/>
      <c r="L94" s="73"/>
      <c r="M94" s="73"/>
      <c r="O94" s="13">
        <f t="shared" ca="1" si="0"/>
        <v>-3.3264634619492589E-5</v>
      </c>
      <c r="P94" s="13">
        <f t="shared" ca="1" si="1"/>
        <v>-5.1209109300105469E-5</v>
      </c>
      <c r="Q94" s="13">
        <f t="shared" ca="1" si="2"/>
        <v>-1.89182651541374E-5</v>
      </c>
      <c r="R94" s="13">
        <f t="shared" ca="1" si="3"/>
        <v>-6.4099889373621418E-5</v>
      </c>
      <c r="S94" s="13">
        <f t="shared" ca="1" si="4"/>
        <v>-5.2502122351413567E-5</v>
      </c>
      <c r="T94" s="13">
        <f t="shared" ca="1" si="5"/>
        <v>3.0497854840949911E-5</v>
      </c>
      <c r="U94" s="13">
        <f t="shared" ca="1" si="6"/>
        <v>2.7605695239214822E-5</v>
      </c>
      <c r="V94" s="13">
        <f t="shared" ca="1" si="7"/>
        <v>1.3676211690804609E-4</v>
      </c>
      <c r="X94" s="3">
        <f t="shared" ca="1" si="8"/>
        <v>-3.3264634619492589E-5</v>
      </c>
      <c r="Y94" s="3">
        <f t="shared" ca="1" si="9"/>
        <v>-5.1209109300105469E-5</v>
      </c>
      <c r="Z94" s="3">
        <f t="shared" ca="1" si="10"/>
        <v>-1.9151596565452376E-5</v>
      </c>
      <c r="AA94" s="3">
        <f t="shared" ca="1" si="11"/>
        <v>-6.9747570124767947E-5</v>
      </c>
      <c r="AB94" s="3">
        <f t="shared" ca="1" si="12"/>
        <v>-9.3573753729469809E-5</v>
      </c>
      <c r="AC94" s="3">
        <f t="shared" ca="1" si="13"/>
        <v>3.0497854840949911E-5</v>
      </c>
      <c r="AD94" s="3">
        <f t="shared" ca="1" si="14"/>
        <v>-3.3047214236126469E-5</v>
      </c>
      <c r="AE94" s="3">
        <f t="shared" ca="1" si="15"/>
        <v>1.1215057721617849E-4</v>
      </c>
      <c r="AG94" s="3">
        <f t="shared" ca="1" si="16"/>
        <v>-3.3264634619492589E-5</v>
      </c>
      <c r="AH94" s="3">
        <f t="shared" ca="1" si="17"/>
        <v>-5.1209109300105469E-5</v>
      </c>
      <c r="AI94" s="3">
        <f t="shared" ca="1" si="18"/>
        <v>-1.9151596565452376E-5</v>
      </c>
      <c r="AJ94" s="3">
        <f t="shared" ca="1" si="19"/>
        <v>-6.9747570124767947E-5</v>
      </c>
      <c r="AK94" s="3">
        <f t="shared" ca="1" si="20"/>
        <v>-9.3573753729469809E-5</v>
      </c>
      <c r="AL94" s="3">
        <f t="shared" ca="1" si="21"/>
        <v>3.0497854840949911E-5</v>
      </c>
      <c r="AM94" s="3">
        <f t="shared" ca="1" si="22"/>
        <v>-3.3047214236126469E-5</v>
      </c>
      <c r="AN94" s="3">
        <f t="shared" ca="1" si="23"/>
        <v>1.1215057721617849E-4</v>
      </c>
      <c r="AP94" s="3" t="e">
        <f t="shared" ca="1" si="24"/>
        <v>#N/A</v>
      </c>
      <c r="AQ94" s="3" t="e">
        <f t="shared" ca="1" si="31"/>
        <v>#N/A</v>
      </c>
      <c r="AR94" s="3" t="e">
        <f t="shared" ca="1" si="25"/>
        <v>#N/A</v>
      </c>
      <c r="AS94" s="3" t="e">
        <f t="shared" ca="1" si="26"/>
        <v>#N/A</v>
      </c>
      <c r="AT94" s="3" t="e">
        <f t="shared" ca="1" si="27"/>
        <v>#N/A</v>
      </c>
      <c r="AU94" s="3" t="e">
        <f t="shared" ca="1" si="28"/>
        <v>#N/A</v>
      </c>
      <c r="AV94" s="10" t="e">
        <f t="shared" ca="1" si="32"/>
        <v>#N/A</v>
      </c>
      <c r="AW94" s="10" t="e">
        <f t="shared" ca="1" si="33"/>
        <v>#N/A</v>
      </c>
      <c r="AY94" s="3" t="e">
        <f t="shared" ca="1" si="39"/>
        <v>#N/A</v>
      </c>
      <c r="AZ94" s="3" t="e">
        <f t="shared" ca="1" si="34"/>
        <v>#N/A</v>
      </c>
      <c r="BA94" s="3" t="e">
        <f t="shared" ca="1" si="29"/>
        <v>#N/A</v>
      </c>
      <c r="BB94" s="3" t="e">
        <f t="shared" ca="1" si="35"/>
        <v>#N/A</v>
      </c>
      <c r="BC94" s="3" t="e">
        <f t="shared" ca="1" si="36"/>
        <v>#N/A</v>
      </c>
      <c r="BD94" s="3" t="e">
        <f t="shared" ca="1" si="30"/>
        <v>#N/A</v>
      </c>
      <c r="BE94" s="3" t="e">
        <f t="shared" ca="1" si="37"/>
        <v>#N/A</v>
      </c>
      <c r="BF94" s="3" t="e">
        <f t="shared" ca="1" si="38"/>
        <v>#N/A</v>
      </c>
    </row>
    <row r="95" spans="1:58" ht="15" x14ac:dyDescent="0.25">
      <c r="A95" s="72">
        <v>29</v>
      </c>
      <c r="B95" s="72">
        <v>1498730134.7409999</v>
      </c>
      <c r="C95" s="73">
        <v>2.3594258828941699E-4</v>
      </c>
      <c r="D95" s="73">
        <v>2.3611066463332701E-6</v>
      </c>
      <c r="E95" s="73">
        <v>8.4935881939663001E-4</v>
      </c>
      <c r="F95" s="73">
        <v>-2.1251866731575702E-5</v>
      </c>
      <c r="G95" s="73">
        <v>1.1862925704222401E-3</v>
      </c>
      <c r="H95" s="73">
        <v>-1.4036877113054001E-5</v>
      </c>
      <c r="I95" s="73">
        <v>6.5199975376829702E-4</v>
      </c>
      <c r="J95" s="73">
        <v>7.0969064982695203E-3</v>
      </c>
      <c r="K95" s="73"/>
      <c r="L95" s="73"/>
      <c r="M95" s="73"/>
      <c r="O95" s="13">
        <f t="shared" ca="1" si="0"/>
        <v>-2.8744640982144594E-5</v>
      </c>
      <c r="P95" s="13">
        <f t="shared" ca="1" si="1"/>
        <v>-8.926368738506904E-6</v>
      </c>
      <c r="Q95" s="13">
        <f t="shared" ca="1" si="2"/>
        <v>8.6192014239446554E-6</v>
      </c>
      <c r="R95" s="13">
        <f t="shared" ca="1" si="3"/>
        <v>-3.1028145622256829E-5</v>
      </c>
      <c r="S95" s="13">
        <f t="shared" ca="1" si="4"/>
        <v>5.1213937180866588E-5</v>
      </c>
      <c r="T95" s="13">
        <f t="shared" ca="1" si="5"/>
        <v>-1.4386698624078087E-5</v>
      </c>
      <c r="U95" s="13">
        <f t="shared" ca="1" si="6"/>
        <v>-1.8442410202241556E-6</v>
      </c>
      <c r="V95" s="13">
        <f t="shared" ca="1" si="7"/>
        <v>-4.1874424184643912E-5</v>
      </c>
      <c r="X95" s="3">
        <f t="shared" ca="1" si="8"/>
        <v>-2.8744640982144594E-5</v>
      </c>
      <c r="Y95" s="3">
        <f t="shared" ca="1" si="9"/>
        <v>-8.926368738506904E-6</v>
      </c>
      <c r="Z95" s="3">
        <f t="shared" ca="1" si="10"/>
        <v>8.6192014239446554E-6</v>
      </c>
      <c r="AA95" s="3">
        <f t="shared" ca="1" si="11"/>
        <v>-3.1028145622256829E-5</v>
      </c>
      <c r="AB95" s="3">
        <f t="shared" ca="1" si="12"/>
        <v>5.1213937180866588E-5</v>
      </c>
      <c r="AC95" s="3">
        <f t="shared" ca="1" si="13"/>
        <v>-1.4386698624078087E-5</v>
      </c>
      <c r="AD95" s="3">
        <f t="shared" ca="1" si="14"/>
        <v>-1.8442410202241556E-6</v>
      </c>
      <c r="AE95" s="3">
        <f t="shared" ca="1" si="15"/>
        <v>-4.1874424184643912E-5</v>
      </c>
      <c r="AG95" s="3">
        <f t="shared" ca="1" si="16"/>
        <v>-2.8744640982144594E-5</v>
      </c>
      <c r="AH95" s="3">
        <f t="shared" ca="1" si="17"/>
        <v>-8.926368738506904E-6</v>
      </c>
      <c r="AI95" s="3">
        <f t="shared" ca="1" si="18"/>
        <v>8.6192014239446554E-6</v>
      </c>
      <c r="AJ95" s="3">
        <f t="shared" ca="1" si="19"/>
        <v>-3.1028145622256829E-5</v>
      </c>
      <c r="AK95" s="3">
        <f t="shared" ca="1" si="20"/>
        <v>5.1213937180866588E-5</v>
      </c>
      <c r="AL95" s="3">
        <f t="shared" ca="1" si="21"/>
        <v>-1.4386698624078087E-5</v>
      </c>
      <c r="AM95" s="3">
        <f t="shared" ca="1" si="22"/>
        <v>-1.8442410202241556E-6</v>
      </c>
      <c r="AN95" s="3">
        <f t="shared" ca="1" si="23"/>
        <v>-4.1874424184643912E-5</v>
      </c>
      <c r="AP95" s="3" t="e">
        <f t="shared" ca="1" si="24"/>
        <v>#N/A</v>
      </c>
      <c r="AQ95" s="3" t="e">
        <f t="shared" ca="1" si="31"/>
        <v>#N/A</v>
      </c>
      <c r="AR95" s="3" t="e">
        <f t="shared" ca="1" si="25"/>
        <v>#N/A</v>
      </c>
      <c r="AS95" s="3" t="e">
        <f t="shared" ca="1" si="26"/>
        <v>#N/A</v>
      </c>
      <c r="AT95" s="3" t="e">
        <f t="shared" ca="1" si="27"/>
        <v>#N/A</v>
      </c>
      <c r="AU95" s="3" t="e">
        <f t="shared" ca="1" si="28"/>
        <v>#N/A</v>
      </c>
      <c r="AV95" s="10" t="e">
        <f t="shared" ca="1" si="32"/>
        <v>#N/A</v>
      </c>
      <c r="AW95" s="10" t="e">
        <f t="shared" ca="1" si="33"/>
        <v>#N/A</v>
      </c>
      <c r="AY95" s="3" t="e">
        <f t="shared" ca="1" si="39"/>
        <v>#N/A</v>
      </c>
      <c r="AZ95" s="3" t="e">
        <f t="shared" ca="1" si="34"/>
        <v>#N/A</v>
      </c>
      <c r="BA95" s="3" t="e">
        <f t="shared" ca="1" si="29"/>
        <v>#N/A</v>
      </c>
      <c r="BB95" s="3" t="e">
        <f t="shared" ca="1" si="35"/>
        <v>#N/A</v>
      </c>
      <c r="BC95" s="3" t="e">
        <f t="shared" ca="1" si="36"/>
        <v>#N/A</v>
      </c>
      <c r="BD95" s="3" t="e">
        <f t="shared" ca="1" si="30"/>
        <v>#N/A</v>
      </c>
      <c r="BE95" s="3" t="e">
        <f t="shared" ca="1" si="37"/>
        <v>#N/A</v>
      </c>
      <c r="BF95" s="3" t="e">
        <f t="shared" ca="1" si="38"/>
        <v>#N/A</v>
      </c>
    </row>
    <row r="96" spans="1:58" ht="15" x14ac:dyDescent="0.25">
      <c r="A96" s="72">
        <v>30</v>
      </c>
      <c r="B96" s="72">
        <v>1498730135.2679999</v>
      </c>
      <c r="C96" s="73">
        <v>2.55688063565081E-4</v>
      </c>
      <c r="D96" s="73">
        <v>-4.6063111160690498E-5</v>
      </c>
      <c r="E96" s="73">
        <v>7.8303072290218797E-4</v>
      </c>
      <c r="F96" s="73">
        <v>-8.8794220879735401E-6</v>
      </c>
      <c r="G96" s="73">
        <v>9.8125511331087793E-4</v>
      </c>
      <c r="H96" s="73">
        <v>-4.1359259682419497E-5</v>
      </c>
      <c r="I96" s="73">
        <v>6.3751260410322102E-4</v>
      </c>
      <c r="J96" s="73">
        <v>6.9486241260927903E-3</v>
      </c>
      <c r="K96" s="73"/>
      <c r="L96" s="73"/>
      <c r="M96" s="73"/>
      <c r="O96" s="13">
        <f t="shared" ca="1" si="0"/>
        <v>-8.9991657064805871E-6</v>
      </c>
      <c r="P96" s="13">
        <f t="shared" ca="1" si="1"/>
        <v>-5.735058654553067E-5</v>
      </c>
      <c r="Q96" s="13">
        <f t="shared" ca="1" si="2"/>
        <v>-5.7708895070497385E-5</v>
      </c>
      <c r="R96" s="13">
        <f t="shared" ca="1" si="3"/>
        <v>-1.8655700978654666E-5</v>
      </c>
      <c r="S96" s="13">
        <f t="shared" ca="1" si="4"/>
        <v>-1.5382351993049556E-4</v>
      </c>
      <c r="T96" s="13">
        <f t="shared" ca="1" si="5"/>
        <v>-4.1709081193443587E-5</v>
      </c>
      <c r="U96" s="13">
        <f t="shared" ca="1" si="6"/>
        <v>-1.6331390685300155E-5</v>
      </c>
      <c r="V96" s="13">
        <f t="shared" ca="1" si="7"/>
        <v>-1.901567963613739E-4</v>
      </c>
      <c r="X96" s="3">
        <f t="shared" ca="1" si="8"/>
        <v>-8.9991657064805871E-6</v>
      </c>
      <c r="Y96" s="3">
        <f t="shared" ca="1" si="9"/>
        <v>-5.735058654553067E-5</v>
      </c>
      <c r="Z96" s="3">
        <f t="shared" ca="1" si="10"/>
        <v>-5.7708895070497385E-5</v>
      </c>
      <c r="AA96" s="3">
        <f t="shared" ca="1" si="11"/>
        <v>-1.8655700978654666E-5</v>
      </c>
      <c r="AB96" s="3">
        <f t="shared" ca="1" si="12"/>
        <v>-1.5382351993049556E-4</v>
      </c>
      <c r="AC96" s="3">
        <f t="shared" ca="1" si="13"/>
        <v>-4.1709081193443587E-5</v>
      </c>
      <c r="AD96" s="3">
        <f t="shared" ca="1" si="14"/>
        <v>-1.6331390685300155E-5</v>
      </c>
      <c r="AE96" s="3">
        <f t="shared" ca="1" si="15"/>
        <v>-1.901567963613739E-4</v>
      </c>
      <c r="AG96" s="3">
        <f t="shared" ca="1" si="16"/>
        <v>-8.9991657064805871E-6</v>
      </c>
      <c r="AH96" s="3">
        <f t="shared" ca="1" si="17"/>
        <v>-5.735058654553067E-5</v>
      </c>
      <c r="AI96" s="3">
        <f t="shared" ca="1" si="18"/>
        <v>-5.7708895070497385E-5</v>
      </c>
      <c r="AJ96" s="3">
        <f t="shared" ca="1" si="19"/>
        <v>-1.8655700978654666E-5</v>
      </c>
      <c r="AK96" s="3">
        <f t="shared" ca="1" si="20"/>
        <v>-1.5382351993049556E-4</v>
      </c>
      <c r="AL96" s="3">
        <f t="shared" ca="1" si="21"/>
        <v>-4.1709081193443587E-5</v>
      </c>
      <c r="AM96" s="3">
        <f t="shared" ca="1" si="22"/>
        <v>-1.6331390685300155E-5</v>
      </c>
      <c r="AN96" s="3">
        <f t="shared" ca="1" si="23"/>
        <v>-1.901567963613739E-4</v>
      </c>
      <c r="AP96" s="3" t="e">
        <f t="shared" ca="1" si="24"/>
        <v>#N/A</v>
      </c>
      <c r="AQ96" s="3" t="e">
        <f t="shared" ca="1" si="31"/>
        <v>#N/A</v>
      </c>
      <c r="AR96" s="3" t="e">
        <f t="shared" ca="1" si="25"/>
        <v>#N/A</v>
      </c>
      <c r="AS96" s="3" t="e">
        <f t="shared" ca="1" si="26"/>
        <v>#N/A</v>
      </c>
      <c r="AT96" s="3" t="e">
        <f t="shared" ca="1" si="27"/>
        <v>#N/A</v>
      </c>
      <c r="AU96" s="3" t="e">
        <f t="shared" ca="1" si="28"/>
        <v>#N/A</v>
      </c>
      <c r="AV96" s="10" t="e">
        <f t="shared" ca="1" si="32"/>
        <v>#N/A</v>
      </c>
      <c r="AW96" s="10" t="e">
        <f t="shared" ca="1" si="33"/>
        <v>#N/A</v>
      </c>
      <c r="AY96" s="3" t="e">
        <f t="shared" ca="1" si="39"/>
        <v>#N/A</v>
      </c>
      <c r="AZ96" s="3" t="e">
        <f t="shared" ca="1" si="34"/>
        <v>#N/A</v>
      </c>
      <c r="BA96" s="3" t="e">
        <f t="shared" ca="1" si="29"/>
        <v>#N/A</v>
      </c>
      <c r="BB96" s="3" t="e">
        <f t="shared" ca="1" si="35"/>
        <v>#N/A</v>
      </c>
      <c r="BC96" s="3" t="e">
        <f t="shared" ca="1" si="36"/>
        <v>#N/A</v>
      </c>
      <c r="BD96" s="3" t="e">
        <f t="shared" ca="1" si="30"/>
        <v>#N/A</v>
      </c>
      <c r="BE96" s="3" t="e">
        <f t="shared" ca="1" si="37"/>
        <v>#N/A</v>
      </c>
      <c r="BF96" s="3" t="e">
        <f t="shared" ca="1" si="38"/>
        <v>#N/A</v>
      </c>
    </row>
    <row r="97" spans="1:58" ht="15" x14ac:dyDescent="0.25">
      <c r="A97" s="72">
        <v>31</v>
      </c>
      <c r="B97" s="72">
        <v>1498730135.796</v>
      </c>
      <c r="C97" s="73">
        <v>2.42127875896306E-4</v>
      </c>
      <c r="D97" s="73">
        <v>-2.5512634228454201E-5</v>
      </c>
      <c r="E97" s="73">
        <v>8.0745427834937695E-4</v>
      </c>
      <c r="F97" s="73">
        <v>-3.4100012387497199E-5</v>
      </c>
      <c r="G97" s="73">
        <v>1.0742320079878799E-3</v>
      </c>
      <c r="H97" s="73">
        <v>-8.53370609041688E-6</v>
      </c>
      <c r="I97" s="73">
        <v>6.9403742795190796E-4</v>
      </c>
      <c r="J97" s="73">
        <v>7.1066972492784004E-3</v>
      </c>
      <c r="K97" s="73"/>
      <c r="L97" s="73"/>
      <c r="M97" s="73"/>
      <c r="O97" s="13">
        <f t="shared" ca="1" si="0"/>
        <v>-2.2559353375255583E-5</v>
      </c>
      <c r="P97" s="13">
        <f t="shared" ca="1" si="1"/>
        <v>-3.6800109613294373E-5</v>
      </c>
      <c r="Q97" s="13">
        <f t="shared" ca="1" si="2"/>
        <v>-3.3285339623308403E-5</v>
      </c>
      <c r="R97" s="13">
        <f t="shared" ca="1" si="3"/>
        <v>-4.3876291278178326E-5</v>
      </c>
      <c r="S97" s="13">
        <f t="shared" ca="1" si="4"/>
        <v>-6.0846625253493545E-5</v>
      </c>
      <c r="T97" s="13">
        <f t="shared" ca="1" si="5"/>
        <v>-8.8835276014409664E-6</v>
      </c>
      <c r="U97" s="13">
        <f t="shared" ca="1" si="6"/>
        <v>4.0193433163386778E-5</v>
      </c>
      <c r="V97" s="13">
        <f t="shared" ca="1" si="7"/>
        <v>-3.2083673175763855E-5</v>
      </c>
      <c r="X97" s="3">
        <f t="shared" ca="1" si="8"/>
        <v>-2.2559353375255583E-5</v>
      </c>
      <c r="Y97" s="3">
        <f t="shared" ca="1" si="9"/>
        <v>-3.6800109613294373E-5</v>
      </c>
      <c r="Z97" s="3">
        <f t="shared" ca="1" si="10"/>
        <v>-3.3285339623308403E-5</v>
      </c>
      <c r="AA97" s="3">
        <f t="shared" ca="1" si="11"/>
        <v>-4.3876291278178326E-5</v>
      </c>
      <c r="AB97" s="3">
        <f t="shared" ca="1" si="12"/>
        <v>-6.0846625253493545E-5</v>
      </c>
      <c r="AC97" s="3">
        <f t="shared" ca="1" si="13"/>
        <v>-8.8835276014409664E-6</v>
      </c>
      <c r="AD97" s="3">
        <f t="shared" ca="1" si="14"/>
        <v>4.0193433163386778E-5</v>
      </c>
      <c r="AE97" s="3">
        <f t="shared" ca="1" si="15"/>
        <v>-3.2083673175763855E-5</v>
      </c>
      <c r="AG97" s="3">
        <f t="shared" ca="1" si="16"/>
        <v>-2.2559353375255583E-5</v>
      </c>
      <c r="AH97" s="3">
        <f t="shared" ca="1" si="17"/>
        <v>-3.6800109613294373E-5</v>
      </c>
      <c r="AI97" s="3">
        <f t="shared" ca="1" si="18"/>
        <v>-3.3285339623308403E-5</v>
      </c>
      <c r="AJ97" s="3">
        <f t="shared" ca="1" si="19"/>
        <v>-4.3876291278178326E-5</v>
      </c>
      <c r="AK97" s="3">
        <f t="shared" ca="1" si="20"/>
        <v>-6.0846625253493545E-5</v>
      </c>
      <c r="AL97" s="3">
        <f t="shared" ca="1" si="21"/>
        <v>-8.8835276014409664E-6</v>
      </c>
      <c r="AM97" s="3">
        <f t="shared" ca="1" si="22"/>
        <v>4.0193433163386778E-5</v>
      </c>
      <c r="AN97" s="3">
        <f t="shared" ca="1" si="23"/>
        <v>-3.2083673175763855E-5</v>
      </c>
      <c r="AP97" s="3" t="e">
        <f t="shared" ca="1" si="24"/>
        <v>#N/A</v>
      </c>
      <c r="AQ97" s="3" t="e">
        <f t="shared" ca="1" si="31"/>
        <v>#N/A</v>
      </c>
      <c r="AR97" s="3" t="e">
        <f t="shared" ca="1" si="25"/>
        <v>#N/A</v>
      </c>
      <c r="AS97" s="3" t="e">
        <f t="shared" ca="1" si="26"/>
        <v>#N/A</v>
      </c>
      <c r="AT97" s="3" t="e">
        <f t="shared" ca="1" si="27"/>
        <v>#N/A</v>
      </c>
      <c r="AU97" s="3" t="e">
        <f t="shared" ca="1" si="28"/>
        <v>#N/A</v>
      </c>
      <c r="AV97" s="10" t="e">
        <f t="shared" ca="1" si="32"/>
        <v>#N/A</v>
      </c>
      <c r="AW97" s="10" t="e">
        <f t="shared" ca="1" si="33"/>
        <v>#N/A</v>
      </c>
      <c r="AY97" s="3" t="e">
        <f t="shared" ca="1" si="39"/>
        <v>#N/A</v>
      </c>
      <c r="AZ97" s="3" t="e">
        <f t="shared" ca="1" si="34"/>
        <v>#N/A</v>
      </c>
      <c r="BA97" s="3" t="e">
        <f t="shared" ca="1" si="29"/>
        <v>#N/A</v>
      </c>
      <c r="BB97" s="3" t="e">
        <f t="shared" ca="1" si="35"/>
        <v>#N/A</v>
      </c>
      <c r="BC97" s="3" t="e">
        <f t="shared" ca="1" si="36"/>
        <v>#N/A</v>
      </c>
      <c r="BD97" s="3" t="e">
        <f t="shared" ca="1" si="30"/>
        <v>#N/A</v>
      </c>
      <c r="BE97" s="3" t="e">
        <f t="shared" ca="1" si="37"/>
        <v>#N/A</v>
      </c>
      <c r="BF97" s="3" t="e">
        <f t="shared" ca="1" si="38"/>
        <v>#N/A</v>
      </c>
    </row>
    <row r="98" spans="1:58" ht="15" x14ac:dyDescent="0.25">
      <c r="A98" s="72">
        <v>32</v>
      </c>
      <c r="B98" s="72">
        <v>1498730136.323</v>
      </c>
      <c r="C98" s="73">
        <v>2.3522890372339799E-4</v>
      </c>
      <c r="D98" s="73">
        <v>1.09375199443562E-4</v>
      </c>
      <c r="E98" s="73">
        <v>9.0611232504319401E-4</v>
      </c>
      <c r="F98" s="73">
        <v>2.75250060088324E-5</v>
      </c>
      <c r="G98" s="73">
        <v>1.2733269869647399E-3</v>
      </c>
      <c r="H98" s="73">
        <v>-2.8490103750781E-5</v>
      </c>
      <c r="I98" s="73">
        <v>6.6814961117639697E-4</v>
      </c>
      <c r="J98" s="73">
        <v>7.1150552830748E-3</v>
      </c>
      <c r="K98" s="73"/>
      <c r="L98" s="73"/>
      <c r="M98" s="73"/>
      <c r="O98" s="13">
        <f t="shared" ca="1" si="0"/>
        <v>-2.9458325548163596E-5</v>
      </c>
      <c r="P98" s="13">
        <f t="shared" ca="1" si="1"/>
        <v>9.8087724058721818E-5</v>
      </c>
      <c r="Q98" s="13">
        <f t="shared" ca="1" si="2"/>
        <v>6.5372707070508653E-5</v>
      </c>
      <c r="R98" s="13">
        <f t="shared" ca="1" si="3"/>
        <v>1.7748727118151273E-5</v>
      </c>
      <c r="S98" s="13">
        <f t="shared" ca="1" si="4"/>
        <v>1.3824835372336646E-4</v>
      </c>
      <c r="T98" s="13">
        <f t="shared" ca="1" si="5"/>
        <v>-2.8839925261805087E-5</v>
      </c>
      <c r="U98" s="13">
        <f t="shared" ca="1" si="6"/>
        <v>1.4305616387875792E-5</v>
      </c>
      <c r="V98" s="13">
        <f t="shared" ca="1" si="7"/>
        <v>-2.3725639379364172E-5</v>
      </c>
      <c r="X98" s="3">
        <f t="shared" ca="1" si="8"/>
        <v>-2.9458325548163596E-5</v>
      </c>
      <c r="Y98" s="3">
        <f t="shared" ca="1" si="9"/>
        <v>9.8087724058721818E-5</v>
      </c>
      <c r="Z98" s="3">
        <f t="shared" ca="1" si="10"/>
        <v>6.5372707070508653E-5</v>
      </c>
      <c r="AA98" s="3">
        <f t="shared" ca="1" si="11"/>
        <v>1.7748727118151273E-5</v>
      </c>
      <c r="AB98" s="3">
        <f t="shared" ca="1" si="12"/>
        <v>1.3824835372336646E-4</v>
      </c>
      <c r="AC98" s="3">
        <f t="shared" ca="1" si="13"/>
        <v>-2.8839925261805087E-5</v>
      </c>
      <c r="AD98" s="3">
        <f t="shared" ca="1" si="14"/>
        <v>1.4305616387875792E-5</v>
      </c>
      <c r="AE98" s="3">
        <f t="shared" ca="1" si="15"/>
        <v>-2.3725639379364172E-5</v>
      </c>
      <c r="AG98" s="3">
        <f t="shared" ca="1" si="16"/>
        <v>-2.9458325548163596E-5</v>
      </c>
      <c r="AH98" s="3">
        <f t="shared" ca="1" si="17"/>
        <v>9.8087724058721818E-5</v>
      </c>
      <c r="AI98" s="3">
        <f t="shared" ca="1" si="18"/>
        <v>-1.363643437639865E-5</v>
      </c>
      <c r="AJ98" s="3">
        <f t="shared" ca="1" si="19"/>
        <v>-2.5880333235034913E-5</v>
      </c>
      <c r="AK98" s="3">
        <f t="shared" ca="1" si="20"/>
        <v>1.3824835372336646E-4</v>
      </c>
      <c r="AL98" s="3">
        <f t="shared" ca="1" si="21"/>
        <v>-2.8839925261805087E-5</v>
      </c>
      <c r="AM98" s="3">
        <f t="shared" ca="1" si="22"/>
        <v>1.4305616387875792E-5</v>
      </c>
      <c r="AN98" s="3">
        <f t="shared" ca="1" si="23"/>
        <v>-2.3725639379364172E-5</v>
      </c>
      <c r="AP98" s="3" t="e">
        <f t="shared" ca="1" si="24"/>
        <v>#N/A</v>
      </c>
      <c r="AQ98" s="3" t="e">
        <f t="shared" ca="1" si="31"/>
        <v>#N/A</v>
      </c>
      <c r="AR98" s="3" t="e">
        <f t="shared" ca="1" si="25"/>
        <v>#N/A</v>
      </c>
      <c r="AS98" s="3" t="e">
        <f t="shared" ca="1" si="26"/>
        <v>#N/A</v>
      </c>
      <c r="AT98" s="3" t="e">
        <f t="shared" ca="1" si="27"/>
        <v>#N/A</v>
      </c>
      <c r="AU98" s="3" t="e">
        <f t="shared" ca="1" si="28"/>
        <v>#N/A</v>
      </c>
      <c r="AV98" s="10" t="e">
        <f t="shared" ca="1" si="32"/>
        <v>#N/A</v>
      </c>
      <c r="AW98" s="10" t="e">
        <f t="shared" ca="1" si="33"/>
        <v>#N/A</v>
      </c>
      <c r="AY98" s="3" t="e">
        <f t="shared" ca="1" si="39"/>
        <v>#N/A</v>
      </c>
      <c r="AZ98" s="3" t="e">
        <f t="shared" ca="1" si="34"/>
        <v>#N/A</v>
      </c>
      <c r="BA98" s="3" t="e">
        <f t="shared" ca="1" si="29"/>
        <v>#N/A</v>
      </c>
      <c r="BB98" s="3" t="e">
        <f t="shared" ca="1" si="35"/>
        <v>#N/A</v>
      </c>
      <c r="BC98" s="3" t="e">
        <f t="shared" ca="1" si="36"/>
        <v>#N/A</v>
      </c>
      <c r="BD98" s="3" t="e">
        <f t="shared" ca="1" si="30"/>
        <v>#N/A</v>
      </c>
      <c r="BE98" s="3" t="e">
        <f t="shared" ca="1" si="37"/>
        <v>#N/A</v>
      </c>
      <c r="BF98" s="3" t="e">
        <f t="shared" ca="1" si="38"/>
        <v>#N/A</v>
      </c>
    </row>
    <row r="99" spans="1:58" ht="15" x14ac:dyDescent="0.25">
      <c r="A99" s="72">
        <v>33</v>
      </c>
      <c r="B99" s="72">
        <v>1498730136.8499999</v>
      </c>
      <c r="C99" s="73">
        <v>1.7884943482076199E-4</v>
      </c>
      <c r="D99" s="73">
        <v>2.3148812997077699E-5</v>
      </c>
      <c r="E99" s="73">
        <v>8.0721482884753802E-4</v>
      </c>
      <c r="F99" s="73">
        <v>-2.8865602629942E-5</v>
      </c>
      <c r="G99" s="73">
        <v>1.1157167953182599E-3</v>
      </c>
      <c r="H99" s="73">
        <v>-2.7231597681972399E-6</v>
      </c>
      <c r="I99" s="73">
        <v>6.8786229139089201E-4</v>
      </c>
      <c r="J99" s="73">
        <v>7.1176821080810096E-3</v>
      </c>
      <c r="K99" s="73"/>
      <c r="L99" s="73"/>
      <c r="M99" s="73"/>
      <c r="O99" s="13">
        <f t="shared" ca="1" si="0"/>
        <v>-8.5837794450799591E-5</v>
      </c>
      <c r="P99" s="13">
        <f t="shared" ca="1" si="1"/>
        <v>1.1861337612237526E-5</v>
      </c>
      <c r="Q99" s="13">
        <f t="shared" ca="1" si="2"/>
        <v>-3.3524789125147334E-5</v>
      </c>
      <c r="R99" s="13">
        <f t="shared" ca="1" si="3"/>
        <v>-3.8641881520623124E-5</v>
      </c>
      <c r="S99" s="13">
        <f t="shared" ca="1" si="4"/>
        <v>-1.9361837923113565E-5</v>
      </c>
      <c r="T99" s="13">
        <f t="shared" ca="1" si="5"/>
        <v>-3.0729812792213263E-6</v>
      </c>
      <c r="U99" s="13">
        <f t="shared" ca="1" si="6"/>
        <v>3.4018296602370836E-5</v>
      </c>
      <c r="V99" s="13">
        <f t="shared" ca="1" si="7"/>
        <v>-2.1098814373154626E-5</v>
      </c>
      <c r="X99" s="3">
        <f t="shared" ca="1" si="8"/>
        <v>-8.5837794450799591E-5</v>
      </c>
      <c r="Y99" s="3">
        <f t="shared" ca="1" si="9"/>
        <v>1.1861337612237526E-5</v>
      </c>
      <c r="Z99" s="3">
        <f t="shared" ca="1" si="10"/>
        <v>-3.3524789125147334E-5</v>
      </c>
      <c r="AA99" s="3">
        <f t="shared" ca="1" si="11"/>
        <v>-3.8641881520623124E-5</v>
      </c>
      <c r="AB99" s="3">
        <f t="shared" ca="1" si="12"/>
        <v>-1.9361837923113565E-5</v>
      </c>
      <c r="AC99" s="3">
        <f t="shared" ca="1" si="13"/>
        <v>-3.0729812792213263E-6</v>
      </c>
      <c r="AD99" s="3">
        <f t="shared" ca="1" si="14"/>
        <v>3.4018296602370836E-5</v>
      </c>
      <c r="AE99" s="3">
        <f t="shared" ca="1" si="15"/>
        <v>-2.1098814373154626E-5</v>
      </c>
      <c r="AG99" s="3">
        <f t="shared" ca="1" si="16"/>
        <v>-8.5837794450799591E-5</v>
      </c>
      <c r="AH99" s="3">
        <f t="shared" ca="1" si="17"/>
        <v>1.1861337612237526E-5</v>
      </c>
      <c r="AI99" s="3">
        <f t="shared" ca="1" si="18"/>
        <v>-4.3079033656234157E-5</v>
      </c>
      <c r="AJ99" s="3">
        <f t="shared" ca="1" si="19"/>
        <v>-4.3917761040918849E-5</v>
      </c>
      <c r="AK99" s="3">
        <f t="shared" ca="1" si="20"/>
        <v>-1.9361837923113565E-5</v>
      </c>
      <c r="AL99" s="3">
        <f t="shared" ca="1" si="21"/>
        <v>-3.0729812792213263E-6</v>
      </c>
      <c r="AM99" s="3">
        <f t="shared" ca="1" si="22"/>
        <v>3.4018296602370836E-5</v>
      </c>
      <c r="AN99" s="3">
        <f t="shared" ca="1" si="23"/>
        <v>-2.1098814373154626E-5</v>
      </c>
      <c r="AP99" s="3" t="e">
        <f t="shared" ca="1" si="24"/>
        <v>#N/A</v>
      </c>
      <c r="AQ99" s="3" t="e">
        <f t="shared" ca="1" si="31"/>
        <v>#N/A</v>
      </c>
      <c r="AR99" s="3" t="e">
        <f t="shared" ca="1" si="25"/>
        <v>#N/A</v>
      </c>
      <c r="AS99" s="3" t="e">
        <f t="shared" ca="1" si="26"/>
        <v>#N/A</v>
      </c>
      <c r="AT99" s="3" t="e">
        <f t="shared" ca="1" si="27"/>
        <v>#N/A</v>
      </c>
      <c r="AU99" s="3" t="e">
        <f t="shared" ca="1" si="28"/>
        <v>#N/A</v>
      </c>
      <c r="AV99" s="10" t="e">
        <f t="shared" ca="1" si="32"/>
        <v>#N/A</v>
      </c>
      <c r="AW99" s="10" t="e">
        <f t="shared" ca="1" si="33"/>
        <v>#N/A</v>
      </c>
      <c r="AY99" s="3" t="e">
        <f t="shared" ca="1" si="39"/>
        <v>#N/A</v>
      </c>
      <c r="AZ99" s="3" t="e">
        <f t="shared" ca="1" si="34"/>
        <v>#N/A</v>
      </c>
      <c r="BA99" s="3" t="e">
        <f t="shared" ca="1" si="29"/>
        <v>#N/A</v>
      </c>
      <c r="BB99" s="3" t="e">
        <f t="shared" ca="1" si="35"/>
        <v>#N/A</v>
      </c>
      <c r="BC99" s="3" t="e">
        <f t="shared" ca="1" si="36"/>
        <v>#N/A</v>
      </c>
      <c r="BD99" s="3" t="e">
        <f t="shared" ca="1" si="30"/>
        <v>#N/A</v>
      </c>
      <c r="BE99" s="3" t="e">
        <f t="shared" ca="1" si="37"/>
        <v>#N/A</v>
      </c>
      <c r="BF99" s="3" t="e">
        <f t="shared" ca="1" si="38"/>
        <v>#N/A</v>
      </c>
    </row>
    <row r="100" spans="1:58" ht="15" x14ac:dyDescent="0.25">
      <c r="A100" s="72">
        <v>34</v>
      </c>
      <c r="B100" s="72">
        <v>1498730137.3770001</v>
      </c>
      <c r="C100" s="73">
        <v>2.16435393720386E-4</v>
      </c>
      <c r="D100" s="73">
        <v>-5.8582158583203998E-5</v>
      </c>
      <c r="E100" s="73">
        <v>8.0098916181601404E-4</v>
      </c>
      <c r="F100" s="73">
        <v>-5.0278923628788498E-5</v>
      </c>
      <c r="G100" s="73">
        <v>1.0885369127240699E-3</v>
      </c>
      <c r="H100" s="73">
        <v>-5.7366630911003602E-5</v>
      </c>
      <c r="I100" s="73">
        <v>6.7408712447133805E-4</v>
      </c>
      <c r="J100" s="73">
        <v>7.1499209753085498E-3</v>
      </c>
      <c r="K100" s="73"/>
      <c r="L100" s="73"/>
      <c r="M100" s="73"/>
      <c r="O100" s="13">
        <f t="shared" ca="1" si="0"/>
        <v>-4.8251835551175581E-5</v>
      </c>
      <c r="P100" s="13">
        <f t="shared" ca="1" si="1"/>
        <v>-6.9869633968044177E-5</v>
      </c>
      <c r="Q100" s="13">
        <f t="shared" ca="1" si="2"/>
        <v>-3.9750456156671318E-5</v>
      </c>
      <c r="R100" s="13">
        <f t="shared" ca="1" si="3"/>
        <v>-6.0055202519469626E-5</v>
      </c>
      <c r="S100" s="13">
        <f t="shared" ca="1" si="4"/>
        <v>-4.6541720517303577E-5</v>
      </c>
      <c r="T100" s="13">
        <f t="shared" ca="1" si="5"/>
        <v>-5.7716452422027692E-5</v>
      </c>
      <c r="U100" s="13">
        <f t="shared" ca="1" si="6"/>
        <v>2.0243129682816869E-5</v>
      </c>
      <c r="V100" s="13">
        <f t="shared" ca="1" si="7"/>
        <v>1.114005285438556E-5</v>
      </c>
      <c r="X100" s="3">
        <f t="shared" ca="1" si="8"/>
        <v>-4.8251835551175581E-5</v>
      </c>
      <c r="Y100" s="3">
        <f t="shared" ca="1" si="9"/>
        <v>-6.9869633968044177E-5</v>
      </c>
      <c r="Z100" s="3">
        <f t="shared" ca="1" si="10"/>
        <v>-3.9750456156671318E-5</v>
      </c>
      <c r="AA100" s="3">
        <f t="shared" ca="1" si="11"/>
        <v>-6.0055202519469626E-5</v>
      </c>
      <c r="AB100" s="3">
        <f t="shared" ca="1" si="12"/>
        <v>-4.6541720517303577E-5</v>
      </c>
      <c r="AC100" s="3">
        <f t="shared" ca="1" si="13"/>
        <v>-5.7716452422027692E-5</v>
      </c>
      <c r="AD100" s="3">
        <f t="shared" ca="1" si="14"/>
        <v>2.0243129682816869E-5</v>
      </c>
      <c r="AE100" s="3">
        <f t="shared" ca="1" si="15"/>
        <v>1.114005285438556E-5</v>
      </c>
      <c r="AG100" s="3">
        <f t="shared" ca="1" si="16"/>
        <v>-4.8251835551175581E-5</v>
      </c>
      <c r="AH100" s="3">
        <f t="shared" ca="1" si="17"/>
        <v>-6.9869633968044177E-5</v>
      </c>
      <c r="AI100" s="3">
        <f t="shared" ca="1" si="18"/>
        <v>-3.9750456156671318E-5</v>
      </c>
      <c r="AJ100" s="3">
        <f t="shared" ca="1" si="19"/>
        <v>-6.0055202519469626E-5</v>
      </c>
      <c r="AK100" s="3">
        <f t="shared" ca="1" si="20"/>
        <v>-4.6541720517303577E-5</v>
      </c>
      <c r="AL100" s="3">
        <f t="shared" ca="1" si="21"/>
        <v>-5.7716452422027692E-5</v>
      </c>
      <c r="AM100" s="3">
        <f t="shared" ca="1" si="22"/>
        <v>2.0243129682816869E-5</v>
      </c>
      <c r="AN100" s="3">
        <f t="shared" ca="1" si="23"/>
        <v>1.114005285438556E-5</v>
      </c>
      <c r="AP100" s="3" t="e">
        <f t="shared" ca="1" si="24"/>
        <v>#N/A</v>
      </c>
      <c r="AQ100" s="3" t="e">
        <f t="shared" ca="1" si="31"/>
        <v>#N/A</v>
      </c>
      <c r="AR100" s="3" t="e">
        <f t="shared" ca="1" si="25"/>
        <v>#N/A</v>
      </c>
      <c r="AS100" s="3" t="e">
        <f t="shared" ca="1" si="26"/>
        <v>#N/A</v>
      </c>
      <c r="AT100" s="3" t="e">
        <f t="shared" ca="1" si="27"/>
        <v>#N/A</v>
      </c>
      <c r="AU100" s="3" t="e">
        <f t="shared" ca="1" si="28"/>
        <v>#N/A</v>
      </c>
      <c r="AV100" s="10" t="e">
        <f t="shared" ca="1" si="32"/>
        <v>#N/A</v>
      </c>
      <c r="AW100" s="10" t="e">
        <f t="shared" ca="1" si="33"/>
        <v>#N/A</v>
      </c>
      <c r="AY100" s="3" t="e">
        <f t="shared" ca="1" si="39"/>
        <v>#N/A</v>
      </c>
      <c r="AZ100" s="3" t="e">
        <f t="shared" ca="1" si="34"/>
        <v>#N/A</v>
      </c>
      <c r="BA100" s="3" t="e">
        <f t="shared" ca="1" si="29"/>
        <v>#N/A</v>
      </c>
      <c r="BB100" s="3" t="e">
        <f t="shared" ca="1" si="35"/>
        <v>#N/A</v>
      </c>
      <c r="BC100" s="3" t="e">
        <f t="shared" ca="1" si="36"/>
        <v>#N/A</v>
      </c>
      <c r="BD100" s="3" t="e">
        <f t="shared" ca="1" si="30"/>
        <v>#N/A</v>
      </c>
      <c r="BE100" s="3" t="e">
        <f t="shared" ca="1" si="37"/>
        <v>#N/A</v>
      </c>
      <c r="BF100" s="3" t="e">
        <f t="shared" ca="1" si="38"/>
        <v>#N/A</v>
      </c>
    </row>
    <row r="101" spans="1:58" ht="15" x14ac:dyDescent="0.25">
      <c r="A101" s="72">
        <v>35</v>
      </c>
      <c r="B101" s="72">
        <v>1498730137.904</v>
      </c>
      <c r="C101" s="73">
        <v>3.3776681412295702E-4</v>
      </c>
      <c r="D101" s="73">
        <v>1.2754905379596E-5</v>
      </c>
      <c r="E101" s="73">
        <v>8.5031665789406003E-4</v>
      </c>
      <c r="F101" s="73">
        <v>1.8007380344022901E-5</v>
      </c>
      <c r="G101" s="73">
        <v>1.1569648700364499E-3</v>
      </c>
      <c r="H101" s="73">
        <v>1.5522969953252801E-6</v>
      </c>
      <c r="I101" s="73">
        <v>6.7954966790897498E-4</v>
      </c>
      <c r="J101" s="73">
        <v>7.0959513081661502E-3</v>
      </c>
      <c r="K101" s="73"/>
      <c r="L101" s="73"/>
      <c r="M101" s="73"/>
      <c r="O101" s="13">
        <f t="shared" ca="1" si="0"/>
        <v>7.3079584851395432E-5</v>
      </c>
      <c r="P101" s="13">
        <f t="shared" ca="1" si="1"/>
        <v>1.4674299947558269E-6</v>
      </c>
      <c r="Q101" s="13">
        <f t="shared" ca="1" si="2"/>
        <v>9.5770399213746709E-6</v>
      </c>
      <c r="R101" s="13">
        <f t="shared" ca="1" si="3"/>
        <v>8.2311014533417752E-6</v>
      </c>
      <c r="S101" s="13">
        <f t="shared" ca="1" si="4"/>
        <v>2.1886236795076426E-5</v>
      </c>
      <c r="T101" s="13">
        <f t="shared" ca="1" si="5"/>
        <v>1.2024754843011934E-6</v>
      </c>
      <c r="U101" s="13">
        <f t="shared" ca="1" si="6"/>
        <v>2.5705673120453797E-5</v>
      </c>
      <c r="V101" s="13">
        <f t="shared" ca="1" si="7"/>
        <v>-4.282961428801399E-5</v>
      </c>
      <c r="X101" s="3">
        <f t="shared" ca="1" si="8"/>
        <v>7.3079584851395432E-5</v>
      </c>
      <c r="Y101" s="3">
        <f t="shared" ca="1" si="9"/>
        <v>1.4674299947558269E-6</v>
      </c>
      <c r="Z101" s="3">
        <f t="shared" ca="1" si="10"/>
        <v>9.5678400840980197E-6</v>
      </c>
      <c r="AA101" s="3">
        <f t="shared" ca="1" si="11"/>
        <v>8.0084235738046611E-6</v>
      </c>
      <c r="AB101" s="3">
        <f t="shared" ca="1" si="12"/>
        <v>2.0266856347175061E-5</v>
      </c>
      <c r="AC101" s="3">
        <f t="shared" ca="1" si="13"/>
        <v>1.2024754843011934E-6</v>
      </c>
      <c r="AD101" s="3">
        <f t="shared" ca="1" si="14"/>
        <v>2.3314238146551684E-5</v>
      </c>
      <c r="AE101" s="3">
        <f t="shared" ca="1" si="15"/>
        <v>-4.3800002968290585E-5</v>
      </c>
      <c r="AG101" s="3">
        <f t="shared" ca="1" si="16"/>
        <v>7.3079584851395432E-5</v>
      </c>
      <c r="AH101" s="3">
        <f t="shared" ca="1" si="17"/>
        <v>1.4674299947558269E-6</v>
      </c>
      <c r="AI101" s="3">
        <f t="shared" ca="1" si="18"/>
        <v>8.3858330069464703E-6</v>
      </c>
      <c r="AJ101" s="3">
        <f t="shared" ca="1" si="19"/>
        <v>7.3557160875248336E-6</v>
      </c>
      <c r="AK101" s="3">
        <f t="shared" ca="1" si="20"/>
        <v>2.0266856347175061E-5</v>
      </c>
      <c r="AL101" s="3">
        <f t="shared" ca="1" si="21"/>
        <v>1.2024754843011934E-6</v>
      </c>
      <c r="AM101" s="3">
        <f t="shared" ca="1" si="22"/>
        <v>2.3314238146551684E-5</v>
      </c>
      <c r="AN101" s="3">
        <f t="shared" ca="1" si="23"/>
        <v>-4.3800002968290585E-5</v>
      </c>
      <c r="AP101" s="3" t="e">
        <f t="shared" ca="1" si="24"/>
        <v>#N/A</v>
      </c>
      <c r="AQ101" s="3" t="e">
        <f t="shared" ca="1" si="31"/>
        <v>#N/A</v>
      </c>
      <c r="AR101" s="3" t="e">
        <f t="shared" ca="1" si="25"/>
        <v>#N/A</v>
      </c>
      <c r="AS101" s="3" t="e">
        <f t="shared" ca="1" si="26"/>
        <v>#N/A</v>
      </c>
      <c r="AT101" s="3" t="e">
        <f t="shared" ca="1" si="27"/>
        <v>#N/A</v>
      </c>
      <c r="AU101" s="3" t="e">
        <f t="shared" ca="1" si="28"/>
        <v>#N/A</v>
      </c>
      <c r="AV101" s="10" t="e">
        <f t="shared" ca="1" si="32"/>
        <v>#N/A</v>
      </c>
      <c r="AW101" s="10" t="e">
        <f t="shared" ca="1" si="33"/>
        <v>#N/A</v>
      </c>
      <c r="AY101" s="3" t="e">
        <f t="shared" ca="1" si="39"/>
        <v>#N/A</v>
      </c>
      <c r="AZ101" s="3" t="e">
        <f t="shared" ca="1" si="34"/>
        <v>#N/A</v>
      </c>
      <c r="BA101" s="3" t="e">
        <f t="shared" ca="1" si="29"/>
        <v>#N/A</v>
      </c>
      <c r="BB101" s="3" t="e">
        <f t="shared" ca="1" si="35"/>
        <v>#N/A</v>
      </c>
      <c r="BC101" s="3" t="e">
        <f t="shared" ca="1" si="36"/>
        <v>#N/A</v>
      </c>
      <c r="BD101" s="3" t="e">
        <f t="shared" ca="1" si="30"/>
        <v>#N/A</v>
      </c>
      <c r="BE101" s="3" t="e">
        <f t="shared" ca="1" si="37"/>
        <v>#N/A</v>
      </c>
      <c r="BF101" s="3" t="e">
        <f t="shared" ca="1" si="38"/>
        <v>#N/A</v>
      </c>
    </row>
    <row r="102" spans="1:58" ht="15" x14ac:dyDescent="0.25">
      <c r="A102" s="72">
        <v>36</v>
      </c>
      <c r="B102" s="72">
        <v>1498730138.431</v>
      </c>
      <c r="C102" s="73">
        <v>2.6996214426073801E-4</v>
      </c>
      <c r="D102" s="73">
        <v>1.32527669717009E-4</v>
      </c>
      <c r="E102" s="73">
        <v>8.4145668660957104E-4</v>
      </c>
      <c r="F102" s="73">
        <v>1.0057580280286601E-4</v>
      </c>
      <c r="G102" s="73">
        <v>1.0775698007955701E-3</v>
      </c>
      <c r="H102" s="73">
        <v>3.9236253314698497E-5</v>
      </c>
      <c r="I102" s="73">
        <v>7.2586373782428798E-4</v>
      </c>
      <c r="J102" s="73">
        <v>7.1100404544391102E-3</v>
      </c>
      <c r="K102" s="73"/>
      <c r="L102" s="73"/>
      <c r="M102" s="73"/>
      <c r="O102" s="13">
        <f t="shared" ca="1" si="0"/>
        <v>5.2749149891764303E-6</v>
      </c>
      <c r="P102" s="13">
        <f t="shared" ca="1" si="1"/>
        <v>1.2124019433216882E-4</v>
      </c>
      <c r="Q102" s="13">
        <f t="shared" ca="1" si="2"/>
        <v>7.1706863688568521E-7</v>
      </c>
      <c r="R102" s="13">
        <f t="shared" ca="1" si="3"/>
        <v>9.0799523912184885E-5</v>
      </c>
      <c r="S102" s="13">
        <f t="shared" ca="1" si="4"/>
        <v>-5.750883244580343E-5</v>
      </c>
      <c r="T102" s="13">
        <f t="shared" ca="1" si="5"/>
        <v>3.8886431803674407E-5</v>
      </c>
      <c r="U102" s="13">
        <f t="shared" ca="1" si="6"/>
        <v>7.2019743035766802E-5</v>
      </c>
      <c r="V102" s="13">
        <f t="shared" ca="1" si="7"/>
        <v>-2.8740468015053984E-5</v>
      </c>
      <c r="X102" s="3">
        <f t="shared" ca="1" si="8"/>
        <v>5.2749149891764303E-6</v>
      </c>
      <c r="Y102" s="3">
        <f t="shared" ca="1" si="9"/>
        <v>1.2124019433216882E-4</v>
      </c>
      <c r="Z102" s="3">
        <f t="shared" ca="1" si="10"/>
        <v>4.1955833456855882E-7</v>
      </c>
      <c r="AA102" s="3">
        <f t="shared" ca="1" si="11"/>
        <v>8.3598422276554444E-5</v>
      </c>
      <c r="AB102" s="3">
        <f t="shared" ca="1" si="12"/>
        <v>-1.0987740725139761E-4</v>
      </c>
      <c r="AC102" s="3">
        <f t="shared" ca="1" si="13"/>
        <v>3.8886431803674407E-5</v>
      </c>
      <c r="AD102" s="3">
        <f t="shared" ca="1" si="14"/>
        <v>-5.3160315722362275E-6</v>
      </c>
      <c r="AE102" s="3">
        <f t="shared" ca="1" si="15"/>
        <v>-6.0121526283000878E-5</v>
      </c>
      <c r="AG102" s="3">
        <f t="shared" ca="1" si="16"/>
        <v>5.2749149891764303E-6</v>
      </c>
      <c r="AH102" s="3">
        <f t="shared" ca="1" si="17"/>
        <v>1.2124019433216882E-4</v>
      </c>
      <c r="AI102" s="3">
        <f t="shared" ca="1" si="18"/>
        <v>-9.7238775110972293E-5</v>
      </c>
      <c r="AJ102" s="3">
        <f t="shared" ca="1" si="19"/>
        <v>2.9671227956258946E-5</v>
      </c>
      <c r="AK102" s="3">
        <f t="shared" ca="1" si="20"/>
        <v>-1.0987740725139761E-4</v>
      </c>
      <c r="AL102" s="3">
        <f t="shared" ca="1" si="21"/>
        <v>3.8886431803674407E-5</v>
      </c>
      <c r="AM102" s="3">
        <f t="shared" ca="1" si="22"/>
        <v>-5.3160315722362275E-6</v>
      </c>
      <c r="AN102" s="3">
        <f t="shared" ca="1" si="23"/>
        <v>-6.0121526283000878E-5</v>
      </c>
      <c r="AP102" s="3" t="e">
        <f t="shared" ca="1" si="24"/>
        <v>#N/A</v>
      </c>
      <c r="AQ102" s="3" t="e">
        <f t="shared" ca="1" si="31"/>
        <v>#N/A</v>
      </c>
      <c r="AR102" s="3" t="e">
        <f t="shared" ca="1" si="25"/>
        <v>#N/A</v>
      </c>
      <c r="AS102" s="3" t="e">
        <f t="shared" ca="1" si="26"/>
        <v>#N/A</v>
      </c>
      <c r="AT102" s="3" t="e">
        <f t="shared" ca="1" si="27"/>
        <v>#N/A</v>
      </c>
      <c r="AU102" s="3" t="e">
        <f t="shared" ca="1" si="28"/>
        <v>#N/A</v>
      </c>
      <c r="AV102" s="10" t="e">
        <f t="shared" ca="1" si="32"/>
        <v>#N/A</v>
      </c>
      <c r="AW102" s="10" t="e">
        <f t="shared" ca="1" si="33"/>
        <v>#N/A</v>
      </c>
      <c r="AY102" s="3" t="e">
        <f t="shared" ca="1" si="39"/>
        <v>#N/A</v>
      </c>
      <c r="AZ102" s="3" t="e">
        <f t="shared" ca="1" si="34"/>
        <v>#N/A</v>
      </c>
      <c r="BA102" s="3" t="e">
        <f t="shared" ca="1" si="29"/>
        <v>#N/A</v>
      </c>
      <c r="BB102" s="3" t="e">
        <f t="shared" ca="1" si="35"/>
        <v>#N/A</v>
      </c>
      <c r="BC102" s="3" t="e">
        <f t="shared" ca="1" si="36"/>
        <v>#N/A</v>
      </c>
      <c r="BD102" s="3" t="e">
        <f t="shared" ca="1" si="30"/>
        <v>#N/A</v>
      </c>
      <c r="BE102" s="3" t="e">
        <f t="shared" ca="1" si="37"/>
        <v>#N/A</v>
      </c>
      <c r="BF102" s="3" t="e">
        <f t="shared" ca="1" si="38"/>
        <v>#N/A</v>
      </c>
    </row>
    <row r="103" spans="1:58" ht="15" x14ac:dyDescent="0.25">
      <c r="A103" s="72">
        <v>37</v>
      </c>
      <c r="B103" s="72">
        <v>1498730138.9579999</v>
      </c>
      <c r="C103" s="73">
        <v>2.9327691487487798E-4</v>
      </c>
      <c r="D103" s="73">
        <v>-3.70870931337476E-5</v>
      </c>
      <c r="E103" s="73">
        <v>7.92129625196458E-4</v>
      </c>
      <c r="F103" s="73">
        <v>3.9898054982785499E-5</v>
      </c>
      <c r="G103" s="73">
        <v>1.0759009029995899E-3</v>
      </c>
      <c r="H103" s="73">
        <v>-3.1418278663356302E-5</v>
      </c>
      <c r="I103" s="73">
        <v>6.4819982530857204E-4</v>
      </c>
      <c r="J103" s="73">
        <v>7.0071226045782097E-3</v>
      </c>
      <c r="K103" s="73"/>
      <c r="L103" s="73"/>
      <c r="M103" s="73"/>
      <c r="O103" s="13">
        <f t="shared" ca="1" si="0"/>
        <v>2.8589685603316395E-5</v>
      </c>
      <c r="P103" s="13">
        <f t="shared" ca="1" si="1"/>
        <v>-4.8374568518587772E-5</v>
      </c>
      <c r="Q103" s="13">
        <f t="shared" ca="1" si="2"/>
        <v>-4.8609992776227351E-5</v>
      </c>
      <c r="R103" s="13">
        <f t="shared" ca="1" si="3"/>
        <v>3.0121776092104372E-5</v>
      </c>
      <c r="S103" s="13">
        <f t="shared" ca="1" si="4"/>
        <v>-5.9177730241783593E-5</v>
      </c>
      <c r="T103" s="13">
        <f t="shared" ca="1" si="5"/>
        <v>-3.1768100174380392E-5</v>
      </c>
      <c r="U103" s="13">
        <f t="shared" ca="1" si="6"/>
        <v>-5.6441694799491335E-6</v>
      </c>
      <c r="V103" s="13">
        <f t="shared" ca="1" si="7"/>
        <v>-1.316583178759545E-4</v>
      </c>
      <c r="X103" s="3">
        <f t="shared" ca="1" si="8"/>
        <v>2.8589685603316395E-5</v>
      </c>
      <c r="Y103" s="3">
        <f t="shared" ca="1" si="9"/>
        <v>-4.8374568518587772E-5</v>
      </c>
      <c r="Z103" s="3">
        <f t="shared" ca="1" si="10"/>
        <v>-4.8609992776227351E-5</v>
      </c>
      <c r="AA103" s="3">
        <f t="shared" ca="1" si="11"/>
        <v>3.0121776092104372E-5</v>
      </c>
      <c r="AB103" s="3">
        <f t="shared" ca="1" si="12"/>
        <v>-5.9177730241783593E-5</v>
      </c>
      <c r="AC103" s="3">
        <f t="shared" ca="1" si="13"/>
        <v>-3.1768100174380392E-5</v>
      </c>
      <c r="AD103" s="3">
        <f t="shared" ca="1" si="14"/>
        <v>-5.6441694799491335E-6</v>
      </c>
      <c r="AE103" s="3">
        <f t="shared" ca="1" si="15"/>
        <v>-1.316583178759545E-4</v>
      </c>
      <c r="AG103" s="3">
        <f t="shared" ca="1" si="16"/>
        <v>2.8589685603316395E-5</v>
      </c>
      <c r="AH103" s="3">
        <f t="shared" ca="1" si="17"/>
        <v>-4.8374568518587772E-5</v>
      </c>
      <c r="AI103" s="3">
        <f t="shared" ca="1" si="18"/>
        <v>-4.8609992776227351E-5</v>
      </c>
      <c r="AJ103" s="3">
        <f t="shared" ca="1" si="19"/>
        <v>3.0121776092104372E-5</v>
      </c>
      <c r="AK103" s="3">
        <f t="shared" ca="1" si="20"/>
        <v>-5.9177730241783593E-5</v>
      </c>
      <c r="AL103" s="3">
        <f t="shared" ca="1" si="21"/>
        <v>-3.1768100174380392E-5</v>
      </c>
      <c r="AM103" s="3">
        <f t="shared" ca="1" si="22"/>
        <v>-5.6441694799491335E-6</v>
      </c>
      <c r="AN103" s="3">
        <f t="shared" ca="1" si="23"/>
        <v>-1.316583178759545E-4</v>
      </c>
      <c r="AP103" s="3" t="e">
        <f t="shared" ca="1" si="24"/>
        <v>#N/A</v>
      </c>
      <c r="AQ103" s="3" t="e">
        <f t="shared" ca="1" si="31"/>
        <v>#N/A</v>
      </c>
      <c r="AR103" s="3" t="e">
        <f t="shared" ca="1" si="25"/>
        <v>#N/A</v>
      </c>
      <c r="AS103" s="3" t="e">
        <f t="shared" ca="1" si="26"/>
        <v>#N/A</v>
      </c>
      <c r="AT103" s="3" t="e">
        <f t="shared" ca="1" si="27"/>
        <v>#N/A</v>
      </c>
      <c r="AU103" s="3" t="e">
        <f t="shared" ca="1" si="28"/>
        <v>#N/A</v>
      </c>
      <c r="AV103" s="10" t="e">
        <f t="shared" ca="1" si="32"/>
        <v>#N/A</v>
      </c>
      <c r="AW103" s="10" t="e">
        <f t="shared" ca="1" si="33"/>
        <v>#N/A</v>
      </c>
      <c r="AY103" s="3" t="e">
        <f t="shared" ca="1" si="39"/>
        <v>#N/A</v>
      </c>
      <c r="AZ103" s="3" t="e">
        <f t="shared" ca="1" si="34"/>
        <v>#N/A</v>
      </c>
      <c r="BA103" s="3" t="e">
        <f t="shared" ca="1" si="29"/>
        <v>#N/A</v>
      </c>
      <c r="BB103" s="3" t="e">
        <f t="shared" ca="1" si="35"/>
        <v>#N/A</v>
      </c>
      <c r="BC103" s="3" t="e">
        <f t="shared" ca="1" si="36"/>
        <v>#N/A</v>
      </c>
      <c r="BD103" s="3" t="e">
        <f t="shared" ca="1" si="30"/>
        <v>#N/A</v>
      </c>
      <c r="BE103" s="3" t="e">
        <f t="shared" ca="1" si="37"/>
        <v>#N/A</v>
      </c>
      <c r="BF103" s="3" t="e">
        <f t="shared" ca="1" si="38"/>
        <v>#N/A</v>
      </c>
    </row>
    <row r="104" spans="1:58" ht="15" x14ac:dyDescent="0.25">
      <c r="A104" s="72">
        <v>38</v>
      </c>
      <c r="B104" s="72">
        <v>1498730139.4849999</v>
      </c>
      <c r="C104" s="73">
        <v>2.30233126042707E-4</v>
      </c>
      <c r="D104" s="73">
        <v>3.8267418452135801E-5</v>
      </c>
      <c r="E104" s="73">
        <v>9.5089477834044698E-4</v>
      </c>
      <c r="F104" s="73">
        <v>-4.5996296162286398E-5</v>
      </c>
      <c r="G104" s="73">
        <v>1.2034604037632899E-3</v>
      </c>
      <c r="H104" s="73">
        <v>3.0034858359413697E-7</v>
      </c>
      <c r="I104" s="73">
        <v>5.9096515350442102E-4</v>
      </c>
      <c r="J104" s="73">
        <v>7.1195925305886998E-3</v>
      </c>
      <c r="K104" s="73"/>
      <c r="L104" s="73"/>
      <c r="M104" s="73"/>
      <c r="O104" s="13">
        <f t="shared" ca="1" si="0"/>
        <v>-3.4454103228854588E-5</v>
      </c>
      <c r="P104" s="13">
        <f t="shared" ca="1" si="1"/>
        <v>2.6979943067295629E-5</v>
      </c>
      <c r="Q104" s="13">
        <f t="shared" ca="1" si="2"/>
        <v>1.1015516036776162E-4</v>
      </c>
      <c r="R104" s="13">
        <f t="shared" ca="1" si="3"/>
        <v>-5.5772575052967525E-5</v>
      </c>
      <c r="S104" s="13">
        <f t="shared" ca="1" si="4"/>
        <v>6.8381770521916407E-5</v>
      </c>
      <c r="T104" s="13">
        <f t="shared" ca="1" si="5"/>
        <v>-4.9472927429949645E-8</v>
      </c>
      <c r="U104" s="13">
        <f t="shared" ca="1" si="6"/>
        <v>-6.2878841284100154E-5</v>
      </c>
      <c r="V104" s="13">
        <f t="shared" ca="1" si="7"/>
        <v>-1.9188391865464401E-5</v>
      </c>
      <c r="X104" s="3">
        <f t="shared" ca="1" si="8"/>
        <v>-3.4454103228854588E-5</v>
      </c>
      <c r="Y104" s="3">
        <f t="shared" ca="1" si="9"/>
        <v>2.6979943067295629E-5</v>
      </c>
      <c r="Z104" s="3">
        <f t="shared" ca="1" si="10"/>
        <v>1.1015516036776162E-4</v>
      </c>
      <c r="AA104" s="3">
        <f t="shared" ca="1" si="11"/>
        <v>-5.5772575052967525E-5</v>
      </c>
      <c r="AB104" s="3">
        <f t="shared" ca="1" si="12"/>
        <v>6.8381770521916407E-5</v>
      </c>
      <c r="AC104" s="3">
        <f t="shared" ca="1" si="13"/>
        <v>-4.9472927429949645E-8</v>
      </c>
      <c r="AD104" s="3">
        <f t="shared" ca="1" si="14"/>
        <v>-6.2878841284100154E-5</v>
      </c>
      <c r="AE104" s="3">
        <f t="shared" ca="1" si="15"/>
        <v>-1.9188391865464401E-5</v>
      </c>
      <c r="AG104" s="3">
        <f t="shared" ca="1" si="16"/>
        <v>-3.4454103228854588E-5</v>
      </c>
      <c r="AH104" s="3">
        <f t="shared" ca="1" si="17"/>
        <v>2.6979943067295629E-5</v>
      </c>
      <c r="AI104" s="3">
        <f t="shared" ca="1" si="18"/>
        <v>8.8422959335578317E-5</v>
      </c>
      <c r="AJ104" s="3">
        <f t="shared" ca="1" si="19"/>
        <v>-6.7773154898248392E-5</v>
      </c>
      <c r="AK104" s="3">
        <f t="shared" ca="1" si="20"/>
        <v>6.8381770521916407E-5</v>
      </c>
      <c r="AL104" s="3">
        <f t="shared" ca="1" si="21"/>
        <v>-4.9472927429949645E-8</v>
      </c>
      <c r="AM104" s="3">
        <f t="shared" ca="1" si="22"/>
        <v>-6.2878841284100154E-5</v>
      </c>
      <c r="AN104" s="3">
        <f t="shared" ca="1" si="23"/>
        <v>-1.9188391865464401E-5</v>
      </c>
      <c r="AP104" s="3" t="e">
        <f t="shared" ca="1" si="24"/>
        <v>#N/A</v>
      </c>
      <c r="AQ104" s="3" t="e">
        <f t="shared" ca="1" si="31"/>
        <v>#N/A</v>
      </c>
      <c r="AR104" s="3" t="e">
        <f t="shared" ca="1" si="25"/>
        <v>#N/A</v>
      </c>
      <c r="AS104" s="3" t="e">
        <f t="shared" ca="1" si="26"/>
        <v>#N/A</v>
      </c>
      <c r="AT104" s="3" t="e">
        <f t="shared" ca="1" si="27"/>
        <v>#N/A</v>
      </c>
      <c r="AU104" s="3" t="e">
        <f t="shared" ca="1" si="28"/>
        <v>#N/A</v>
      </c>
      <c r="AV104" s="10" t="e">
        <f t="shared" ca="1" si="32"/>
        <v>#N/A</v>
      </c>
      <c r="AW104" s="10" t="e">
        <f t="shared" ca="1" si="33"/>
        <v>#N/A</v>
      </c>
      <c r="AY104" s="3" t="e">
        <f t="shared" ca="1" si="39"/>
        <v>#N/A</v>
      </c>
      <c r="AZ104" s="3" t="e">
        <f t="shared" ca="1" si="34"/>
        <v>#N/A</v>
      </c>
      <c r="BA104" s="3" t="e">
        <f t="shared" ca="1" si="29"/>
        <v>#N/A</v>
      </c>
      <c r="BB104" s="3" t="e">
        <f t="shared" ca="1" si="35"/>
        <v>#N/A</v>
      </c>
      <c r="BC104" s="3" t="e">
        <f t="shared" ca="1" si="36"/>
        <v>#N/A</v>
      </c>
      <c r="BD104" s="3" t="e">
        <f t="shared" ca="1" si="30"/>
        <v>#N/A</v>
      </c>
      <c r="BE104" s="3" t="e">
        <f t="shared" ca="1" si="37"/>
        <v>#N/A</v>
      </c>
      <c r="BF104" s="3" t="e">
        <f t="shared" ca="1" si="38"/>
        <v>#N/A</v>
      </c>
    </row>
    <row r="105" spans="1:58" ht="15" x14ac:dyDescent="0.25">
      <c r="A105" s="72">
        <v>39</v>
      </c>
      <c r="B105" s="72">
        <v>1498730140.0120001</v>
      </c>
      <c r="C105" s="73">
        <v>2.06206163515855E-4</v>
      </c>
      <c r="D105" s="73">
        <v>-4.0394056591394697E-5</v>
      </c>
      <c r="E105" s="73">
        <v>8.3666754544899004E-4</v>
      </c>
      <c r="F105" s="73">
        <v>-1.67311835762377E-5</v>
      </c>
      <c r="G105" s="73">
        <v>1.21371355586594E-3</v>
      </c>
      <c r="H105" s="73">
        <v>2.2294421290475399E-5</v>
      </c>
      <c r="I105" s="73">
        <v>5.9547731131802395E-4</v>
      </c>
      <c r="J105" s="73">
        <v>7.0935633368875003E-3</v>
      </c>
      <c r="K105" s="73"/>
      <c r="L105" s="73"/>
      <c r="M105" s="73"/>
      <c r="O105" s="13">
        <f t="shared" ca="1" si="0"/>
        <v>-5.8481065755706582E-5</v>
      </c>
      <c r="P105" s="13">
        <f t="shared" ca="1" si="1"/>
        <v>-5.1681531976234868E-5</v>
      </c>
      <c r="Q105" s="13">
        <f t="shared" ca="1" si="2"/>
        <v>-4.0720725236953123E-6</v>
      </c>
      <c r="R105" s="13">
        <f t="shared" ca="1" si="3"/>
        <v>-2.6507462466918827E-5</v>
      </c>
      <c r="S105" s="13">
        <f t="shared" ca="1" si="4"/>
        <v>7.8634922624566542E-5</v>
      </c>
      <c r="T105" s="13">
        <f t="shared" ca="1" si="5"/>
        <v>2.1944599779451313E-5</v>
      </c>
      <c r="U105" s="13">
        <f t="shared" ca="1" si="6"/>
        <v>-5.8366683470497229E-5</v>
      </c>
      <c r="V105" s="13">
        <f t="shared" ca="1" si="7"/>
        <v>-4.5217585566663908E-5</v>
      </c>
      <c r="X105" s="3">
        <f t="shared" ca="1" si="8"/>
        <v>-5.8481065755706582E-5</v>
      </c>
      <c r="Y105" s="3">
        <f t="shared" ca="1" si="9"/>
        <v>-5.1681531976234868E-5</v>
      </c>
      <c r="Z105" s="3">
        <f t="shared" ca="1" si="10"/>
        <v>-4.2399651333226117E-6</v>
      </c>
      <c r="AA105" s="3">
        <f t="shared" ca="1" si="11"/>
        <v>-3.0571226768125053E-5</v>
      </c>
      <c r="AB105" s="3">
        <f t="shared" ca="1" si="12"/>
        <v>4.9082007589033963E-5</v>
      </c>
      <c r="AC105" s="3">
        <f t="shared" ca="1" si="13"/>
        <v>2.1944599779451313E-5</v>
      </c>
      <c r="AD105" s="3">
        <f t="shared" ca="1" si="14"/>
        <v>-1.0200922262077532E-4</v>
      </c>
      <c r="AE105" s="3">
        <f t="shared" ca="1" si="15"/>
        <v>-6.2926712694153801E-5</v>
      </c>
      <c r="AG105" s="3">
        <f t="shared" ca="1" si="16"/>
        <v>-5.8481065755706582E-5</v>
      </c>
      <c r="AH105" s="3">
        <f t="shared" ca="1" si="17"/>
        <v>-5.1681531976234868E-5</v>
      </c>
      <c r="AI105" s="3">
        <f t="shared" ca="1" si="18"/>
        <v>-4.2399651333226117E-6</v>
      </c>
      <c r="AJ105" s="3">
        <f t="shared" ca="1" si="19"/>
        <v>-3.0571226768125053E-5</v>
      </c>
      <c r="AK105" s="3">
        <f t="shared" ca="1" si="20"/>
        <v>4.9082007589033963E-5</v>
      </c>
      <c r="AL105" s="3">
        <f t="shared" ca="1" si="21"/>
        <v>2.1944599779451313E-5</v>
      </c>
      <c r="AM105" s="3">
        <f t="shared" ca="1" si="22"/>
        <v>-1.0200922262077532E-4</v>
      </c>
      <c r="AN105" s="3">
        <f t="shared" ca="1" si="23"/>
        <v>-6.2926712694153801E-5</v>
      </c>
      <c r="AP105" s="3" t="e">
        <f t="shared" ca="1" si="24"/>
        <v>#N/A</v>
      </c>
      <c r="AQ105" s="3" t="e">
        <f t="shared" ca="1" si="31"/>
        <v>#N/A</v>
      </c>
      <c r="AR105" s="3" t="e">
        <f t="shared" ca="1" si="25"/>
        <v>#N/A</v>
      </c>
      <c r="AS105" s="3" t="e">
        <f t="shared" ca="1" si="26"/>
        <v>#N/A</v>
      </c>
      <c r="AT105" s="3" t="e">
        <f t="shared" ca="1" si="27"/>
        <v>#N/A</v>
      </c>
      <c r="AU105" s="3" t="e">
        <f t="shared" ca="1" si="28"/>
        <v>#N/A</v>
      </c>
      <c r="AV105" s="10" t="e">
        <f t="shared" ca="1" si="32"/>
        <v>#N/A</v>
      </c>
      <c r="AW105" s="10" t="e">
        <f t="shared" ca="1" si="33"/>
        <v>#N/A</v>
      </c>
      <c r="AY105" s="3" t="e">
        <f t="shared" ca="1" si="39"/>
        <v>#N/A</v>
      </c>
      <c r="AZ105" s="3" t="e">
        <f t="shared" ca="1" si="34"/>
        <v>#N/A</v>
      </c>
      <c r="BA105" s="3" t="e">
        <f t="shared" ca="1" si="29"/>
        <v>#N/A</v>
      </c>
      <c r="BB105" s="3" t="e">
        <f t="shared" ca="1" si="35"/>
        <v>#N/A</v>
      </c>
      <c r="BC105" s="3" t="e">
        <f t="shared" ca="1" si="36"/>
        <v>#N/A</v>
      </c>
      <c r="BD105" s="3" t="e">
        <f t="shared" ca="1" si="30"/>
        <v>#N/A</v>
      </c>
      <c r="BE105" s="3" t="e">
        <f t="shared" ca="1" si="37"/>
        <v>#N/A</v>
      </c>
      <c r="BF105" s="3" t="e">
        <f t="shared" ca="1" si="38"/>
        <v>#N/A</v>
      </c>
    </row>
    <row r="106" spans="1:58" ht="15" x14ac:dyDescent="0.25">
      <c r="A106" s="72">
        <v>40</v>
      </c>
      <c r="B106" s="72">
        <v>1498730140.539</v>
      </c>
      <c r="C106" s="73">
        <v>2.6805892171214801E-4</v>
      </c>
      <c r="D106" s="73">
        <v>7.5828701012704705E-5</v>
      </c>
      <c r="E106" s="73">
        <v>8.7977063713032396E-4</v>
      </c>
      <c r="F106" s="73">
        <v>1.4676232791064199E-5</v>
      </c>
      <c r="G106" s="73">
        <v>1.1593492038114001E-3</v>
      </c>
      <c r="H106" s="73">
        <v>-2.6341146181876399E-5</v>
      </c>
      <c r="I106" s="73">
        <v>6.4796233026021596E-4</v>
      </c>
      <c r="J106" s="73">
        <v>7.1367864969056199E-3</v>
      </c>
      <c r="K106" s="73"/>
      <c r="L106" s="73"/>
      <c r="M106" s="73"/>
      <c r="O106" s="13">
        <f t="shared" ca="1" si="0"/>
        <v>3.3716924405864288E-6</v>
      </c>
      <c r="P106" s="13">
        <f t="shared" ca="1" si="1"/>
        <v>6.4541225627864527E-5</v>
      </c>
      <c r="Q106" s="13">
        <f t="shared" ca="1" si="2"/>
        <v>3.903101915763861E-5</v>
      </c>
      <c r="R106" s="13">
        <f t="shared" ca="1" si="3"/>
        <v>4.8999539003830738E-6</v>
      </c>
      <c r="S106" s="13">
        <f t="shared" ca="1" si="4"/>
        <v>2.427057057002662E-5</v>
      </c>
      <c r="T106" s="13">
        <f t="shared" ca="1" si="5"/>
        <v>-2.6690967692900485E-5</v>
      </c>
      <c r="U106" s="13">
        <f t="shared" ca="1" si="6"/>
        <v>-5.8816645283052199E-6</v>
      </c>
      <c r="V106" s="13">
        <f t="shared" ca="1" si="7"/>
        <v>-1.9944255485442736E-6</v>
      </c>
      <c r="X106" s="3">
        <f t="shared" ca="1" si="8"/>
        <v>3.3716924405864288E-6</v>
      </c>
      <c r="Y106" s="3">
        <f t="shared" ca="1" si="9"/>
        <v>6.4541225627864527E-5</v>
      </c>
      <c r="Z106" s="3">
        <f t="shared" ca="1" si="10"/>
        <v>3.903101915763861E-5</v>
      </c>
      <c r="AA106" s="3">
        <f t="shared" ca="1" si="11"/>
        <v>4.8999539003830738E-6</v>
      </c>
      <c r="AB106" s="3">
        <f t="shared" ca="1" si="12"/>
        <v>2.427057057002662E-5</v>
      </c>
      <c r="AC106" s="3">
        <f t="shared" ca="1" si="13"/>
        <v>-2.6690967692900485E-5</v>
      </c>
      <c r="AD106" s="3">
        <f t="shared" ca="1" si="14"/>
        <v>-5.8816645283052199E-6</v>
      </c>
      <c r="AE106" s="3">
        <f t="shared" ca="1" si="15"/>
        <v>-1.9944255485442736E-6</v>
      </c>
      <c r="AG106" s="3">
        <f t="shared" ca="1" si="16"/>
        <v>3.3716924405864288E-6</v>
      </c>
      <c r="AH106" s="3">
        <f t="shared" ca="1" si="17"/>
        <v>6.4541225627864527E-5</v>
      </c>
      <c r="AI106" s="3">
        <f t="shared" ca="1" si="18"/>
        <v>-1.295659574242676E-5</v>
      </c>
      <c r="AJ106" s="3">
        <f t="shared" ca="1" si="19"/>
        <v>-2.3807746835959223E-5</v>
      </c>
      <c r="AK106" s="3">
        <f t="shared" ca="1" si="20"/>
        <v>2.427057057002662E-5</v>
      </c>
      <c r="AL106" s="3">
        <f t="shared" ca="1" si="21"/>
        <v>-2.6690967692900485E-5</v>
      </c>
      <c r="AM106" s="3">
        <f t="shared" ca="1" si="22"/>
        <v>-5.8816645283052199E-6</v>
      </c>
      <c r="AN106" s="3">
        <f t="shared" ca="1" si="23"/>
        <v>-1.9944255485442736E-6</v>
      </c>
      <c r="AP106" s="3" t="e">
        <f t="shared" ca="1" si="24"/>
        <v>#N/A</v>
      </c>
      <c r="AQ106" s="3" t="e">
        <f t="shared" ca="1" si="31"/>
        <v>#N/A</v>
      </c>
      <c r="AR106" s="3" t="e">
        <f t="shared" ca="1" si="25"/>
        <v>#N/A</v>
      </c>
      <c r="AS106" s="3" t="e">
        <f t="shared" ca="1" si="26"/>
        <v>#N/A</v>
      </c>
      <c r="AT106" s="3" t="e">
        <f t="shared" ca="1" si="27"/>
        <v>#N/A</v>
      </c>
      <c r="AU106" s="3" t="e">
        <f t="shared" ca="1" si="28"/>
        <v>#N/A</v>
      </c>
      <c r="AV106" s="10" t="e">
        <f t="shared" ca="1" si="32"/>
        <v>#N/A</v>
      </c>
      <c r="AW106" s="10" t="e">
        <f t="shared" ca="1" si="33"/>
        <v>#N/A</v>
      </c>
      <c r="AY106" s="3" t="e">
        <f t="shared" ca="1" si="39"/>
        <v>#N/A</v>
      </c>
      <c r="AZ106" s="3" t="e">
        <f t="shared" ca="1" si="34"/>
        <v>#N/A</v>
      </c>
      <c r="BA106" s="3" t="e">
        <f t="shared" ca="1" si="29"/>
        <v>#N/A</v>
      </c>
      <c r="BB106" s="3" t="e">
        <f t="shared" ca="1" si="35"/>
        <v>#N/A</v>
      </c>
      <c r="BC106" s="3" t="e">
        <f t="shared" ca="1" si="36"/>
        <v>#N/A</v>
      </c>
      <c r="BD106" s="3" t="e">
        <f t="shared" ca="1" si="30"/>
        <v>#N/A</v>
      </c>
      <c r="BE106" s="3" t="e">
        <f t="shared" ca="1" si="37"/>
        <v>#N/A</v>
      </c>
      <c r="BF106" s="3" t="e">
        <f t="shared" ca="1" si="38"/>
        <v>#N/A</v>
      </c>
    </row>
    <row r="107" spans="1:58" ht="15" x14ac:dyDescent="0.25">
      <c r="A107" s="72">
        <v>41</v>
      </c>
      <c r="B107" s="72">
        <v>1498730141.066</v>
      </c>
      <c r="C107" s="73">
        <v>4.85763522328355E-4</v>
      </c>
      <c r="D107" s="73">
        <v>1.0299655255646499E-4</v>
      </c>
      <c r="E107" s="73">
        <v>8.2684987738462399E-4</v>
      </c>
      <c r="F107" s="73">
        <v>2.30349630572875E-6</v>
      </c>
      <c r="G107" s="73">
        <v>1.1450432864077099E-3</v>
      </c>
      <c r="H107" s="73">
        <v>-1.8964283593290501E-6</v>
      </c>
      <c r="I107" s="73">
        <v>6.7717464534834497E-4</v>
      </c>
      <c r="J107" s="73">
        <v>7.0553565696386197E-3</v>
      </c>
      <c r="K107" s="73"/>
      <c r="L107" s="73"/>
      <c r="M107" s="73"/>
      <c r="O107" s="13">
        <f t="shared" ca="1" si="0"/>
        <v>2.2107629305679341E-4</v>
      </c>
      <c r="P107" s="13">
        <f t="shared" ca="1" si="1"/>
        <v>9.1709077171624816E-5</v>
      </c>
      <c r="Q107" s="13">
        <f t="shared" ca="1" si="2"/>
        <v>-1.3889740588061365E-5</v>
      </c>
      <c r="R107" s="13">
        <f t="shared" ca="1" si="3"/>
        <v>-7.4727825849523761E-6</v>
      </c>
      <c r="S107" s="13">
        <f t="shared" ca="1" si="4"/>
        <v>9.9646531663364485E-6</v>
      </c>
      <c r="T107" s="13">
        <f t="shared" ca="1" si="5"/>
        <v>-2.2462498703531366E-6</v>
      </c>
      <c r="U107" s="13">
        <f t="shared" ca="1" si="6"/>
        <v>2.3330650559823794E-5</v>
      </c>
      <c r="V107" s="13">
        <f t="shared" ca="1" si="7"/>
        <v>-8.3424352815544486E-5</v>
      </c>
      <c r="X107" s="3">
        <f t="shared" ca="1" si="8"/>
        <v>2.2107629305679341E-4</v>
      </c>
      <c r="Y107" s="3">
        <f t="shared" ca="1" si="9"/>
        <v>9.1709077171624816E-5</v>
      </c>
      <c r="Z107" s="3">
        <f t="shared" ca="1" si="10"/>
        <v>-1.3889740588061365E-5</v>
      </c>
      <c r="AA107" s="3">
        <f t="shared" ca="1" si="11"/>
        <v>-7.4727825849523761E-6</v>
      </c>
      <c r="AB107" s="3">
        <f t="shared" ca="1" si="12"/>
        <v>9.9646531663364485E-6</v>
      </c>
      <c r="AC107" s="3">
        <f t="shared" ca="1" si="13"/>
        <v>-2.2462498703531366E-6</v>
      </c>
      <c r="AD107" s="3">
        <f t="shared" ca="1" si="14"/>
        <v>2.3330650559823794E-5</v>
      </c>
      <c r="AE107" s="3">
        <f t="shared" ca="1" si="15"/>
        <v>-8.3424352815544486E-5</v>
      </c>
      <c r="AG107" s="3">
        <f t="shared" ca="1" si="16"/>
        <v>2.2107629305679341E-4</v>
      </c>
      <c r="AH107" s="3">
        <f t="shared" ca="1" si="17"/>
        <v>9.1709077171624816E-5</v>
      </c>
      <c r="AI107" s="3">
        <f t="shared" ca="1" si="18"/>
        <v>-8.7760915801387673E-5</v>
      </c>
      <c r="AJ107" s="3">
        <f t="shared" ca="1" si="19"/>
        <v>-4.8264644168573745E-5</v>
      </c>
      <c r="AK107" s="3">
        <f t="shared" ca="1" si="20"/>
        <v>9.9646531663364485E-6</v>
      </c>
      <c r="AL107" s="3">
        <f t="shared" ca="1" si="21"/>
        <v>-2.2462498703531366E-6</v>
      </c>
      <c r="AM107" s="3">
        <f t="shared" ca="1" si="22"/>
        <v>2.3330650559823794E-5</v>
      </c>
      <c r="AN107" s="3">
        <f t="shared" ca="1" si="23"/>
        <v>-8.3424352815544486E-5</v>
      </c>
      <c r="AP107" s="3" t="e">
        <f t="shared" ca="1" si="24"/>
        <v>#N/A</v>
      </c>
      <c r="AQ107" s="3" t="e">
        <f t="shared" ca="1" si="31"/>
        <v>#N/A</v>
      </c>
      <c r="AR107" s="3" t="e">
        <f t="shared" ca="1" si="25"/>
        <v>#N/A</v>
      </c>
      <c r="AS107" s="3" t="e">
        <f t="shared" ca="1" si="26"/>
        <v>#N/A</v>
      </c>
      <c r="AT107" s="3" t="e">
        <f t="shared" ca="1" si="27"/>
        <v>#N/A</v>
      </c>
      <c r="AU107" s="3" t="e">
        <f t="shared" ca="1" si="28"/>
        <v>#N/A</v>
      </c>
      <c r="AV107" s="10" t="e">
        <f t="shared" ca="1" si="32"/>
        <v>#N/A</v>
      </c>
      <c r="AW107" s="10" t="e">
        <f t="shared" ca="1" si="33"/>
        <v>#N/A</v>
      </c>
      <c r="AY107" s="3" t="e">
        <f t="shared" ca="1" si="39"/>
        <v>#N/A</v>
      </c>
      <c r="AZ107" s="3" t="e">
        <f t="shared" ca="1" si="34"/>
        <v>#N/A</v>
      </c>
      <c r="BA107" s="3" t="e">
        <f t="shared" ca="1" si="29"/>
        <v>#N/A</v>
      </c>
      <c r="BB107" s="3" t="e">
        <f t="shared" ca="1" si="35"/>
        <v>#N/A</v>
      </c>
      <c r="BC107" s="3" t="e">
        <f t="shared" ca="1" si="36"/>
        <v>#N/A</v>
      </c>
      <c r="BD107" s="3" t="e">
        <f t="shared" ca="1" si="30"/>
        <v>#N/A</v>
      </c>
      <c r="BE107" s="3" t="e">
        <f t="shared" ca="1" si="37"/>
        <v>#N/A</v>
      </c>
      <c r="BF107" s="3" t="e">
        <f t="shared" ca="1" si="38"/>
        <v>#N/A</v>
      </c>
    </row>
    <row r="108" spans="1:58" ht="15" x14ac:dyDescent="0.25">
      <c r="A108" s="72">
        <v>42</v>
      </c>
      <c r="B108" s="72">
        <v>1498730141.5929999</v>
      </c>
      <c r="C108" s="73">
        <v>3.1730597257277003E-4</v>
      </c>
      <c r="D108" s="73">
        <v>5.1023920998069702E-5</v>
      </c>
      <c r="E108" s="73">
        <v>9.0826758459608197E-4</v>
      </c>
      <c r="F108" s="73">
        <v>6.5834366642728297E-5</v>
      </c>
      <c r="G108" s="73">
        <v>1.1514809239214401E-3</v>
      </c>
      <c r="H108" s="73">
        <v>-3.2433673966602002E-5</v>
      </c>
      <c r="I108" s="73">
        <v>7.1208804625928898E-4</v>
      </c>
      <c r="J108" s="73">
        <v>7.0942797276740896E-3</v>
      </c>
      <c r="K108" s="73"/>
      <c r="L108" s="73"/>
      <c r="M108" s="73"/>
      <c r="O108" s="13">
        <f t="shared" ca="1" si="0"/>
        <v>5.2618743301208442E-5</v>
      </c>
      <c r="P108" s="13">
        <f t="shared" ca="1" si="1"/>
        <v>3.973644561322953E-5</v>
      </c>
      <c r="Q108" s="13">
        <f t="shared" ca="1" si="2"/>
        <v>6.752796662339662E-5</v>
      </c>
      <c r="R108" s="13">
        <f t="shared" ca="1" si="3"/>
        <v>5.605808775204717E-5</v>
      </c>
      <c r="S108" s="13">
        <f t="shared" ca="1" si="4"/>
        <v>1.6402290680066602E-5</v>
      </c>
      <c r="T108" s="13">
        <f t="shared" ca="1" si="5"/>
        <v>-3.2783495477626092E-5</v>
      </c>
      <c r="U108" s="13">
        <f t="shared" ca="1" si="6"/>
        <v>5.82440514707678E-5</v>
      </c>
      <c r="V108" s="13">
        <f t="shared" ca="1" si="7"/>
        <v>-4.4501194780074624E-5</v>
      </c>
      <c r="X108" s="3">
        <f t="shared" ca="1" si="8"/>
        <v>5.2618743301208442E-5</v>
      </c>
      <c r="Y108" s="3">
        <f t="shared" ca="1" si="9"/>
        <v>3.973644561322953E-5</v>
      </c>
      <c r="Z108" s="3">
        <f t="shared" ca="1" si="10"/>
        <v>6.752796662339662E-5</v>
      </c>
      <c r="AA108" s="3">
        <f t="shared" ca="1" si="11"/>
        <v>5.605808775204717E-5</v>
      </c>
      <c r="AB108" s="3">
        <f t="shared" ca="1" si="12"/>
        <v>1.6402290680066602E-5</v>
      </c>
      <c r="AC108" s="3">
        <f t="shared" ca="1" si="13"/>
        <v>-3.2783495477626092E-5</v>
      </c>
      <c r="AD108" s="3">
        <f t="shared" ca="1" si="14"/>
        <v>5.82440514707678E-5</v>
      </c>
      <c r="AE108" s="3">
        <f t="shared" ca="1" si="15"/>
        <v>-4.4501194780074624E-5</v>
      </c>
      <c r="AG108" s="3">
        <f t="shared" ca="1" si="16"/>
        <v>5.2618743301208442E-5</v>
      </c>
      <c r="AH108" s="3">
        <f t="shared" ca="1" si="17"/>
        <v>3.973644561322953E-5</v>
      </c>
      <c r="AI108" s="3">
        <f t="shared" ca="1" si="18"/>
        <v>3.5520470454217973E-5</v>
      </c>
      <c r="AJ108" s="3">
        <f t="shared" ca="1" si="19"/>
        <v>3.8383462303068401E-5</v>
      </c>
      <c r="AK108" s="3">
        <f t="shared" ca="1" si="20"/>
        <v>1.6402290680066602E-5</v>
      </c>
      <c r="AL108" s="3">
        <f t="shared" ca="1" si="21"/>
        <v>-3.2783495477626092E-5</v>
      </c>
      <c r="AM108" s="3">
        <f t="shared" ca="1" si="22"/>
        <v>5.82440514707678E-5</v>
      </c>
      <c r="AN108" s="3">
        <f t="shared" ca="1" si="23"/>
        <v>-4.4501194780074624E-5</v>
      </c>
      <c r="AP108" s="3" t="e">
        <f t="shared" ca="1" si="24"/>
        <v>#N/A</v>
      </c>
      <c r="AQ108" s="3" t="e">
        <f t="shared" ca="1" si="31"/>
        <v>#N/A</v>
      </c>
      <c r="AR108" s="3" t="e">
        <f t="shared" ca="1" si="25"/>
        <v>#N/A</v>
      </c>
      <c r="AS108" s="3" t="e">
        <f t="shared" ca="1" si="26"/>
        <v>#N/A</v>
      </c>
      <c r="AT108" s="3" t="e">
        <f t="shared" ca="1" si="27"/>
        <v>#N/A</v>
      </c>
      <c r="AU108" s="3" t="e">
        <f t="shared" ca="1" si="28"/>
        <v>#N/A</v>
      </c>
      <c r="AV108" s="10" t="e">
        <f t="shared" ca="1" si="32"/>
        <v>#N/A</v>
      </c>
      <c r="AW108" s="10" t="e">
        <f t="shared" ca="1" si="33"/>
        <v>#N/A</v>
      </c>
      <c r="AY108" s="3" t="e">
        <f t="shared" ca="1" si="39"/>
        <v>#N/A</v>
      </c>
      <c r="AZ108" s="3" t="e">
        <f t="shared" ca="1" si="34"/>
        <v>#N/A</v>
      </c>
      <c r="BA108" s="3" t="e">
        <f t="shared" ca="1" si="29"/>
        <v>#N/A</v>
      </c>
      <c r="BB108" s="3" t="e">
        <f t="shared" ca="1" si="35"/>
        <v>#N/A</v>
      </c>
      <c r="BC108" s="3" t="e">
        <f t="shared" ca="1" si="36"/>
        <v>#N/A</v>
      </c>
      <c r="BD108" s="3" t="e">
        <f t="shared" ca="1" si="30"/>
        <v>#N/A</v>
      </c>
      <c r="BE108" s="3" t="e">
        <f t="shared" ca="1" si="37"/>
        <v>#N/A</v>
      </c>
      <c r="BF108" s="3" t="e">
        <f t="shared" ca="1" si="38"/>
        <v>#N/A</v>
      </c>
    </row>
    <row r="109" spans="1:58" ht="15" x14ac:dyDescent="0.25">
      <c r="A109" s="72">
        <v>43</v>
      </c>
      <c r="B109" s="72">
        <v>1498730142.1199999</v>
      </c>
      <c r="C109" s="73">
        <v>1.8669954985574901E-4</v>
      </c>
      <c r="D109" s="73">
        <v>3.0944315166230801E-5</v>
      </c>
      <c r="E109" s="73">
        <v>7.6722756199310395E-4</v>
      </c>
      <c r="F109" s="73">
        <v>-6.0985411942584902E-5</v>
      </c>
      <c r="G109" s="73">
        <v>1.06827169139041E-3</v>
      </c>
      <c r="H109" s="73">
        <v>-6.6677547456872304E-6</v>
      </c>
      <c r="I109" s="73">
        <v>5.6840467052101697E-4</v>
      </c>
      <c r="J109" s="73">
        <v>7.1064584493361E-3</v>
      </c>
      <c r="K109" s="73"/>
      <c r="L109" s="73"/>
      <c r="M109" s="73"/>
      <c r="O109" s="13">
        <f t="shared" ca="1" si="0"/>
        <v>-7.7987679415812575E-5</v>
      </c>
      <c r="P109" s="13">
        <f t="shared" ca="1" si="1"/>
        <v>1.9656839781390629E-5</v>
      </c>
      <c r="Q109" s="13">
        <f t="shared" ca="1" si="2"/>
        <v>-7.35120559795814E-5</v>
      </c>
      <c r="R109" s="13">
        <f t="shared" ca="1" si="3"/>
        <v>-7.0761690833266022E-5</v>
      </c>
      <c r="S109" s="13">
        <f t="shared" ca="1" si="4"/>
        <v>-6.6806941850963523E-5</v>
      </c>
      <c r="T109" s="13">
        <f t="shared" ca="1" si="5"/>
        <v>-7.0175762567113169E-6</v>
      </c>
      <c r="U109" s="13">
        <f t="shared" ca="1" si="6"/>
        <v>-8.5439324267504212E-5</v>
      </c>
      <c r="V109" s="13">
        <f t="shared" ca="1" si="7"/>
        <v>-3.232247311806425E-5</v>
      </c>
      <c r="X109" s="3">
        <f t="shared" ca="1" si="8"/>
        <v>-7.7987679415812575E-5</v>
      </c>
      <c r="Y109" s="3">
        <f t="shared" ca="1" si="9"/>
        <v>1.9656839781390629E-5</v>
      </c>
      <c r="Z109" s="3">
        <f t="shared" ca="1" si="10"/>
        <v>-7.35120559795814E-5</v>
      </c>
      <c r="AA109" s="3">
        <f t="shared" ca="1" si="11"/>
        <v>-7.0761690833266022E-5</v>
      </c>
      <c r="AB109" s="3">
        <f t="shared" ca="1" si="12"/>
        <v>-6.6806941850963523E-5</v>
      </c>
      <c r="AC109" s="3">
        <f t="shared" ca="1" si="13"/>
        <v>-7.0175762567113169E-6</v>
      </c>
      <c r="AD109" s="3">
        <f t="shared" ca="1" si="14"/>
        <v>-8.5439324267504212E-5</v>
      </c>
      <c r="AE109" s="3">
        <f t="shared" ca="1" si="15"/>
        <v>-3.232247311806425E-5</v>
      </c>
      <c r="AG109" s="3">
        <f t="shared" ca="1" si="16"/>
        <v>-7.7987679415812575E-5</v>
      </c>
      <c r="AH109" s="3">
        <f t="shared" ca="1" si="17"/>
        <v>1.9656839781390629E-5</v>
      </c>
      <c r="AI109" s="3">
        <f t="shared" ca="1" si="18"/>
        <v>-8.9345536158582354E-5</v>
      </c>
      <c r="AJ109" s="3">
        <f t="shared" ca="1" si="19"/>
        <v>-7.950498116245932E-5</v>
      </c>
      <c r="AK109" s="3">
        <f t="shared" ca="1" si="20"/>
        <v>-6.6806941850963523E-5</v>
      </c>
      <c r="AL109" s="3">
        <f t="shared" ca="1" si="21"/>
        <v>-7.0175762567113169E-6</v>
      </c>
      <c r="AM109" s="3">
        <f t="shared" ca="1" si="22"/>
        <v>-8.5439324267504212E-5</v>
      </c>
      <c r="AN109" s="3">
        <f t="shared" ca="1" si="23"/>
        <v>-3.232247311806425E-5</v>
      </c>
      <c r="AP109" s="3" t="e">
        <f t="shared" ca="1" si="24"/>
        <v>#N/A</v>
      </c>
      <c r="AQ109" s="3" t="e">
        <f t="shared" ca="1" si="31"/>
        <v>#N/A</v>
      </c>
      <c r="AR109" s="3" t="e">
        <f t="shared" ca="1" si="25"/>
        <v>#N/A</v>
      </c>
      <c r="AS109" s="3" t="e">
        <f t="shared" ca="1" si="26"/>
        <v>#N/A</v>
      </c>
      <c r="AT109" s="3" t="e">
        <f t="shared" ca="1" si="27"/>
        <v>#N/A</v>
      </c>
      <c r="AU109" s="3" t="e">
        <f t="shared" ca="1" si="28"/>
        <v>#N/A</v>
      </c>
      <c r="AV109" s="10" t="e">
        <f t="shared" ca="1" si="32"/>
        <v>#N/A</v>
      </c>
      <c r="AW109" s="10" t="e">
        <f t="shared" ca="1" si="33"/>
        <v>#N/A</v>
      </c>
      <c r="AY109" s="3" t="e">
        <f t="shared" ca="1" si="39"/>
        <v>#N/A</v>
      </c>
      <c r="AZ109" s="3" t="e">
        <f t="shared" ca="1" si="34"/>
        <v>#N/A</v>
      </c>
      <c r="BA109" s="3" t="e">
        <f t="shared" ca="1" si="29"/>
        <v>#N/A</v>
      </c>
      <c r="BB109" s="3" t="e">
        <f t="shared" ca="1" si="35"/>
        <v>#N/A</v>
      </c>
      <c r="BC109" s="3" t="e">
        <f t="shared" ca="1" si="36"/>
        <v>#N/A</v>
      </c>
      <c r="BD109" s="3" t="e">
        <f t="shared" ca="1" si="30"/>
        <v>#N/A</v>
      </c>
      <c r="BE109" s="3" t="e">
        <f t="shared" ca="1" si="37"/>
        <v>#N/A</v>
      </c>
      <c r="BF109" s="3" t="e">
        <f t="shared" ca="1" si="38"/>
        <v>#N/A</v>
      </c>
    </row>
    <row r="110" spans="1:58" ht="15" x14ac:dyDescent="0.25">
      <c r="A110" s="72">
        <v>44</v>
      </c>
      <c r="B110" s="72">
        <v>1498730142.6470001</v>
      </c>
      <c r="C110" s="73">
        <v>1.80990369164198E-4</v>
      </c>
      <c r="D110" s="73">
        <v>-4.9617316264243402E-6</v>
      </c>
      <c r="E110" s="73">
        <v>7.9979192257570398E-4</v>
      </c>
      <c r="F110" s="73">
        <v>-5.33719209323632E-5</v>
      </c>
      <c r="G110" s="73">
        <v>1.02249764364335E-3</v>
      </c>
      <c r="H110" s="73">
        <v>-2.3672595590266101E-5</v>
      </c>
      <c r="I110" s="73">
        <v>6.3110032632688901E-4</v>
      </c>
      <c r="J110" s="73">
        <v>7.0510583994006304E-3</v>
      </c>
      <c r="K110" s="73"/>
      <c r="L110" s="73"/>
      <c r="M110" s="73"/>
      <c r="O110" s="13">
        <f t="shared" ca="1" si="0"/>
        <v>-8.369686010736358E-5</v>
      </c>
      <c r="P110" s="13">
        <f t="shared" ca="1" si="1"/>
        <v>-1.6249207011264514E-5</v>
      </c>
      <c r="Q110" s="13">
        <f t="shared" ca="1" si="2"/>
        <v>-4.0947695396981371E-5</v>
      </c>
      <c r="R110" s="13">
        <f t="shared" ca="1" si="3"/>
        <v>-6.3148199823044327E-5</v>
      </c>
      <c r="S110" s="13">
        <f t="shared" ca="1" si="4"/>
        <v>-1.1258098959802346E-4</v>
      </c>
      <c r="T110" s="13">
        <f t="shared" ca="1" si="5"/>
        <v>-2.4022417101290187E-5</v>
      </c>
      <c r="U110" s="13">
        <f t="shared" ca="1" si="6"/>
        <v>-2.2743668461632166E-5</v>
      </c>
      <c r="V110" s="13">
        <f t="shared" ca="1" si="7"/>
        <v>-8.7722523053533792E-5</v>
      </c>
      <c r="X110" s="3">
        <f t="shared" ca="1" si="8"/>
        <v>-8.369686010736358E-5</v>
      </c>
      <c r="Y110" s="3">
        <f t="shared" ca="1" si="9"/>
        <v>-1.6249207011264514E-5</v>
      </c>
      <c r="Z110" s="3">
        <f t="shared" ca="1" si="10"/>
        <v>-4.0947695396981371E-5</v>
      </c>
      <c r="AA110" s="3">
        <f t="shared" ca="1" si="11"/>
        <v>-6.3148199823044327E-5</v>
      </c>
      <c r="AB110" s="3">
        <f t="shared" ca="1" si="12"/>
        <v>-1.1258098959802346E-4</v>
      </c>
      <c r="AC110" s="3">
        <f t="shared" ca="1" si="13"/>
        <v>-2.4022417101290187E-5</v>
      </c>
      <c r="AD110" s="3">
        <f t="shared" ca="1" si="14"/>
        <v>-2.2743668461632166E-5</v>
      </c>
      <c r="AE110" s="3">
        <f t="shared" ca="1" si="15"/>
        <v>-8.7722523053533792E-5</v>
      </c>
      <c r="AG110" s="3">
        <f t="shared" ca="1" si="16"/>
        <v>-8.369686010736358E-5</v>
      </c>
      <c r="AH110" s="3">
        <f t="shared" ca="1" si="17"/>
        <v>-1.6249207011264514E-5</v>
      </c>
      <c r="AI110" s="3">
        <f t="shared" ca="1" si="18"/>
        <v>-4.0947695396981371E-5</v>
      </c>
      <c r="AJ110" s="3">
        <f t="shared" ca="1" si="19"/>
        <v>-6.3148199823044327E-5</v>
      </c>
      <c r="AK110" s="3">
        <f t="shared" ca="1" si="20"/>
        <v>-1.1258098959802346E-4</v>
      </c>
      <c r="AL110" s="3">
        <f t="shared" ca="1" si="21"/>
        <v>-2.4022417101290187E-5</v>
      </c>
      <c r="AM110" s="3">
        <f t="shared" ca="1" si="22"/>
        <v>-2.2743668461632166E-5</v>
      </c>
      <c r="AN110" s="3">
        <f t="shared" ca="1" si="23"/>
        <v>-8.7722523053533792E-5</v>
      </c>
      <c r="AP110" s="3" t="e">
        <f t="shared" ca="1" si="24"/>
        <v>#N/A</v>
      </c>
      <c r="AQ110" s="3" t="e">
        <f t="shared" ca="1" si="31"/>
        <v>#N/A</v>
      </c>
      <c r="AR110" s="3" t="e">
        <f t="shared" ca="1" si="25"/>
        <v>#N/A</v>
      </c>
      <c r="AS110" s="3" t="e">
        <f t="shared" ca="1" si="26"/>
        <v>#N/A</v>
      </c>
      <c r="AT110" s="3" t="e">
        <f t="shared" ca="1" si="27"/>
        <v>#N/A</v>
      </c>
      <c r="AU110" s="3" t="e">
        <f t="shared" ca="1" si="28"/>
        <v>#N/A</v>
      </c>
      <c r="AV110" s="10" t="e">
        <f t="shared" ca="1" si="32"/>
        <v>#N/A</v>
      </c>
      <c r="AW110" s="10" t="e">
        <f t="shared" ca="1" si="33"/>
        <v>#N/A</v>
      </c>
      <c r="AY110" s="3" t="e">
        <f t="shared" ca="1" si="39"/>
        <v>#N/A</v>
      </c>
      <c r="AZ110" s="3" t="e">
        <f t="shared" ca="1" si="34"/>
        <v>#N/A</v>
      </c>
      <c r="BA110" s="3" t="e">
        <f t="shared" ca="1" si="29"/>
        <v>#N/A</v>
      </c>
      <c r="BB110" s="3" t="e">
        <f t="shared" ca="1" si="35"/>
        <v>#N/A</v>
      </c>
      <c r="BC110" s="3" t="e">
        <f t="shared" ca="1" si="36"/>
        <v>#N/A</v>
      </c>
      <c r="BD110" s="3" t="e">
        <f t="shared" ca="1" si="30"/>
        <v>#N/A</v>
      </c>
      <c r="BE110" s="3" t="e">
        <f t="shared" ca="1" si="37"/>
        <v>#N/A</v>
      </c>
      <c r="BF110" s="3" t="e">
        <f t="shared" ca="1" si="38"/>
        <v>#N/A</v>
      </c>
    </row>
    <row r="111" spans="1:58" ht="15" x14ac:dyDescent="0.25">
      <c r="A111" s="72">
        <v>45</v>
      </c>
      <c r="B111" s="72">
        <v>1498730143.1730001</v>
      </c>
      <c r="C111" s="73">
        <v>2.4522053406712699E-4</v>
      </c>
      <c r="D111" s="73">
        <v>1.06067747790679E-4</v>
      </c>
      <c r="E111" s="73">
        <v>8.3570971995448396E-4</v>
      </c>
      <c r="F111" s="73">
        <v>2.8000889673102898E-5</v>
      </c>
      <c r="G111" s="73">
        <v>1.1440895658549699E-3</v>
      </c>
      <c r="H111" s="73">
        <v>5.4337479679768398E-5</v>
      </c>
      <c r="I111" s="73">
        <v>7.9426998879183303E-4</v>
      </c>
      <c r="J111" s="73">
        <v>7.1386969558019696E-3</v>
      </c>
      <c r="K111" s="73"/>
      <c r="L111" s="73"/>
      <c r="M111" s="73"/>
      <c r="O111" s="13">
        <f t="shared" ca="1" si="0"/>
        <v>-1.9466695204434594E-5</v>
      </c>
      <c r="P111" s="13">
        <f t="shared" ca="1" si="1"/>
        <v>9.4780272405838823E-5</v>
      </c>
      <c r="Q111" s="13">
        <f t="shared" ca="1" si="2"/>
        <v>-5.0298980182013949E-6</v>
      </c>
      <c r="R111" s="13">
        <f t="shared" ca="1" si="3"/>
        <v>1.8224610782421771E-5</v>
      </c>
      <c r="S111" s="13">
        <f t="shared" ca="1" si="4"/>
        <v>9.0109326135964264E-6</v>
      </c>
      <c r="T111" s="13">
        <f t="shared" ca="1" si="5"/>
        <v>5.3987658168744308E-5</v>
      </c>
      <c r="U111" s="13">
        <f t="shared" ca="1" si="6"/>
        <v>1.4042599400331186E-4</v>
      </c>
      <c r="V111" s="13">
        <f t="shared" ca="1" si="7"/>
        <v>-8.3966652194601699E-8</v>
      </c>
      <c r="X111" s="3">
        <f t="shared" ca="1" si="8"/>
        <v>-1.9466695204434594E-5</v>
      </c>
      <c r="Y111" s="3">
        <f t="shared" ca="1" si="9"/>
        <v>9.4780272405838823E-5</v>
      </c>
      <c r="Z111" s="3">
        <f t="shared" ca="1" si="10"/>
        <v>-5.4429440025763121E-6</v>
      </c>
      <c r="AA111" s="3">
        <f t="shared" ca="1" si="11"/>
        <v>8.2270204788016067E-6</v>
      </c>
      <c r="AB111" s="3">
        <f t="shared" ca="1" si="12"/>
        <v>-6.3694548045124856E-5</v>
      </c>
      <c r="AC111" s="3">
        <f t="shared" ca="1" si="13"/>
        <v>5.3987658168744308E-5</v>
      </c>
      <c r="AD111" s="3">
        <f t="shared" ca="1" si="14"/>
        <v>3.3057506587672763E-5</v>
      </c>
      <c r="AE111" s="3">
        <f t="shared" ca="1" si="15"/>
        <v>-4.3651601124208027E-5</v>
      </c>
      <c r="AG111" s="3">
        <f t="shared" ca="1" si="16"/>
        <v>-1.9466695204434594E-5</v>
      </c>
      <c r="AH111" s="3">
        <f t="shared" ca="1" si="17"/>
        <v>9.4780272405838823E-5</v>
      </c>
      <c r="AI111" s="3">
        <f t="shared" ca="1" si="18"/>
        <v>-8.1787950686656441E-5</v>
      </c>
      <c r="AJ111" s="3">
        <f t="shared" ca="1" si="19"/>
        <v>-3.393089749480924E-5</v>
      </c>
      <c r="AK111" s="3">
        <f t="shared" ca="1" si="20"/>
        <v>-6.3694548045124856E-5</v>
      </c>
      <c r="AL111" s="3">
        <f t="shared" ca="1" si="21"/>
        <v>5.3987658168744308E-5</v>
      </c>
      <c r="AM111" s="3">
        <f t="shared" ca="1" si="22"/>
        <v>3.3057506587672763E-5</v>
      </c>
      <c r="AN111" s="3">
        <f t="shared" ca="1" si="23"/>
        <v>-4.3651601124208027E-5</v>
      </c>
      <c r="AP111" s="3" t="e">
        <f t="shared" ca="1" si="24"/>
        <v>#N/A</v>
      </c>
      <c r="AQ111" s="3" t="e">
        <f t="shared" ca="1" si="31"/>
        <v>#N/A</v>
      </c>
      <c r="AR111" s="3" t="e">
        <f t="shared" ca="1" si="25"/>
        <v>#N/A</v>
      </c>
      <c r="AS111" s="3" t="e">
        <f t="shared" ca="1" si="26"/>
        <v>#N/A</v>
      </c>
      <c r="AT111" s="3" t="e">
        <f t="shared" ca="1" si="27"/>
        <v>#N/A</v>
      </c>
      <c r="AU111" s="3" t="e">
        <f t="shared" ca="1" si="28"/>
        <v>#N/A</v>
      </c>
      <c r="AV111" s="10" t="e">
        <f t="shared" ca="1" si="32"/>
        <v>#N/A</v>
      </c>
      <c r="AW111" s="10" t="e">
        <f t="shared" ca="1" si="33"/>
        <v>#N/A</v>
      </c>
      <c r="AY111" s="3" t="e">
        <f t="shared" ca="1" si="39"/>
        <v>#N/A</v>
      </c>
      <c r="AZ111" s="3" t="e">
        <f t="shared" ca="1" si="34"/>
        <v>#N/A</v>
      </c>
      <c r="BA111" s="3" t="e">
        <f t="shared" ca="1" si="29"/>
        <v>#N/A</v>
      </c>
      <c r="BB111" s="3" t="e">
        <f t="shared" ca="1" si="35"/>
        <v>#N/A</v>
      </c>
      <c r="BC111" s="3" t="e">
        <f t="shared" ca="1" si="36"/>
        <v>#N/A</v>
      </c>
      <c r="BD111" s="3" t="e">
        <f t="shared" ca="1" si="30"/>
        <v>#N/A</v>
      </c>
      <c r="BE111" s="3" t="e">
        <f t="shared" ca="1" si="37"/>
        <v>#N/A</v>
      </c>
      <c r="BF111" s="3" t="e">
        <f t="shared" ca="1" si="38"/>
        <v>#N/A</v>
      </c>
    </row>
    <row r="112" spans="1:58" ht="15" x14ac:dyDescent="0.25">
      <c r="A112" s="72">
        <v>46</v>
      </c>
      <c r="B112" s="72">
        <v>1498730143.7</v>
      </c>
      <c r="C112" s="73">
        <v>2.4783740615469201E-4</v>
      </c>
      <c r="D112" s="73">
        <v>3.1180543460873501E-5</v>
      </c>
      <c r="E112" s="73">
        <v>8.4600639184140899E-4</v>
      </c>
      <c r="F112" s="73">
        <v>3.4663284785007998E-5</v>
      </c>
      <c r="G112" s="73">
        <v>1.1409899803388E-3</v>
      </c>
      <c r="H112" s="73">
        <v>3.1745574631292902E-5</v>
      </c>
      <c r="I112" s="73">
        <v>6.9047484450263704E-4</v>
      </c>
      <c r="J112" s="73">
        <v>7.0821011538913896E-3</v>
      </c>
      <c r="K112" s="73"/>
      <c r="L112" s="73"/>
      <c r="M112" s="73"/>
      <c r="O112" s="13">
        <f t="shared" ca="1" si="0"/>
        <v>-1.6849823116869573E-5</v>
      </c>
      <c r="P112" s="13">
        <f t="shared" ca="1" si="1"/>
        <v>1.989306807603333E-5</v>
      </c>
      <c r="Q112" s="13">
        <f t="shared" ca="1" si="2"/>
        <v>5.2667738687236327E-6</v>
      </c>
      <c r="R112" s="13">
        <f t="shared" ca="1" si="3"/>
        <v>2.488700589432687E-5</v>
      </c>
      <c r="S112" s="13">
        <f t="shared" ca="1" si="4"/>
        <v>5.9113470974264757E-6</v>
      </c>
      <c r="T112" s="13">
        <f t="shared" ca="1" si="5"/>
        <v>3.1395753120268812E-5</v>
      </c>
      <c r="U112" s="13">
        <f t="shared" ca="1" si="6"/>
        <v>3.6630849714115862E-5</v>
      </c>
      <c r="V112" s="13">
        <f t="shared" ca="1" si="7"/>
        <v>-5.6679768562774638E-5</v>
      </c>
      <c r="X112" s="3">
        <f t="shared" ca="1" si="8"/>
        <v>-1.6849823116869573E-5</v>
      </c>
      <c r="Y112" s="3">
        <f t="shared" ca="1" si="9"/>
        <v>1.989306807603333E-5</v>
      </c>
      <c r="Z112" s="3">
        <f t="shared" ca="1" si="10"/>
        <v>5.0265728636676108E-6</v>
      </c>
      <c r="AA112" s="3">
        <f t="shared" ca="1" si="11"/>
        <v>1.9073049749220892E-5</v>
      </c>
      <c r="AB112" s="3">
        <f t="shared" ca="1" si="12"/>
        <v>-3.6369488906184611E-5</v>
      </c>
      <c r="AC112" s="3">
        <f t="shared" ca="1" si="13"/>
        <v>3.1395753120268812E-5</v>
      </c>
      <c r="AD112" s="3">
        <f t="shared" ca="1" si="14"/>
        <v>-2.5807763816071595E-5</v>
      </c>
      <c r="AE112" s="3">
        <f t="shared" ca="1" si="15"/>
        <v>-8.2015905419130167E-5</v>
      </c>
      <c r="AG112" s="3">
        <f t="shared" ca="1" si="16"/>
        <v>-1.6849823116869573E-5</v>
      </c>
      <c r="AH112" s="3">
        <f t="shared" ca="1" si="17"/>
        <v>1.989306807603333E-5</v>
      </c>
      <c r="AI112" s="3">
        <f t="shared" ca="1" si="18"/>
        <v>-1.0997187953652699E-5</v>
      </c>
      <c r="AJ112" s="3">
        <f t="shared" ca="1" si="19"/>
        <v>1.0224685939905595E-5</v>
      </c>
      <c r="AK112" s="3">
        <f t="shared" ca="1" si="20"/>
        <v>-3.6369488906184611E-5</v>
      </c>
      <c r="AL112" s="3">
        <f t="shared" ca="1" si="21"/>
        <v>3.1395753120268812E-5</v>
      </c>
      <c r="AM112" s="3">
        <f t="shared" ca="1" si="22"/>
        <v>-2.5807763816071595E-5</v>
      </c>
      <c r="AN112" s="3">
        <f t="shared" ca="1" si="23"/>
        <v>-8.2015905419130167E-5</v>
      </c>
      <c r="AP112" s="3" t="e">
        <f t="shared" ca="1" si="24"/>
        <v>#N/A</v>
      </c>
      <c r="AQ112" s="3" t="e">
        <f t="shared" ca="1" si="31"/>
        <v>#N/A</v>
      </c>
      <c r="AR112" s="3" t="e">
        <f t="shared" ca="1" si="25"/>
        <v>#N/A</v>
      </c>
      <c r="AS112" s="3" t="e">
        <f t="shared" ca="1" si="26"/>
        <v>#N/A</v>
      </c>
      <c r="AT112" s="3" t="e">
        <f t="shared" ca="1" si="27"/>
        <v>#N/A</v>
      </c>
      <c r="AU112" s="3" t="e">
        <f t="shared" ca="1" si="28"/>
        <v>#N/A</v>
      </c>
      <c r="AV112" s="10" t="e">
        <f t="shared" ca="1" si="32"/>
        <v>#N/A</v>
      </c>
      <c r="AW112" s="10" t="e">
        <f t="shared" ca="1" si="33"/>
        <v>#N/A</v>
      </c>
      <c r="AY112" s="3" t="e">
        <f t="shared" ca="1" si="39"/>
        <v>#N/A</v>
      </c>
      <c r="AZ112" s="3" t="e">
        <f t="shared" ca="1" si="34"/>
        <v>#N/A</v>
      </c>
      <c r="BA112" s="3" t="e">
        <f t="shared" ca="1" si="29"/>
        <v>#N/A</v>
      </c>
      <c r="BB112" s="3" t="e">
        <f t="shared" ca="1" si="35"/>
        <v>#N/A</v>
      </c>
      <c r="BC112" s="3" t="e">
        <f t="shared" ca="1" si="36"/>
        <v>#N/A</v>
      </c>
      <c r="BD112" s="3" t="e">
        <f t="shared" ca="1" si="30"/>
        <v>#N/A</v>
      </c>
      <c r="BE112" s="3" t="e">
        <f t="shared" ca="1" si="37"/>
        <v>#N/A</v>
      </c>
      <c r="BF112" s="3" t="e">
        <f t="shared" ca="1" si="38"/>
        <v>#N/A</v>
      </c>
    </row>
    <row r="113" spans="1:58" ht="15" x14ac:dyDescent="0.25">
      <c r="A113" s="72">
        <v>47</v>
      </c>
      <c r="B113" s="72">
        <v>1498730144.227</v>
      </c>
      <c r="C113" s="73">
        <v>2.6187347348131598E-4</v>
      </c>
      <c r="D113" s="73">
        <v>-2.1024542404488099E-5</v>
      </c>
      <c r="E113" s="73">
        <v>7.9308740917549399E-4</v>
      </c>
      <c r="F113" s="73">
        <v>-1.9824284788065799E-5</v>
      </c>
      <c r="G113" s="73">
        <v>1.0885369127240699E-3</v>
      </c>
      <c r="H113" s="73">
        <v>-4.9434097377065302E-5</v>
      </c>
      <c r="I113" s="73">
        <v>5.7529150070597995E-4</v>
      </c>
      <c r="J113" s="73">
        <v>7.0064062760433702E-3</v>
      </c>
      <c r="K113" s="73"/>
      <c r="L113" s="73"/>
      <c r="M113" s="73"/>
      <c r="O113" s="13">
        <f t="shared" ca="1" si="0"/>
        <v>-2.8137557902456023E-6</v>
      </c>
      <c r="P113" s="13">
        <f t="shared" ca="1" si="1"/>
        <v>-3.231201778932827E-5</v>
      </c>
      <c r="Q113" s="13">
        <f t="shared" ca="1" si="2"/>
        <v>-4.7652208797191366E-5</v>
      </c>
      <c r="R113" s="13">
        <f t="shared" ca="1" si="3"/>
        <v>-2.9600563678746923E-5</v>
      </c>
      <c r="S113" s="13">
        <f t="shared" ca="1" si="4"/>
        <v>-4.6541720517303577E-5</v>
      </c>
      <c r="T113" s="13">
        <f t="shared" ca="1" si="5"/>
        <v>-4.9783918888089392E-5</v>
      </c>
      <c r="U113" s="13">
        <f t="shared" ca="1" si="6"/>
        <v>-7.8552494082541227E-5</v>
      </c>
      <c r="V113" s="13">
        <f t="shared" ca="1" si="7"/>
        <v>-1.3237464641079402E-4</v>
      </c>
      <c r="X113" s="3">
        <f t="shared" ca="1" si="8"/>
        <v>-2.8137557902456023E-6</v>
      </c>
      <c r="Y113" s="3">
        <f t="shared" ca="1" si="9"/>
        <v>-3.231201778932827E-5</v>
      </c>
      <c r="Z113" s="3">
        <f t="shared" ca="1" si="10"/>
        <v>-4.7652208797191366E-5</v>
      </c>
      <c r="AA113" s="3">
        <f t="shared" ca="1" si="11"/>
        <v>-2.9600563678746923E-5</v>
      </c>
      <c r="AB113" s="3">
        <f t="shared" ca="1" si="12"/>
        <v>-4.6541720517303577E-5</v>
      </c>
      <c r="AC113" s="3">
        <f t="shared" ca="1" si="13"/>
        <v>-4.9783918888089392E-5</v>
      </c>
      <c r="AD113" s="3">
        <f t="shared" ca="1" si="14"/>
        <v>-7.8552494082541227E-5</v>
      </c>
      <c r="AE113" s="3">
        <f t="shared" ca="1" si="15"/>
        <v>-1.3237464641079402E-4</v>
      </c>
      <c r="AG113" s="3">
        <f t="shared" ca="1" si="16"/>
        <v>-2.8137557902456023E-6</v>
      </c>
      <c r="AH113" s="3">
        <f t="shared" ca="1" si="17"/>
        <v>-3.231201778932827E-5</v>
      </c>
      <c r="AI113" s="3">
        <f t="shared" ca="1" si="18"/>
        <v>-4.7652208797191366E-5</v>
      </c>
      <c r="AJ113" s="3">
        <f t="shared" ca="1" si="19"/>
        <v>-2.9600563678746923E-5</v>
      </c>
      <c r="AK113" s="3">
        <f t="shared" ca="1" si="20"/>
        <v>-4.6541720517303577E-5</v>
      </c>
      <c r="AL113" s="3">
        <f t="shared" ca="1" si="21"/>
        <v>-4.9783918888089392E-5</v>
      </c>
      <c r="AM113" s="3">
        <f t="shared" ca="1" si="22"/>
        <v>-7.8552494082541227E-5</v>
      </c>
      <c r="AN113" s="3">
        <f t="shared" ca="1" si="23"/>
        <v>-1.3237464641079402E-4</v>
      </c>
      <c r="AP113" s="3" t="e">
        <f t="shared" ca="1" si="24"/>
        <v>#N/A</v>
      </c>
      <c r="AQ113" s="3" t="e">
        <f t="shared" ca="1" si="31"/>
        <v>#N/A</v>
      </c>
      <c r="AR113" s="3" t="e">
        <f t="shared" ca="1" si="25"/>
        <v>#N/A</v>
      </c>
      <c r="AS113" s="3" t="e">
        <f t="shared" ca="1" si="26"/>
        <v>#N/A</v>
      </c>
      <c r="AT113" s="3" t="e">
        <f t="shared" ca="1" si="27"/>
        <v>#N/A</v>
      </c>
      <c r="AU113" s="3" t="e">
        <f t="shared" ca="1" si="28"/>
        <v>#N/A</v>
      </c>
      <c r="AV113" s="10" t="e">
        <f t="shared" ca="1" si="32"/>
        <v>#N/A</v>
      </c>
      <c r="AW113" s="10" t="e">
        <f t="shared" ca="1" si="33"/>
        <v>#N/A</v>
      </c>
      <c r="AY113" s="3" t="e">
        <f t="shared" ca="1" si="39"/>
        <v>#N/A</v>
      </c>
      <c r="AZ113" s="3" t="e">
        <f t="shared" ca="1" si="34"/>
        <v>#N/A</v>
      </c>
      <c r="BA113" s="3" t="e">
        <f t="shared" ca="1" si="29"/>
        <v>#N/A</v>
      </c>
      <c r="BB113" s="3" t="e">
        <f t="shared" ca="1" si="35"/>
        <v>#N/A</v>
      </c>
      <c r="BC113" s="3" t="e">
        <f t="shared" ca="1" si="36"/>
        <v>#N/A</v>
      </c>
      <c r="BD113" s="3" t="e">
        <f t="shared" ca="1" si="30"/>
        <v>#N/A</v>
      </c>
      <c r="BE113" s="3" t="e">
        <f t="shared" ca="1" si="37"/>
        <v>#N/A</v>
      </c>
      <c r="BF113" s="3" t="e">
        <f t="shared" ca="1" si="38"/>
        <v>#N/A</v>
      </c>
    </row>
    <row r="114" spans="1:58" ht="15" x14ac:dyDescent="0.25">
      <c r="A114" s="72">
        <v>48</v>
      </c>
      <c r="B114" s="72">
        <v>1498730144.7539999</v>
      </c>
      <c r="C114" s="73">
        <v>3.1373726407745101E-4</v>
      </c>
      <c r="D114" s="73">
        <v>4.9370291045424099E-5</v>
      </c>
      <c r="E114" s="73">
        <v>8.3187842710014202E-4</v>
      </c>
      <c r="F114" s="73">
        <v>2.6097356376414701E-5</v>
      </c>
      <c r="G114" s="73">
        <v>1.09640469752681E-3</v>
      </c>
      <c r="H114" s="73">
        <v>-2.5797995687406599E-5</v>
      </c>
      <c r="I114" s="73">
        <v>6.28725419089974E-4</v>
      </c>
      <c r="J114" s="73">
        <v>7.1021600600988301E-3</v>
      </c>
      <c r="K114" s="73"/>
      <c r="L114" s="73"/>
      <c r="M114" s="73"/>
      <c r="O114" s="13">
        <f t="shared" ca="1" si="0"/>
        <v>4.9050034805889426E-5</v>
      </c>
      <c r="P114" s="13">
        <f t="shared" ca="1" si="1"/>
        <v>3.8082815660583928E-5</v>
      </c>
      <c r="Q114" s="13">
        <f t="shared" ca="1" si="2"/>
        <v>-8.8611908725433385E-6</v>
      </c>
      <c r="R114" s="13">
        <f t="shared" ca="1" si="3"/>
        <v>1.6321077485733577E-5</v>
      </c>
      <c r="S114" s="13">
        <f t="shared" ca="1" si="4"/>
        <v>-3.8673935714563477E-5</v>
      </c>
      <c r="T114" s="13">
        <f t="shared" ca="1" si="5"/>
        <v>-2.6147817198430685E-5</v>
      </c>
      <c r="U114" s="13">
        <f t="shared" ca="1" si="6"/>
        <v>-2.5118575698547183E-5</v>
      </c>
      <c r="V114" s="13">
        <f t="shared" ca="1" si="7"/>
        <v>-3.6620862355334072E-5</v>
      </c>
      <c r="X114" s="3">
        <f t="shared" ca="1" si="8"/>
        <v>4.9050034805889426E-5</v>
      </c>
      <c r="Y114" s="3">
        <f t="shared" ca="1" si="9"/>
        <v>3.8082815660583928E-5</v>
      </c>
      <c r="Z114" s="3">
        <f t="shared" ca="1" si="10"/>
        <v>-8.8611908725433385E-6</v>
      </c>
      <c r="AA114" s="3">
        <f t="shared" ca="1" si="11"/>
        <v>1.6321077485733577E-5</v>
      </c>
      <c r="AB114" s="3">
        <f t="shared" ca="1" si="12"/>
        <v>-3.8673935714563477E-5</v>
      </c>
      <c r="AC114" s="3">
        <f t="shared" ca="1" si="13"/>
        <v>-2.6147817198430685E-5</v>
      </c>
      <c r="AD114" s="3">
        <f t="shared" ca="1" si="14"/>
        <v>-2.5118575698547183E-5</v>
      </c>
      <c r="AE114" s="3">
        <f t="shared" ca="1" si="15"/>
        <v>-3.6620862355334072E-5</v>
      </c>
      <c r="AG114" s="3">
        <f t="shared" ca="1" si="16"/>
        <v>4.9050034805889426E-5</v>
      </c>
      <c r="AH114" s="3">
        <f t="shared" ca="1" si="17"/>
        <v>3.8082815660583928E-5</v>
      </c>
      <c r="AI114" s="3">
        <f t="shared" ca="1" si="18"/>
        <v>-3.9536696886142457E-5</v>
      </c>
      <c r="AJ114" s="3">
        <f t="shared" ca="1" si="19"/>
        <v>-6.180194177707359E-7</v>
      </c>
      <c r="AK114" s="3">
        <f t="shared" ca="1" si="20"/>
        <v>-3.8673935714563477E-5</v>
      </c>
      <c r="AL114" s="3">
        <f t="shared" ca="1" si="21"/>
        <v>-2.6147817198430685E-5</v>
      </c>
      <c r="AM114" s="3">
        <f t="shared" ca="1" si="22"/>
        <v>-2.5118575698547183E-5</v>
      </c>
      <c r="AN114" s="3">
        <f t="shared" ca="1" si="23"/>
        <v>-3.6620862355334072E-5</v>
      </c>
      <c r="AP114" s="3" t="e">
        <f t="shared" ca="1" si="24"/>
        <v>#N/A</v>
      </c>
      <c r="AQ114" s="3" t="e">
        <f t="shared" ca="1" si="31"/>
        <v>#N/A</v>
      </c>
      <c r="AR114" s="3" t="e">
        <f t="shared" ca="1" si="25"/>
        <v>#N/A</v>
      </c>
      <c r="AS114" s="3" t="e">
        <f t="shared" ca="1" si="26"/>
        <v>#N/A</v>
      </c>
      <c r="AT114" s="3" t="e">
        <f t="shared" ca="1" si="27"/>
        <v>#N/A</v>
      </c>
      <c r="AU114" s="3" t="e">
        <f t="shared" ca="1" si="28"/>
        <v>#N/A</v>
      </c>
      <c r="AV114" s="10" t="e">
        <f t="shared" ca="1" si="32"/>
        <v>#N/A</v>
      </c>
      <c r="AW114" s="10" t="e">
        <f t="shared" ca="1" si="33"/>
        <v>#N/A</v>
      </c>
      <c r="AY114" s="3" t="e">
        <f t="shared" ca="1" si="39"/>
        <v>#N/A</v>
      </c>
      <c r="AZ114" s="3" t="e">
        <f t="shared" ca="1" si="34"/>
        <v>#N/A</v>
      </c>
      <c r="BA114" s="3" t="e">
        <f t="shared" ca="1" si="29"/>
        <v>#N/A</v>
      </c>
      <c r="BB114" s="3" t="e">
        <f t="shared" ca="1" si="35"/>
        <v>#N/A</v>
      </c>
      <c r="BC114" s="3" t="e">
        <f t="shared" ca="1" si="36"/>
        <v>#N/A</v>
      </c>
      <c r="BD114" s="3" t="e">
        <f t="shared" ca="1" si="30"/>
        <v>#N/A</v>
      </c>
      <c r="BE114" s="3" t="e">
        <f t="shared" ca="1" si="37"/>
        <v>#N/A</v>
      </c>
      <c r="BF114" s="3" t="e">
        <f t="shared" ca="1" si="38"/>
        <v>#N/A</v>
      </c>
    </row>
    <row r="115" spans="1:58" ht="15" x14ac:dyDescent="0.25">
      <c r="A115" s="72">
        <v>49</v>
      </c>
      <c r="B115" s="72">
        <v>1498730145.2809999</v>
      </c>
      <c r="C115" s="73">
        <v>3.84875926811973E-4</v>
      </c>
      <c r="D115" s="73">
        <v>8.2207173247836901E-5</v>
      </c>
      <c r="E115" s="73">
        <v>8.7665757415687198E-4</v>
      </c>
      <c r="F115" s="73">
        <v>1.1583034298582601E-5</v>
      </c>
      <c r="G115" s="73">
        <v>1.1524346515209901E-3</v>
      </c>
      <c r="H115" s="73">
        <v>9.7337753989858606E-5</v>
      </c>
      <c r="I115" s="73">
        <v>6.3703761915094798E-4</v>
      </c>
      <c r="J115" s="73">
        <v>7.1468164467088403E-3</v>
      </c>
      <c r="K115" s="73"/>
      <c r="L115" s="73"/>
      <c r="M115" s="73"/>
      <c r="O115" s="13">
        <f t="shared" ca="1" si="0"/>
        <v>1.2018869754041141E-4</v>
      </c>
      <c r="P115" s="13">
        <f t="shared" ca="1" si="1"/>
        <v>7.0919697862996723E-5</v>
      </c>
      <c r="Q115" s="13">
        <f t="shared" ca="1" si="2"/>
        <v>3.5917956184186627E-5</v>
      </c>
      <c r="R115" s="13">
        <f t="shared" ca="1" si="3"/>
        <v>1.8067554079014751E-6</v>
      </c>
      <c r="S115" s="13">
        <f t="shared" ca="1" si="4"/>
        <v>1.7356018279616591E-5</v>
      </c>
      <c r="T115" s="13">
        <f t="shared" ca="1" si="5"/>
        <v>9.6987932478834516E-5</v>
      </c>
      <c r="U115" s="13">
        <f t="shared" ca="1" si="6"/>
        <v>-1.6806375637573199E-5</v>
      </c>
      <c r="V115" s="13">
        <f t="shared" ca="1" si="7"/>
        <v>8.0355242546761158E-6</v>
      </c>
      <c r="X115" s="3">
        <f t="shared" ca="1" si="8"/>
        <v>1.2018869754041141E-4</v>
      </c>
      <c r="Y115" s="3">
        <f t="shared" ca="1" si="9"/>
        <v>7.0919697862996723E-5</v>
      </c>
      <c r="Z115" s="3">
        <f t="shared" ca="1" si="10"/>
        <v>3.5175925923900196E-5</v>
      </c>
      <c r="AA115" s="3">
        <f t="shared" ca="1" si="11"/>
        <v>-1.6153749755849656E-5</v>
      </c>
      <c r="AB115" s="3">
        <f t="shared" ca="1" si="12"/>
        <v>-1.1325817185489282E-4</v>
      </c>
      <c r="AC115" s="3">
        <f t="shared" ca="1" si="13"/>
        <v>9.6987932478834516E-5</v>
      </c>
      <c r="AD115" s="3">
        <f t="shared" ca="1" si="14"/>
        <v>-2.0969208250180192E-4</v>
      </c>
      <c r="AE115" s="3">
        <f t="shared" ca="1" si="15"/>
        <v>-7.0233008476023408E-5</v>
      </c>
      <c r="AG115" s="3">
        <f t="shared" ca="1" si="16"/>
        <v>1.2018869754041141E-4</v>
      </c>
      <c r="AH115" s="3">
        <f t="shared" ca="1" si="17"/>
        <v>7.0919697862996723E-5</v>
      </c>
      <c r="AI115" s="3">
        <f t="shared" ca="1" si="18"/>
        <v>-2.1949514528514904E-5</v>
      </c>
      <c r="AJ115" s="3">
        <f t="shared" ca="1" si="19"/>
        <v>-4.7698571577202591E-5</v>
      </c>
      <c r="AK115" s="3">
        <f t="shared" ca="1" si="20"/>
        <v>-1.1325817185489282E-4</v>
      </c>
      <c r="AL115" s="3">
        <f t="shared" ca="1" si="21"/>
        <v>9.6987932478834516E-5</v>
      </c>
      <c r="AM115" s="3">
        <f t="shared" ca="1" si="22"/>
        <v>-2.0969208250180192E-4</v>
      </c>
      <c r="AN115" s="3">
        <f t="shared" ca="1" si="23"/>
        <v>-7.0233008476023408E-5</v>
      </c>
      <c r="AP115" s="3">
        <f t="shared" ca="1" si="24"/>
        <v>0.46298201149703022</v>
      </c>
      <c r="AQ115" s="3">
        <f t="shared" ca="1" si="31"/>
        <v>2.0583926745049594E-2</v>
      </c>
      <c r="AR115" s="3">
        <f t="shared" ca="1" si="25"/>
        <v>3.7190120962466163E-8</v>
      </c>
      <c r="AS115" s="3">
        <f t="shared" ca="1" si="26"/>
        <v>-1.6843565758535667E-5</v>
      </c>
      <c r="AT115" s="3">
        <f t="shared" ca="1" si="27"/>
        <v>-4.1707871400610008</v>
      </c>
      <c r="AU115" s="3">
        <f t="shared" ca="1" si="28"/>
        <v>0.1069532804358659</v>
      </c>
      <c r="AV115" s="10" t="str">
        <f t="shared" ca="1" si="32"/>
        <v>rejected</v>
      </c>
      <c r="AW115" s="10" t="e">
        <f t="shared" ca="1" si="33"/>
        <v>#N/A</v>
      </c>
      <c r="AY115" s="3" t="e">
        <f t="shared" ca="1" si="39"/>
        <v>#N/A</v>
      </c>
      <c r="AZ115" s="3" t="e">
        <f t="shared" ca="1" si="34"/>
        <v>#N/A</v>
      </c>
      <c r="BA115" s="3" t="e">
        <f t="shared" ca="1" si="29"/>
        <v>#N/A</v>
      </c>
      <c r="BB115" s="3" t="e">
        <f t="shared" ca="1" si="35"/>
        <v>#N/A</v>
      </c>
      <c r="BC115" s="3" t="e">
        <f t="shared" ca="1" si="36"/>
        <v>#N/A</v>
      </c>
      <c r="BD115" s="3" t="e">
        <f t="shared" ca="1" si="30"/>
        <v>#N/A</v>
      </c>
      <c r="BE115" s="3" t="e">
        <f t="shared" ca="1" si="37"/>
        <v>#N/A</v>
      </c>
      <c r="BF115" s="3" t="e">
        <f t="shared" ca="1" si="38"/>
        <v>#N/A</v>
      </c>
    </row>
    <row r="116" spans="1:58" ht="15" x14ac:dyDescent="0.25">
      <c r="A116" s="72">
        <v>50</v>
      </c>
      <c r="B116" s="72">
        <v>1498730145.8080001</v>
      </c>
      <c r="C116" s="73">
        <v>3.8178283609509002E-4</v>
      </c>
      <c r="D116" s="73">
        <v>1.65244251589724E-6</v>
      </c>
      <c r="E116" s="73">
        <v>9.4442873942318195E-4</v>
      </c>
      <c r="F116" s="73">
        <v>6.5863492799940199E-6</v>
      </c>
      <c r="G116" s="73">
        <v>1.1340755549498901E-3</v>
      </c>
      <c r="H116" s="73">
        <v>2.0451551307678099E-5</v>
      </c>
      <c r="I116" s="73">
        <v>6.2065077676803503E-4</v>
      </c>
      <c r="J116" s="73">
        <v>7.0443723934204101E-3</v>
      </c>
      <c r="K116" s="73"/>
      <c r="L116" s="73"/>
      <c r="M116" s="73"/>
      <c r="O116" s="13">
        <f t="shared" ca="1" si="0"/>
        <v>1.1709560682352844E-4</v>
      </c>
      <c r="P116" s="13">
        <f t="shared" ca="1" si="1"/>
        <v>-9.6350328689429326E-6</v>
      </c>
      <c r="Q116" s="13">
        <f t="shared" ca="1" si="2"/>
        <v>1.0368912145049659E-4</v>
      </c>
      <c r="R116" s="13">
        <f t="shared" ca="1" si="3"/>
        <v>-3.1899296106871057E-6</v>
      </c>
      <c r="S116" s="13">
        <f t="shared" ca="1" si="4"/>
        <v>-1.003078291483394E-6</v>
      </c>
      <c r="T116" s="13">
        <f t="shared" ca="1" si="5"/>
        <v>2.0101729796654013E-5</v>
      </c>
      <c r="U116" s="13">
        <f t="shared" ca="1" si="6"/>
        <v>-3.3193218020486151E-5</v>
      </c>
      <c r="V116" s="13">
        <f t="shared" ca="1" si="7"/>
        <v>-9.4408529033754122E-5</v>
      </c>
      <c r="X116" s="3">
        <f t="shared" ca="1" si="8"/>
        <v>1.1709560682352844E-4</v>
      </c>
      <c r="Y116" s="3">
        <f t="shared" ca="1" si="9"/>
        <v>-9.6350328689429326E-6</v>
      </c>
      <c r="Z116" s="3">
        <f t="shared" ca="1" si="10"/>
        <v>1.0353532817527162E-4</v>
      </c>
      <c r="AA116" s="3">
        <f t="shared" ca="1" si="11"/>
        <v>-6.9124259314734349E-6</v>
      </c>
      <c r="AB116" s="3">
        <f t="shared" ca="1" si="12"/>
        <v>-2.8074190032788671E-5</v>
      </c>
      <c r="AC116" s="3">
        <f t="shared" ca="1" si="13"/>
        <v>2.0101729796654013E-5</v>
      </c>
      <c r="AD116" s="3">
        <f t="shared" ca="1" si="14"/>
        <v>-7.3170731324705525E-5</v>
      </c>
      <c r="AE116" s="3">
        <f t="shared" ca="1" si="15"/>
        <v>-1.1063047393268717E-4</v>
      </c>
      <c r="AG116" s="3">
        <f t="shared" ca="1" si="16"/>
        <v>1.1709560682352844E-4</v>
      </c>
      <c r="AH116" s="3">
        <f t="shared" ca="1" si="17"/>
        <v>-9.6350328689429326E-6</v>
      </c>
      <c r="AI116" s="3">
        <f t="shared" ca="1" si="18"/>
        <v>1.0353532817527162E-4</v>
      </c>
      <c r="AJ116" s="3">
        <f t="shared" ca="1" si="19"/>
        <v>-6.9124259314734349E-6</v>
      </c>
      <c r="AK116" s="3">
        <f t="shared" ca="1" si="20"/>
        <v>-2.8074190032788671E-5</v>
      </c>
      <c r="AL116" s="3">
        <f t="shared" ca="1" si="21"/>
        <v>2.0101729796654013E-5</v>
      </c>
      <c r="AM116" s="3">
        <f t="shared" ca="1" si="22"/>
        <v>-7.3170731324705525E-5</v>
      </c>
      <c r="AN116" s="3">
        <f t="shared" ca="1" si="23"/>
        <v>-1.1063047393268717E-4</v>
      </c>
      <c r="AP116" s="3" t="e">
        <f t="shared" ca="1" si="24"/>
        <v>#N/A</v>
      </c>
      <c r="AQ116" s="3" t="e">
        <f t="shared" ca="1" si="31"/>
        <v>#N/A</v>
      </c>
      <c r="AR116" s="3" t="e">
        <f t="shared" ca="1" si="25"/>
        <v>#N/A</v>
      </c>
      <c r="AS116" s="3" t="e">
        <f t="shared" ca="1" si="26"/>
        <v>#N/A</v>
      </c>
      <c r="AT116" s="3" t="e">
        <f t="shared" ca="1" si="27"/>
        <v>#N/A</v>
      </c>
      <c r="AU116" s="3" t="e">
        <f t="shared" ca="1" si="28"/>
        <v>#N/A</v>
      </c>
      <c r="AV116" s="10" t="e">
        <f t="shared" ca="1" si="32"/>
        <v>#N/A</v>
      </c>
      <c r="AW116" s="10" t="e">
        <f t="shared" ca="1" si="33"/>
        <v>#N/A</v>
      </c>
      <c r="AY116" s="3" t="e">
        <f t="shared" ca="1" si="39"/>
        <v>#N/A</v>
      </c>
      <c r="AZ116" s="3" t="e">
        <f t="shared" ca="1" si="34"/>
        <v>#N/A</v>
      </c>
      <c r="BA116" s="3" t="e">
        <f t="shared" ca="1" si="29"/>
        <v>#N/A</v>
      </c>
      <c r="BB116" s="3" t="e">
        <f t="shared" ca="1" si="35"/>
        <v>#N/A</v>
      </c>
      <c r="BC116" s="3" t="e">
        <f t="shared" ca="1" si="36"/>
        <v>#N/A</v>
      </c>
      <c r="BD116" s="3" t="e">
        <f t="shared" ca="1" si="30"/>
        <v>#N/A</v>
      </c>
      <c r="BE116" s="3" t="e">
        <f t="shared" ca="1" si="37"/>
        <v>#N/A</v>
      </c>
      <c r="BF116" s="3" t="e">
        <f t="shared" ca="1" si="38"/>
        <v>#N/A</v>
      </c>
    </row>
    <row r="117" spans="1:58" ht="15" x14ac:dyDescent="0.25">
      <c r="A117" s="72">
        <v>51</v>
      </c>
      <c r="B117" s="72">
        <v>1498730146.335</v>
      </c>
      <c r="C117" s="73">
        <v>3.1064439369762702E-4</v>
      </c>
      <c r="D117" s="73">
        <v>1.3701647647720099E-4</v>
      </c>
      <c r="E117" s="73">
        <v>9.03478125196937E-4</v>
      </c>
      <c r="F117" s="73">
        <v>-4.1713650329105202E-5</v>
      </c>
      <c r="G117" s="73">
        <v>1.13908254787156E-3</v>
      </c>
      <c r="H117" s="73">
        <v>4.8003665102501998E-5</v>
      </c>
      <c r="I117" s="73">
        <v>6.8097468415890302E-4</v>
      </c>
      <c r="J117" s="73">
        <v>7.03625373179316E-3</v>
      </c>
      <c r="K117" s="73"/>
      <c r="L117" s="73"/>
      <c r="M117" s="73"/>
      <c r="O117" s="13">
        <f t="shared" ca="1" si="0"/>
        <v>4.5957164426065436E-5</v>
      </c>
      <c r="P117" s="13">
        <f t="shared" ca="1" si="1"/>
        <v>1.2572900109236081E-4</v>
      </c>
      <c r="Q117" s="13">
        <f t="shared" ca="1" si="2"/>
        <v>6.2738507224251649E-5</v>
      </c>
      <c r="R117" s="13">
        <f t="shared" ca="1" si="3"/>
        <v>-5.1489929219786329E-5</v>
      </c>
      <c r="S117" s="13">
        <f t="shared" ca="1" si="4"/>
        <v>4.0039146301865114E-6</v>
      </c>
      <c r="T117" s="13">
        <f t="shared" ca="1" si="5"/>
        <v>4.7653843591477908E-5</v>
      </c>
      <c r="U117" s="13">
        <f t="shared" ca="1" si="6"/>
        <v>2.7130689370381844E-5</v>
      </c>
      <c r="V117" s="13">
        <f t="shared" ca="1" si="7"/>
        <v>-1.0252719066100417E-4</v>
      </c>
      <c r="X117" s="3">
        <f t="shared" ca="1" si="8"/>
        <v>4.5957164426065436E-5</v>
      </c>
      <c r="Y117" s="3">
        <f t="shared" ca="1" si="9"/>
        <v>1.2572900109236081E-4</v>
      </c>
      <c r="Z117" s="3">
        <f t="shared" ca="1" si="10"/>
        <v>6.2373919661035471E-5</v>
      </c>
      <c r="AA117" s="3">
        <f t="shared" ca="1" si="11"/>
        <v>-6.0314605465814223E-5</v>
      </c>
      <c r="AB117" s="3">
        <f t="shared" ca="1" si="12"/>
        <v>-6.0171782576842606E-5</v>
      </c>
      <c r="AC117" s="3">
        <f t="shared" ca="1" si="13"/>
        <v>4.7653843591477908E-5</v>
      </c>
      <c r="AD117" s="3">
        <f t="shared" ca="1" si="14"/>
        <v>-6.7641361863368383E-5</v>
      </c>
      <c r="AE117" s="3">
        <f t="shared" ca="1" si="15"/>
        <v>-1.4098348436225583E-4</v>
      </c>
      <c r="AG117" s="3">
        <f t="shared" ca="1" si="16"/>
        <v>4.5957164426065436E-5</v>
      </c>
      <c r="AH117" s="3">
        <f t="shared" ca="1" si="17"/>
        <v>1.2572900109236081E-4</v>
      </c>
      <c r="AI117" s="3">
        <f t="shared" ca="1" si="18"/>
        <v>-3.8900123820060105E-5</v>
      </c>
      <c r="AJ117" s="3">
        <f t="shared" ca="1" si="19"/>
        <v>-1.1623840458995818E-4</v>
      </c>
      <c r="AK117" s="3">
        <f t="shared" ca="1" si="20"/>
        <v>-6.0171782576842606E-5</v>
      </c>
      <c r="AL117" s="3">
        <f t="shared" ca="1" si="21"/>
        <v>4.7653843591477908E-5</v>
      </c>
      <c r="AM117" s="3">
        <f t="shared" ca="1" si="22"/>
        <v>-6.7641361863368383E-5</v>
      </c>
      <c r="AN117" s="3">
        <f t="shared" ca="1" si="23"/>
        <v>-1.4098348436225583E-4</v>
      </c>
      <c r="AP117" s="3" t="e">
        <f t="shared" ca="1" si="24"/>
        <v>#N/A</v>
      </c>
      <c r="AQ117" s="3" t="e">
        <f t="shared" ca="1" si="31"/>
        <v>#N/A</v>
      </c>
      <c r="AR117" s="3" t="e">
        <f t="shared" ca="1" si="25"/>
        <v>#N/A</v>
      </c>
      <c r="AS117" s="3" t="e">
        <f t="shared" ca="1" si="26"/>
        <v>#N/A</v>
      </c>
      <c r="AT117" s="3" t="e">
        <f t="shared" ca="1" si="27"/>
        <v>#N/A</v>
      </c>
      <c r="AU117" s="3" t="e">
        <f t="shared" ca="1" si="28"/>
        <v>#N/A</v>
      </c>
      <c r="AV117" s="10" t="e">
        <f t="shared" ca="1" si="32"/>
        <v>#N/A</v>
      </c>
      <c r="AW117" s="10" t="e">
        <f t="shared" ca="1" si="33"/>
        <v>#N/A</v>
      </c>
      <c r="AY117" s="3" t="e">
        <f t="shared" ca="1" si="39"/>
        <v>#N/A</v>
      </c>
      <c r="AZ117" s="3" t="e">
        <f t="shared" ca="1" si="34"/>
        <v>#N/A</v>
      </c>
      <c r="BA117" s="3" t="e">
        <f t="shared" ca="1" si="29"/>
        <v>#N/A</v>
      </c>
      <c r="BB117" s="3" t="e">
        <f t="shared" ca="1" si="35"/>
        <v>#N/A</v>
      </c>
      <c r="BC117" s="3" t="e">
        <f t="shared" ca="1" si="36"/>
        <v>#N/A</v>
      </c>
      <c r="BD117" s="3" t="e">
        <f t="shared" ca="1" si="30"/>
        <v>#N/A</v>
      </c>
      <c r="BE117" s="3" t="e">
        <f t="shared" ca="1" si="37"/>
        <v>#N/A</v>
      </c>
      <c r="BF117" s="3" t="e">
        <f t="shared" ca="1" si="38"/>
        <v>#N/A</v>
      </c>
    </row>
    <row r="118" spans="1:58" ht="15" x14ac:dyDescent="0.25">
      <c r="A118" s="72">
        <v>52</v>
      </c>
      <c r="B118" s="72">
        <v>1498730146.862</v>
      </c>
      <c r="C118" s="73">
        <v>1.7195089982845099E-4</v>
      </c>
      <c r="D118" s="73">
        <v>-8.76351882508015E-5</v>
      </c>
      <c r="E118" s="73">
        <v>8.6348702976571899E-4</v>
      </c>
      <c r="F118" s="73">
        <v>-1.8396700803737901E-5</v>
      </c>
      <c r="G118" s="73">
        <v>1.12811488176745E-3</v>
      </c>
      <c r="H118" s="73">
        <v>3.8385548399333397E-5</v>
      </c>
      <c r="I118" s="73">
        <v>6.1851338238577301E-4</v>
      </c>
      <c r="J118" s="73">
        <v>7.1205477432070398E-3</v>
      </c>
      <c r="K118" s="73"/>
      <c r="L118" s="73"/>
      <c r="M118" s="73"/>
      <c r="O118" s="13">
        <f t="shared" ca="1" si="0"/>
        <v>-9.2736329443110597E-5</v>
      </c>
      <c r="P118" s="13">
        <f t="shared" ca="1" si="1"/>
        <v>-9.8922663635641678E-5</v>
      </c>
      <c r="Q118" s="13">
        <f t="shared" ca="1" si="2"/>
        <v>2.2747411793033637E-5</v>
      </c>
      <c r="R118" s="13">
        <f t="shared" ca="1" si="3"/>
        <v>-2.8172979694419029E-5</v>
      </c>
      <c r="S118" s="13">
        <f t="shared" ca="1" si="4"/>
        <v>-6.963751473923474E-6</v>
      </c>
      <c r="T118" s="13">
        <f t="shared" ca="1" si="5"/>
        <v>3.8035726888309307E-5</v>
      </c>
      <c r="U118" s="13">
        <f t="shared" ca="1" si="6"/>
        <v>-3.5330612402748171E-5</v>
      </c>
      <c r="V118" s="13">
        <f t="shared" ca="1" si="7"/>
        <v>-1.8233179247124399E-5</v>
      </c>
      <c r="X118" s="3">
        <f t="shared" ca="1" si="8"/>
        <v>-9.2736329443110597E-5</v>
      </c>
      <c r="Y118" s="3">
        <f t="shared" ca="1" si="9"/>
        <v>-9.8922663635641678E-5</v>
      </c>
      <c r="Z118" s="3">
        <f t="shared" ca="1" si="10"/>
        <v>2.2456410019908149E-5</v>
      </c>
      <c r="AA118" s="3">
        <f t="shared" ca="1" si="11"/>
        <v>-3.5216545339388186E-5</v>
      </c>
      <c r="AB118" s="3">
        <f t="shared" ca="1" si="12"/>
        <v>-5.8186677220671009E-5</v>
      </c>
      <c r="AC118" s="3">
        <f t="shared" ca="1" si="13"/>
        <v>3.8035726888309307E-5</v>
      </c>
      <c r="AD118" s="3">
        <f t="shared" ca="1" si="14"/>
        <v>-1.1097453922371975E-4</v>
      </c>
      <c r="AE118" s="3">
        <f t="shared" ca="1" si="15"/>
        <v>-4.8927725040677115E-5</v>
      </c>
      <c r="AG118" s="3">
        <f t="shared" ca="1" si="16"/>
        <v>-9.2736329443110597E-5</v>
      </c>
      <c r="AH118" s="3">
        <f t="shared" ca="1" si="17"/>
        <v>-9.8922663635641678E-5</v>
      </c>
      <c r="AI118" s="3">
        <f t="shared" ca="1" si="18"/>
        <v>2.2456410019908149E-5</v>
      </c>
      <c r="AJ118" s="3">
        <f t="shared" ca="1" si="19"/>
        <v>-3.5216545339388186E-5</v>
      </c>
      <c r="AK118" s="3">
        <f t="shared" ca="1" si="20"/>
        <v>-5.8186677220671009E-5</v>
      </c>
      <c r="AL118" s="3">
        <f t="shared" ca="1" si="21"/>
        <v>3.8035726888309307E-5</v>
      </c>
      <c r="AM118" s="3">
        <f t="shared" ca="1" si="22"/>
        <v>-1.1097453922371975E-4</v>
      </c>
      <c r="AN118" s="3">
        <f t="shared" ca="1" si="23"/>
        <v>-4.8927725040677115E-5</v>
      </c>
      <c r="AP118" s="3" t="e">
        <f t="shared" ca="1" si="24"/>
        <v>#N/A</v>
      </c>
      <c r="AQ118" s="3" t="e">
        <f t="shared" ca="1" si="31"/>
        <v>#N/A</v>
      </c>
      <c r="AR118" s="3" t="e">
        <f t="shared" ca="1" si="25"/>
        <v>#N/A</v>
      </c>
      <c r="AS118" s="3" t="e">
        <f t="shared" ca="1" si="26"/>
        <v>#N/A</v>
      </c>
      <c r="AT118" s="3" t="e">
        <f t="shared" ca="1" si="27"/>
        <v>#N/A</v>
      </c>
      <c r="AU118" s="3" t="e">
        <f t="shared" ca="1" si="28"/>
        <v>#N/A</v>
      </c>
      <c r="AV118" s="10" t="e">
        <f t="shared" ca="1" si="32"/>
        <v>#N/A</v>
      </c>
      <c r="AW118" s="10" t="e">
        <f t="shared" ca="1" si="33"/>
        <v>#N/A</v>
      </c>
      <c r="AY118" s="3" t="e">
        <f t="shared" ca="1" si="39"/>
        <v>#N/A</v>
      </c>
      <c r="AZ118" s="3" t="e">
        <f t="shared" ca="1" si="34"/>
        <v>#N/A</v>
      </c>
      <c r="BA118" s="3" t="e">
        <f t="shared" ca="1" si="29"/>
        <v>#N/A</v>
      </c>
      <c r="BB118" s="3" t="e">
        <f t="shared" ca="1" si="35"/>
        <v>#N/A</v>
      </c>
      <c r="BC118" s="3" t="e">
        <f t="shared" ca="1" si="36"/>
        <v>#N/A</v>
      </c>
      <c r="BD118" s="3" t="e">
        <f t="shared" ca="1" si="30"/>
        <v>#N/A</v>
      </c>
      <c r="BE118" s="3" t="e">
        <f t="shared" ca="1" si="37"/>
        <v>#N/A</v>
      </c>
      <c r="BF118" s="3" t="e">
        <f t="shared" ca="1" si="38"/>
        <v>#N/A</v>
      </c>
    </row>
    <row r="119" spans="1:58" ht="15" x14ac:dyDescent="0.25">
      <c r="A119" s="72">
        <v>53</v>
      </c>
      <c r="B119" s="72">
        <v>1498730147.3889999</v>
      </c>
      <c r="C119" s="73">
        <v>1.6314938989529801E-4</v>
      </c>
      <c r="D119" s="73">
        <v>2.8345807637826598E-5</v>
      </c>
      <c r="E119" s="73">
        <v>7.8949572395901196E-4</v>
      </c>
      <c r="F119" s="73">
        <v>6.9879540191368294E-5</v>
      </c>
      <c r="G119" s="73">
        <v>1.2127597698420301E-3</v>
      </c>
      <c r="H119" s="73">
        <v>3.9590715849299798E-5</v>
      </c>
      <c r="I119" s="73">
        <v>5.9642724187906903E-4</v>
      </c>
      <c r="J119" s="73">
        <v>7.0314780791818996E-3</v>
      </c>
      <c r="K119" s="73"/>
      <c r="L119" s="73"/>
      <c r="M119" s="73"/>
      <c r="O119" s="13">
        <f t="shared" ca="1" si="0"/>
        <v>-1.0153783937626358E-4</v>
      </c>
      <c r="P119" s="13">
        <f t="shared" ca="1" si="1"/>
        <v>1.7058332252986427E-5</v>
      </c>
      <c r="Q119" s="13">
        <f t="shared" ca="1" si="2"/>
        <v>-5.1243894013673391E-5</v>
      </c>
      <c r="R119" s="13">
        <f t="shared" ca="1" si="3"/>
        <v>6.0103261300687166E-5</v>
      </c>
      <c r="S119" s="13">
        <f t="shared" ca="1" si="4"/>
        <v>7.7681136600656585E-5</v>
      </c>
      <c r="T119" s="13">
        <f t="shared" ca="1" si="5"/>
        <v>3.9240894338275709E-5</v>
      </c>
      <c r="U119" s="13">
        <f t="shared" ca="1" si="6"/>
        <v>-5.7416752909452144E-5</v>
      </c>
      <c r="V119" s="13">
        <f t="shared" ca="1" si="7"/>
        <v>-1.0730284327226461E-4</v>
      </c>
      <c r="X119" s="3">
        <f t="shared" ca="1" si="8"/>
        <v>-1.0153783937626358E-4</v>
      </c>
      <c r="Y119" s="3">
        <f t="shared" ca="1" si="9"/>
        <v>1.7058332252986427E-5</v>
      </c>
      <c r="Z119" s="3">
        <f t="shared" ca="1" si="10"/>
        <v>-5.1544116219627285E-5</v>
      </c>
      <c r="AA119" s="3">
        <f t="shared" ca="1" si="11"/>
        <v>5.2836519270212218E-5</v>
      </c>
      <c r="AB119" s="3">
        <f t="shared" ca="1" si="12"/>
        <v>2.4835205120817618E-5</v>
      </c>
      <c r="AC119" s="3">
        <f t="shared" ca="1" si="13"/>
        <v>3.9240894338275709E-5</v>
      </c>
      <c r="AD119" s="3">
        <f t="shared" ca="1" si="14"/>
        <v>-1.3545746837758104E-4</v>
      </c>
      <c r="AE119" s="3">
        <f t="shared" ca="1" si="15"/>
        <v>-1.3896995014215798E-4</v>
      </c>
      <c r="AG119" s="3">
        <f t="shared" ca="1" si="16"/>
        <v>-1.0153783937626358E-4</v>
      </c>
      <c r="AH119" s="3">
        <f t="shared" ca="1" si="17"/>
        <v>1.7058332252986427E-5</v>
      </c>
      <c r="AI119" s="3">
        <f t="shared" ca="1" si="18"/>
        <v>-6.5284512367647652E-5</v>
      </c>
      <c r="AJ119" s="3">
        <f t="shared" ca="1" si="19"/>
        <v>4.5249035570980941E-5</v>
      </c>
      <c r="AK119" s="3">
        <f t="shared" ca="1" si="20"/>
        <v>2.4835205120817618E-5</v>
      </c>
      <c r="AL119" s="3">
        <f t="shared" ca="1" si="21"/>
        <v>3.9240894338275709E-5</v>
      </c>
      <c r="AM119" s="3">
        <f t="shared" ca="1" si="22"/>
        <v>-1.3545746837758104E-4</v>
      </c>
      <c r="AN119" s="3">
        <f t="shared" ca="1" si="23"/>
        <v>-1.3896995014215798E-4</v>
      </c>
      <c r="AP119" s="3" t="e">
        <f t="shared" ca="1" si="24"/>
        <v>#N/A</v>
      </c>
      <c r="AQ119" s="3" t="e">
        <f t="shared" ca="1" si="31"/>
        <v>#N/A</v>
      </c>
      <c r="AR119" s="3" t="e">
        <f t="shared" ca="1" si="25"/>
        <v>#N/A</v>
      </c>
      <c r="AS119" s="3" t="e">
        <f t="shared" ca="1" si="26"/>
        <v>#N/A</v>
      </c>
      <c r="AT119" s="3" t="e">
        <f t="shared" ca="1" si="27"/>
        <v>#N/A</v>
      </c>
      <c r="AU119" s="3" t="e">
        <f t="shared" ca="1" si="28"/>
        <v>#N/A</v>
      </c>
      <c r="AV119" s="10" t="e">
        <f t="shared" ca="1" si="32"/>
        <v>#N/A</v>
      </c>
      <c r="AW119" s="10" t="e">
        <f t="shared" ca="1" si="33"/>
        <v>#N/A</v>
      </c>
      <c r="AY119" s="3" t="e">
        <f t="shared" ca="1" si="39"/>
        <v>#N/A</v>
      </c>
      <c r="AZ119" s="3" t="e">
        <f t="shared" ca="1" si="34"/>
        <v>#N/A</v>
      </c>
      <c r="BA119" s="3" t="e">
        <f t="shared" ca="1" si="29"/>
        <v>#N/A</v>
      </c>
      <c r="BB119" s="3" t="e">
        <f t="shared" ca="1" si="35"/>
        <v>#N/A</v>
      </c>
      <c r="BC119" s="3" t="e">
        <f t="shared" ca="1" si="36"/>
        <v>#N/A</v>
      </c>
      <c r="BD119" s="3" t="e">
        <f t="shared" ca="1" si="30"/>
        <v>#N/A</v>
      </c>
      <c r="BE119" s="3" t="e">
        <f t="shared" ca="1" si="37"/>
        <v>#N/A</v>
      </c>
      <c r="BF119" s="3" t="e">
        <f t="shared" ca="1" si="38"/>
        <v>#N/A</v>
      </c>
    </row>
    <row r="120" spans="1:58" ht="15" x14ac:dyDescent="0.25">
      <c r="A120" s="72">
        <v>54</v>
      </c>
      <c r="B120" s="72">
        <v>1498730147.9159999</v>
      </c>
      <c r="C120" s="73">
        <v>2.10488154105593E-4</v>
      </c>
      <c r="D120" s="73">
        <v>-1.34656050205114E-5</v>
      </c>
      <c r="E120" s="73">
        <v>7.56692259382982E-4</v>
      </c>
      <c r="F120" s="73">
        <v>-5.4323610482940297E-5</v>
      </c>
      <c r="G120" s="73">
        <v>1.1665022392352701E-3</v>
      </c>
      <c r="H120" s="73">
        <v>-4.7002271013186199E-5</v>
      </c>
      <c r="I120" s="73">
        <v>6.7764964940834102E-4</v>
      </c>
      <c r="J120" s="73">
        <v>6.9450426974392802E-3</v>
      </c>
      <c r="K120" s="73"/>
      <c r="L120" s="73"/>
      <c r="M120" s="73"/>
      <c r="O120" s="13">
        <f t="shared" ca="1" si="0"/>
        <v>-5.4199075165968583E-5</v>
      </c>
      <c r="P120" s="13">
        <f t="shared" ca="1" si="1"/>
        <v>-2.4753080405351571E-5</v>
      </c>
      <c r="Q120" s="13">
        <f t="shared" ca="1" si="2"/>
        <v>-8.4047358589703358E-5</v>
      </c>
      <c r="R120" s="13">
        <f t="shared" ca="1" si="3"/>
        <v>-6.4099889373621418E-5</v>
      </c>
      <c r="S120" s="13">
        <f t="shared" ca="1" si="4"/>
        <v>3.1423605993896597E-5</v>
      </c>
      <c r="T120" s="13">
        <f t="shared" ca="1" si="5"/>
        <v>-4.7352092524210288E-5</v>
      </c>
      <c r="U120" s="13">
        <f t="shared" ca="1" si="6"/>
        <v>2.3805654619819838E-5</v>
      </c>
      <c r="V120" s="13">
        <f t="shared" ca="1" si="7"/>
        <v>-1.9373822501488405E-4</v>
      </c>
      <c r="X120" s="3">
        <f t="shared" ca="1" si="8"/>
        <v>-5.4199075165968583E-5</v>
      </c>
      <c r="Y120" s="3">
        <f t="shared" ca="1" si="9"/>
        <v>-2.4753080405351571E-5</v>
      </c>
      <c r="Z120" s="3">
        <f t="shared" ca="1" si="10"/>
        <v>-8.4047358589703358E-5</v>
      </c>
      <c r="AA120" s="3">
        <f t="shared" ca="1" si="11"/>
        <v>-6.4099889373621418E-5</v>
      </c>
      <c r="AB120" s="3">
        <f t="shared" ca="1" si="12"/>
        <v>3.1423605993896597E-5</v>
      </c>
      <c r="AC120" s="3">
        <f t="shared" ca="1" si="13"/>
        <v>-4.7352092524210288E-5</v>
      </c>
      <c r="AD120" s="3">
        <f t="shared" ca="1" si="14"/>
        <v>2.3805654619819838E-5</v>
      </c>
      <c r="AE120" s="3">
        <f t="shared" ca="1" si="15"/>
        <v>-1.9373822501488405E-4</v>
      </c>
      <c r="AG120" s="3">
        <f t="shared" ca="1" si="16"/>
        <v>-5.4199075165968583E-5</v>
      </c>
      <c r="AH120" s="3">
        <f t="shared" ca="1" si="17"/>
        <v>-2.4753080405351571E-5</v>
      </c>
      <c r="AI120" s="3">
        <f t="shared" ca="1" si="18"/>
        <v>-8.4047358589703358E-5</v>
      </c>
      <c r="AJ120" s="3">
        <f t="shared" ca="1" si="19"/>
        <v>-6.4099889373621418E-5</v>
      </c>
      <c r="AK120" s="3">
        <f t="shared" ca="1" si="20"/>
        <v>3.1423605993896597E-5</v>
      </c>
      <c r="AL120" s="3">
        <f t="shared" ca="1" si="21"/>
        <v>-4.7352092524210288E-5</v>
      </c>
      <c r="AM120" s="3">
        <f t="shared" ca="1" si="22"/>
        <v>2.3805654619819838E-5</v>
      </c>
      <c r="AN120" s="3">
        <f t="shared" ca="1" si="23"/>
        <v>-1.9373822501488405E-4</v>
      </c>
      <c r="AP120" s="3" t="e">
        <f t="shared" ca="1" si="24"/>
        <v>#N/A</v>
      </c>
      <c r="AQ120" s="3" t="e">
        <f t="shared" ca="1" si="31"/>
        <v>#N/A</v>
      </c>
      <c r="AR120" s="3" t="e">
        <f t="shared" ca="1" si="25"/>
        <v>#N/A</v>
      </c>
      <c r="AS120" s="3" t="e">
        <f t="shared" ca="1" si="26"/>
        <v>#N/A</v>
      </c>
      <c r="AT120" s="3" t="e">
        <f t="shared" ca="1" si="27"/>
        <v>#N/A</v>
      </c>
      <c r="AU120" s="3" t="e">
        <f t="shared" ca="1" si="28"/>
        <v>#N/A</v>
      </c>
      <c r="AV120" s="10" t="e">
        <f t="shared" ca="1" si="32"/>
        <v>#N/A</v>
      </c>
      <c r="AW120" s="10" t="e">
        <f t="shared" ca="1" si="33"/>
        <v>#N/A</v>
      </c>
      <c r="AY120" s="3" t="e">
        <f t="shared" ca="1" si="39"/>
        <v>#N/A</v>
      </c>
      <c r="AZ120" s="3" t="e">
        <f t="shared" ca="1" si="34"/>
        <v>#N/A</v>
      </c>
      <c r="BA120" s="3" t="e">
        <f t="shared" ca="1" si="29"/>
        <v>#N/A</v>
      </c>
      <c r="BB120" s="3" t="e">
        <f t="shared" ca="1" si="35"/>
        <v>#N/A</v>
      </c>
      <c r="BC120" s="3" t="e">
        <f t="shared" ca="1" si="36"/>
        <v>#N/A</v>
      </c>
      <c r="BD120" s="3" t="e">
        <f t="shared" ca="1" si="30"/>
        <v>#N/A</v>
      </c>
      <c r="BE120" s="3" t="e">
        <f t="shared" ca="1" si="37"/>
        <v>#N/A</v>
      </c>
      <c r="BF120" s="3" t="e">
        <f t="shared" ca="1" si="38"/>
        <v>#N/A</v>
      </c>
    </row>
    <row r="121" spans="1:58" ht="15" x14ac:dyDescent="0.25">
      <c r="A121" s="72">
        <v>55</v>
      </c>
      <c r="B121" s="72">
        <v>1498730148.4430001</v>
      </c>
      <c r="C121" s="73">
        <v>2.87329217589414E-4</v>
      </c>
      <c r="D121" s="73">
        <v>9.92022219950617E-6</v>
      </c>
      <c r="E121" s="73">
        <v>8.1679285340168504E-4</v>
      </c>
      <c r="F121" s="73">
        <v>4.9177942316513102E-5</v>
      </c>
      <c r="G121" s="73">
        <v>1.22825890541165E-3</v>
      </c>
      <c r="H121" s="73">
        <v>2.9595358114632001E-5</v>
      </c>
      <c r="I121" s="73">
        <v>6.1946333487910405E-4</v>
      </c>
      <c r="J121" s="73">
        <v>6.9782310928353302E-3</v>
      </c>
      <c r="K121" s="73"/>
      <c r="L121" s="73"/>
      <c r="M121" s="73"/>
      <c r="O121" s="13">
        <f t="shared" ca="1" si="0"/>
        <v>2.2641988317852418E-5</v>
      </c>
      <c r="P121" s="13">
        <f t="shared" ca="1" si="1"/>
        <v>-1.3672531853340032E-6</v>
      </c>
      <c r="Q121" s="13">
        <f t="shared" ca="1" si="2"/>
        <v>-2.394676457100032E-5</v>
      </c>
      <c r="R121" s="13">
        <f t="shared" ca="1" si="3"/>
        <v>3.9401663425831975E-5</v>
      </c>
      <c r="S121" s="13">
        <f t="shared" ca="1" si="4"/>
        <v>9.318027217027655E-5</v>
      </c>
      <c r="T121" s="13">
        <f t="shared" ca="1" si="5"/>
        <v>2.9245536603607914E-5</v>
      </c>
      <c r="U121" s="13">
        <f t="shared" ca="1" si="6"/>
        <v>-3.4380659909417129E-5</v>
      </c>
      <c r="V121" s="13">
        <f t="shared" ca="1" si="7"/>
        <v>-1.6054982961883398E-4</v>
      </c>
      <c r="X121" s="3">
        <f t="shared" ca="1" si="8"/>
        <v>2.2641988317852418E-5</v>
      </c>
      <c r="Y121" s="3">
        <f t="shared" ca="1" si="9"/>
        <v>-1.3672531853340032E-6</v>
      </c>
      <c r="Z121" s="3">
        <f t="shared" ca="1" si="10"/>
        <v>-2.417051481068016E-5</v>
      </c>
      <c r="AA121" s="3">
        <f t="shared" ca="1" si="11"/>
        <v>3.3985890579035804E-5</v>
      </c>
      <c r="AB121" s="3">
        <f t="shared" ca="1" si="12"/>
        <v>5.3795144753904375E-5</v>
      </c>
      <c r="AC121" s="3">
        <f t="shared" ca="1" si="13"/>
        <v>2.9245536603607914E-5</v>
      </c>
      <c r="AD121" s="3">
        <f t="shared" ca="1" si="14"/>
        <v>-9.2543009144376037E-5</v>
      </c>
      <c r="AE121" s="3">
        <f t="shared" ca="1" si="15"/>
        <v>-1.8415075790324589E-4</v>
      </c>
      <c r="AG121" s="3">
        <f t="shared" ca="1" si="16"/>
        <v>2.2641988317852418E-5</v>
      </c>
      <c r="AH121" s="3">
        <f t="shared" ca="1" si="17"/>
        <v>-1.3672531853340032E-6</v>
      </c>
      <c r="AI121" s="3">
        <f t="shared" ca="1" si="18"/>
        <v>-2.417051481068016E-5</v>
      </c>
      <c r="AJ121" s="3">
        <f t="shared" ca="1" si="19"/>
        <v>3.3985890579035804E-5</v>
      </c>
      <c r="AK121" s="3">
        <f t="shared" ca="1" si="20"/>
        <v>5.3795144753904375E-5</v>
      </c>
      <c r="AL121" s="3">
        <f t="shared" ca="1" si="21"/>
        <v>2.9245536603607914E-5</v>
      </c>
      <c r="AM121" s="3">
        <f t="shared" ca="1" si="22"/>
        <v>-9.2543009144376037E-5</v>
      </c>
      <c r="AN121" s="3">
        <f t="shared" ca="1" si="23"/>
        <v>-1.8415075790324589E-4</v>
      </c>
      <c r="AP121" s="3" t="e">
        <f t="shared" ca="1" si="24"/>
        <v>#N/A</v>
      </c>
      <c r="AQ121" s="3" t="e">
        <f t="shared" ca="1" si="31"/>
        <v>#N/A</v>
      </c>
      <c r="AR121" s="3" t="e">
        <f t="shared" ca="1" si="25"/>
        <v>#N/A</v>
      </c>
      <c r="AS121" s="3" t="e">
        <f t="shared" ca="1" si="26"/>
        <v>#N/A</v>
      </c>
      <c r="AT121" s="3" t="e">
        <f t="shared" ca="1" si="27"/>
        <v>#N/A</v>
      </c>
      <c r="AU121" s="3" t="e">
        <f t="shared" ca="1" si="28"/>
        <v>#N/A</v>
      </c>
      <c r="AV121" s="10" t="e">
        <f t="shared" ca="1" si="32"/>
        <v>#N/A</v>
      </c>
      <c r="AW121" s="10" t="e">
        <f t="shared" ca="1" si="33"/>
        <v>#N/A</v>
      </c>
      <c r="AY121" s="3" t="e">
        <f t="shared" ca="1" si="39"/>
        <v>#N/A</v>
      </c>
      <c r="AZ121" s="3" t="e">
        <f t="shared" ca="1" si="34"/>
        <v>#N/A</v>
      </c>
      <c r="BA121" s="3" t="e">
        <f t="shared" ca="1" si="29"/>
        <v>#N/A</v>
      </c>
      <c r="BB121" s="3" t="e">
        <f t="shared" ca="1" si="35"/>
        <v>#N/A</v>
      </c>
      <c r="BC121" s="3" t="e">
        <f t="shared" ca="1" si="36"/>
        <v>#N/A</v>
      </c>
      <c r="BD121" s="3" t="e">
        <f t="shared" ca="1" si="30"/>
        <v>#N/A</v>
      </c>
      <c r="BE121" s="3" t="e">
        <f t="shared" ca="1" si="37"/>
        <v>#N/A</v>
      </c>
      <c r="BF121" s="3" t="e">
        <f t="shared" ca="1" si="38"/>
        <v>#N/A</v>
      </c>
    </row>
    <row r="122" spans="1:58" ht="15" x14ac:dyDescent="0.25">
      <c r="A122" s="72">
        <v>56</v>
      </c>
      <c r="B122" s="72">
        <v>1498730148.97</v>
      </c>
      <c r="C122" s="73">
        <v>4.6886889846670598E-4</v>
      </c>
      <c r="D122" s="73">
        <v>1.0628892235247599E-5</v>
      </c>
      <c r="E122" s="73">
        <v>8.57739937188018E-4</v>
      </c>
      <c r="F122" s="73">
        <v>1.1651919520290699E-4</v>
      </c>
      <c r="G122" s="73">
        <v>1.1927304733984499E-3</v>
      </c>
      <c r="H122" s="73">
        <v>2.8278833290278098E-6</v>
      </c>
      <c r="I122" s="73">
        <v>6.5437471640494599E-4</v>
      </c>
      <c r="J122" s="73">
        <v>7.0591771808694E-3</v>
      </c>
      <c r="K122" s="73"/>
      <c r="L122" s="73"/>
      <c r="M122" s="73"/>
      <c r="O122" s="13">
        <f t="shared" ca="1" si="0"/>
        <v>2.041816691951444E-4</v>
      </c>
      <c r="P122" s="13">
        <f t="shared" ca="1" si="1"/>
        <v>-6.5858314959257377E-7</v>
      </c>
      <c r="Q122" s="13">
        <f t="shared" ca="1" si="2"/>
        <v>1.700031921533264E-5</v>
      </c>
      <c r="R122" s="13">
        <f t="shared" ca="1" si="3"/>
        <v>1.0674291631222587E-4</v>
      </c>
      <c r="S122" s="13">
        <f t="shared" ca="1" si="4"/>
        <v>5.7651840157076431E-5</v>
      </c>
      <c r="T122" s="13">
        <f t="shared" ca="1" si="5"/>
        <v>2.4780618180037234E-6</v>
      </c>
      <c r="U122" s="13">
        <f t="shared" ca="1" si="6"/>
        <v>5.3072161642481446E-7</v>
      </c>
      <c r="V122" s="13">
        <f t="shared" ca="1" si="7"/>
        <v>-7.9603741584764222E-5</v>
      </c>
      <c r="X122" s="3">
        <f t="shared" ca="1" si="8"/>
        <v>2.041816691951444E-4</v>
      </c>
      <c r="Y122" s="3">
        <f t="shared" ca="1" si="9"/>
        <v>-6.5858314959257377E-7</v>
      </c>
      <c r="Z122" s="3">
        <f t="shared" ca="1" si="10"/>
        <v>1.6981360188072001E-5</v>
      </c>
      <c r="AA122" s="3">
        <f t="shared" ca="1" si="11"/>
        <v>1.0628402167512178E-4</v>
      </c>
      <c r="AB122" s="3">
        <f t="shared" ca="1" si="12"/>
        <v>5.4314620472220893E-5</v>
      </c>
      <c r="AC122" s="3">
        <f t="shared" ca="1" si="13"/>
        <v>2.4780618180037234E-6</v>
      </c>
      <c r="AD122" s="3">
        <f t="shared" ca="1" si="14"/>
        <v>-4.3975482538831549E-6</v>
      </c>
      <c r="AE122" s="3">
        <f t="shared" ca="1" si="15"/>
        <v>-8.1603518851420024E-5</v>
      </c>
      <c r="AG122" s="3">
        <f t="shared" ca="1" si="16"/>
        <v>2.041816691951444E-4</v>
      </c>
      <c r="AH122" s="3">
        <f t="shared" ca="1" si="17"/>
        <v>-6.5858314959257377E-7</v>
      </c>
      <c r="AI122" s="3">
        <f t="shared" ca="1" si="18"/>
        <v>1.6981360188072001E-5</v>
      </c>
      <c r="AJ122" s="3">
        <f t="shared" ca="1" si="19"/>
        <v>1.0628402167512178E-4</v>
      </c>
      <c r="AK122" s="3">
        <f t="shared" ca="1" si="20"/>
        <v>5.4314620472220893E-5</v>
      </c>
      <c r="AL122" s="3">
        <f t="shared" ca="1" si="21"/>
        <v>2.4780618180037234E-6</v>
      </c>
      <c r="AM122" s="3">
        <f t="shared" ca="1" si="22"/>
        <v>-4.3975482538831549E-6</v>
      </c>
      <c r="AN122" s="3">
        <f t="shared" ca="1" si="23"/>
        <v>-8.1603518851420024E-5</v>
      </c>
      <c r="AP122" s="3" t="e">
        <f t="shared" ca="1" si="24"/>
        <v>#N/A</v>
      </c>
      <c r="AQ122" s="3" t="e">
        <f t="shared" ca="1" si="31"/>
        <v>#N/A</v>
      </c>
      <c r="AR122" s="3" t="e">
        <f t="shared" ca="1" si="25"/>
        <v>#N/A</v>
      </c>
      <c r="AS122" s="3" t="e">
        <f t="shared" ca="1" si="26"/>
        <v>#N/A</v>
      </c>
      <c r="AT122" s="3" t="e">
        <f t="shared" ca="1" si="27"/>
        <v>#N/A</v>
      </c>
      <c r="AU122" s="3" t="e">
        <f t="shared" ca="1" si="28"/>
        <v>#N/A</v>
      </c>
      <c r="AV122" s="10" t="e">
        <f t="shared" ca="1" si="32"/>
        <v>#N/A</v>
      </c>
      <c r="AW122" s="10" t="e">
        <f t="shared" ca="1" si="33"/>
        <v>#N/A</v>
      </c>
      <c r="AY122" s="3" t="e">
        <f t="shared" ca="1" si="39"/>
        <v>#N/A</v>
      </c>
      <c r="AZ122" s="3" t="e">
        <f t="shared" ca="1" si="34"/>
        <v>#N/A</v>
      </c>
      <c r="BA122" s="3" t="e">
        <f t="shared" ca="1" si="29"/>
        <v>#N/A</v>
      </c>
      <c r="BB122" s="3" t="e">
        <f t="shared" ca="1" si="35"/>
        <v>#N/A</v>
      </c>
      <c r="BC122" s="3" t="e">
        <f t="shared" ca="1" si="36"/>
        <v>#N/A</v>
      </c>
      <c r="BD122" s="3" t="e">
        <f t="shared" ca="1" si="30"/>
        <v>#N/A</v>
      </c>
      <c r="BE122" s="3" t="e">
        <f t="shared" ca="1" si="37"/>
        <v>#N/A</v>
      </c>
      <c r="BF122" s="3" t="e">
        <f t="shared" ca="1" si="38"/>
        <v>#N/A</v>
      </c>
    </row>
    <row r="123" spans="1:58" ht="15" x14ac:dyDescent="0.25">
      <c r="A123" s="72">
        <v>57</v>
      </c>
      <c r="B123" s="72">
        <v>1498730149.497</v>
      </c>
      <c r="C123" s="73">
        <v>2.21431102370695E-4</v>
      </c>
      <c r="D123" s="73">
        <v>-2.71661366248269E-5</v>
      </c>
      <c r="E123" s="73">
        <v>7.5046690518574296E-4</v>
      </c>
      <c r="F123" s="73">
        <v>-3.3862085266323897E-5</v>
      </c>
      <c r="G123" s="73">
        <v>9.9627387257031309E-4</v>
      </c>
      <c r="H123" s="73">
        <v>-5.00479470314486E-5</v>
      </c>
      <c r="I123" s="73">
        <v>6.7171211491340798E-4</v>
      </c>
      <c r="J123" s="73">
        <v>6.9696354318050501E-3</v>
      </c>
      <c r="K123" s="73"/>
      <c r="L123" s="73"/>
      <c r="M123" s="73"/>
      <c r="O123" s="13">
        <f t="shared" ca="1" si="0"/>
        <v>-4.3256126900866586E-5</v>
      </c>
      <c r="P123" s="13">
        <f t="shared" ca="1" si="1"/>
        <v>-3.8453612009667072E-5</v>
      </c>
      <c r="Q123" s="13">
        <f t="shared" ca="1" si="2"/>
        <v>-9.027271278694239E-5</v>
      </c>
      <c r="R123" s="13">
        <f t="shared" ca="1" si="3"/>
        <v>-4.3638364157005025E-5</v>
      </c>
      <c r="S123" s="13">
        <f t="shared" ca="1" si="4"/>
        <v>-1.388047606710604E-4</v>
      </c>
      <c r="T123" s="13">
        <f t="shared" ca="1" si="5"/>
        <v>-5.0397768542472689E-5</v>
      </c>
      <c r="U123" s="13">
        <f t="shared" ca="1" si="6"/>
        <v>1.7868120124886803E-5</v>
      </c>
      <c r="V123" s="13">
        <f t="shared" ca="1" si="7"/>
        <v>-1.6914549064911411E-4</v>
      </c>
      <c r="X123" s="3">
        <f t="shared" ca="1" si="8"/>
        <v>-4.3256126900866586E-5</v>
      </c>
      <c r="Y123" s="3">
        <f t="shared" ca="1" si="9"/>
        <v>-3.8453612009667072E-5</v>
      </c>
      <c r="Z123" s="3">
        <f t="shared" ca="1" si="10"/>
        <v>-9.027271278694239E-5</v>
      </c>
      <c r="AA123" s="3">
        <f t="shared" ca="1" si="11"/>
        <v>-4.3638364157005025E-5</v>
      </c>
      <c r="AB123" s="3">
        <f t="shared" ca="1" si="12"/>
        <v>-1.388047606710604E-4</v>
      </c>
      <c r="AC123" s="3">
        <f t="shared" ca="1" si="13"/>
        <v>-5.0397768542472689E-5</v>
      </c>
      <c r="AD123" s="3">
        <f t="shared" ca="1" si="14"/>
        <v>1.7868120124886803E-5</v>
      </c>
      <c r="AE123" s="3">
        <f t="shared" ca="1" si="15"/>
        <v>-1.6914549064911411E-4</v>
      </c>
      <c r="AG123" s="3">
        <f t="shared" ca="1" si="16"/>
        <v>-4.3256126900866586E-5</v>
      </c>
      <c r="AH123" s="3">
        <f t="shared" ca="1" si="17"/>
        <v>-3.8453612009667072E-5</v>
      </c>
      <c r="AI123" s="3">
        <f t="shared" ca="1" si="18"/>
        <v>-9.027271278694239E-5</v>
      </c>
      <c r="AJ123" s="3">
        <f t="shared" ca="1" si="19"/>
        <v>-4.3638364157005025E-5</v>
      </c>
      <c r="AK123" s="3">
        <f t="shared" ca="1" si="20"/>
        <v>-1.388047606710604E-4</v>
      </c>
      <c r="AL123" s="3">
        <f t="shared" ca="1" si="21"/>
        <v>-5.0397768542472689E-5</v>
      </c>
      <c r="AM123" s="3">
        <f t="shared" ca="1" si="22"/>
        <v>1.7868120124886803E-5</v>
      </c>
      <c r="AN123" s="3">
        <f t="shared" ca="1" si="23"/>
        <v>-1.6914549064911411E-4</v>
      </c>
      <c r="AP123" s="3" t="e">
        <f t="shared" ca="1" si="24"/>
        <v>#N/A</v>
      </c>
      <c r="AQ123" s="3" t="e">
        <f t="shared" ca="1" si="31"/>
        <v>#N/A</v>
      </c>
      <c r="AR123" s="3" t="e">
        <f t="shared" ca="1" si="25"/>
        <v>#N/A</v>
      </c>
      <c r="AS123" s="3" t="e">
        <f t="shared" ca="1" si="26"/>
        <v>#N/A</v>
      </c>
      <c r="AT123" s="3" t="e">
        <f t="shared" ca="1" si="27"/>
        <v>#N/A</v>
      </c>
      <c r="AU123" s="3" t="e">
        <f t="shared" ca="1" si="28"/>
        <v>#N/A</v>
      </c>
      <c r="AV123" s="10" t="e">
        <f t="shared" ca="1" si="32"/>
        <v>#N/A</v>
      </c>
      <c r="AW123" s="10" t="e">
        <f t="shared" ca="1" si="33"/>
        <v>#N/A</v>
      </c>
      <c r="AY123" s="3" t="e">
        <f t="shared" ca="1" si="39"/>
        <v>#N/A</v>
      </c>
      <c r="AZ123" s="3" t="e">
        <f t="shared" ca="1" si="34"/>
        <v>#N/A</v>
      </c>
      <c r="BA123" s="3" t="e">
        <f t="shared" ca="1" si="29"/>
        <v>#N/A</v>
      </c>
      <c r="BB123" s="3" t="e">
        <f t="shared" ca="1" si="35"/>
        <v>#N/A</v>
      </c>
      <c r="BC123" s="3" t="e">
        <f t="shared" ca="1" si="36"/>
        <v>#N/A</v>
      </c>
      <c r="BD123" s="3" t="e">
        <f t="shared" ca="1" si="30"/>
        <v>#N/A</v>
      </c>
      <c r="BE123" s="3" t="e">
        <f t="shared" ca="1" si="37"/>
        <v>#N/A</v>
      </c>
      <c r="BF123" s="3" t="e">
        <f t="shared" ca="1" si="38"/>
        <v>#N/A</v>
      </c>
    </row>
    <row r="124" spans="1:58" ht="15" x14ac:dyDescent="0.25">
      <c r="A124" s="72">
        <v>58</v>
      </c>
      <c r="B124" s="72">
        <v>1498730150.0239999</v>
      </c>
      <c r="C124" s="73">
        <v>2.1334282470014001E-4</v>
      </c>
      <c r="D124" s="73">
        <v>-6.3542492168666007E-5</v>
      </c>
      <c r="E124" s="73">
        <v>8.6492380804290404E-4</v>
      </c>
      <c r="F124" s="73">
        <v>1.1583034298582601E-5</v>
      </c>
      <c r="G124" s="73">
        <v>1.0875832460438199E-3</v>
      </c>
      <c r="H124" s="73">
        <v>4.2497356409871901E-5</v>
      </c>
      <c r="I124" s="73">
        <v>6.1423860735737698E-4</v>
      </c>
      <c r="J124" s="73">
        <v>6.9920798127882204E-3</v>
      </c>
      <c r="K124" s="73"/>
      <c r="L124" s="73"/>
      <c r="M124" s="73"/>
      <c r="O124" s="13">
        <f t="shared" ca="1" si="0"/>
        <v>-5.1344404571421572E-5</v>
      </c>
      <c r="P124" s="13">
        <f t="shared" ca="1" si="1"/>
        <v>-7.4829967553506185E-5</v>
      </c>
      <c r="Q124" s="13">
        <f t="shared" ca="1" si="2"/>
        <v>2.418419007021869E-5</v>
      </c>
      <c r="R124" s="13">
        <f t="shared" ca="1" si="3"/>
        <v>1.8067554079014751E-6</v>
      </c>
      <c r="S124" s="13">
        <f t="shared" ca="1" si="4"/>
        <v>-4.7495387197553579E-5</v>
      </c>
      <c r="T124" s="13">
        <f t="shared" ca="1" si="5"/>
        <v>4.2147534898847812E-5</v>
      </c>
      <c r="U124" s="13">
        <f t="shared" ca="1" si="6"/>
        <v>-3.9605387431144198E-5</v>
      </c>
      <c r="V124" s="13">
        <f t="shared" ca="1" si="7"/>
        <v>-1.4670110966594381E-4</v>
      </c>
      <c r="X124" s="3">
        <f t="shared" ca="1" si="8"/>
        <v>-5.1344404571421572E-5</v>
      </c>
      <c r="Y124" s="3">
        <f t="shared" ca="1" si="9"/>
        <v>-7.4829967553506185E-5</v>
      </c>
      <c r="Z124" s="3">
        <f t="shared" ca="1" si="10"/>
        <v>2.3861729888914706E-5</v>
      </c>
      <c r="AA124" s="3">
        <f t="shared" ca="1" si="11"/>
        <v>-5.9982467077517677E-6</v>
      </c>
      <c r="AB124" s="3">
        <f t="shared" ca="1" si="12"/>
        <v>-1.0425570774753889E-4</v>
      </c>
      <c r="AC124" s="3">
        <f t="shared" ca="1" si="13"/>
        <v>4.2147534898847812E-5</v>
      </c>
      <c r="AD124" s="3">
        <f t="shared" ca="1" si="14"/>
        <v>-1.234267129689695E-4</v>
      </c>
      <c r="AE124" s="3">
        <f t="shared" ca="1" si="15"/>
        <v>-1.8071385362735022E-4</v>
      </c>
      <c r="AG124" s="3">
        <f t="shared" ca="1" si="16"/>
        <v>-5.1344404571421572E-5</v>
      </c>
      <c r="AH124" s="3">
        <f t="shared" ca="1" si="17"/>
        <v>-7.4829967553506185E-5</v>
      </c>
      <c r="AI124" s="3">
        <f t="shared" ca="1" si="18"/>
        <v>2.3861729888914706E-5</v>
      </c>
      <c r="AJ124" s="3">
        <f t="shared" ca="1" si="19"/>
        <v>-5.9982467077517677E-6</v>
      </c>
      <c r="AK124" s="3">
        <f t="shared" ca="1" si="20"/>
        <v>-1.0425570774753889E-4</v>
      </c>
      <c r="AL124" s="3">
        <f t="shared" ca="1" si="21"/>
        <v>4.2147534898847812E-5</v>
      </c>
      <c r="AM124" s="3">
        <f t="shared" ca="1" si="22"/>
        <v>-1.234267129689695E-4</v>
      </c>
      <c r="AN124" s="3">
        <f t="shared" ca="1" si="23"/>
        <v>-1.8071385362735022E-4</v>
      </c>
      <c r="AP124" s="3" t="e">
        <f t="shared" ca="1" si="24"/>
        <v>#N/A</v>
      </c>
      <c r="AQ124" s="3" t="e">
        <f t="shared" ca="1" si="31"/>
        <v>#N/A</v>
      </c>
      <c r="AR124" s="3" t="e">
        <f t="shared" ca="1" si="25"/>
        <v>#N/A</v>
      </c>
      <c r="AS124" s="3" t="e">
        <f t="shared" ca="1" si="26"/>
        <v>#N/A</v>
      </c>
      <c r="AT124" s="3" t="e">
        <f t="shared" ca="1" si="27"/>
        <v>#N/A</v>
      </c>
      <c r="AU124" s="3" t="e">
        <f t="shared" ca="1" si="28"/>
        <v>#N/A</v>
      </c>
      <c r="AV124" s="10" t="e">
        <f t="shared" ca="1" si="32"/>
        <v>#N/A</v>
      </c>
      <c r="AW124" s="10" t="e">
        <f t="shared" ca="1" si="33"/>
        <v>#N/A</v>
      </c>
      <c r="AY124" s="3" t="e">
        <f t="shared" ca="1" si="39"/>
        <v>#N/A</v>
      </c>
      <c r="AZ124" s="3" t="e">
        <f t="shared" ca="1" si="34"/>
        <v>#N/A</v>
      </c>
      <c r="BA124" s="3" t="e">
        <f t="shared" ca="1" si="29"/>
        <v>#N/A</v>
      </c>
      <c r="BB124" s="3" t="e">
        <f t="shared" ca="1" si="35"/>
        <v>#N/A</v>
      </c>
      <c r="BC124" s="3" t="e">
        <f t="shared" ca="1" si="36"/>
        <v>#N/A</v>
      </c>
      <c r="BD124" s="3" t="e">
        <f t="shared" ca="1" si="30"/>
        <v>#N/A</v>
      </c>
      <c r="BE124" s="3" t="e">
        <f t="shared" ca="1" si="37"/>
        <v>#N/A</v>
      </c>
      <c r="BF124" s="3" t="e">
        <f t="shared" ca="1" si="38"/>
        <v>#N/A</v>
      </c>
    </row>
    <row r="125" spans="1:58" ht="15" x14ac:dyDescent="0.25">
      <c r="A125" s="72">
        <v>59</v>
      </c>
      <c r="B125" s="72">
        <v>1498730150.55</v>
      </c>
      <c r="C125" s="73">
        <v>2.9184946429565E-4</v>
      </c>
      <c r="D125" s="73">
        <v>5.9764582245735999E-5</v>
      </c>
      <c r="E125" s="73">
        <v>8.1559559534268695E-4</v>
      </c>
      <c r="F125" s="73">
        <v>1.3936390256650901E-4</v>
      </c>
      <c r="G125" s="73">
        <v>1.19463800816301E-3</v>
      </c>
      <c r="H125" s="73">
        <v>9.7172241673575694E-5</v>
      </c>
      <c r="I125" s="73">
        <v>8.3868905876933997E-4</v>
      </c>
      <c r="J125" s="73">
        <v>7.0419845449433E-3</v>
      </c>
      <c r="K125" s="73"/>
      <c r="L125" s="73"/>
      <c r="M125" s="73"/>
      <c r="O125" s="13">
        <f t="shared" ca="1" si="0"/>
        <v>2.7162235024088416E-5</v>
      </c>
      <c r="P125" s="13">
        <f t="shared" ca="1" si="1"/>
        <v>4.8477106860895827E-5</v>
      </c>
      <c r="Q125" s="13">
        <f t="shared" ca="1" si="2"/>
        <v>-2.5144022629998409E-5</v>
      </c>
      <c r="R125" s="13">
        <f t="shared" ca="1" si="3"/>
        <v>1.2958762367582788E-4</v>
      </c>
      <c r="S125" s="13">
        <f t="shared" ca="1" si="4"/>
        <v>5.9559374921636533E-5</v>
      </c>
      <c r="T125" s="13">
        <f t="shared" ca="1" si="5"/>
        <v>9.6822420162551604E-5</v>
      </c>
      <c r="U125" s="13">
        <f t="shared" ca="1" si="6"/>
        <v>1.8484506398081879E-4</v>
      </c>
      <c r="V125" s="13">
        <f t="shared" ca="1" si="7"/>
        <v>-9.679637751086427E-5</v>
      </c>
      <c r="X125" s="3">
        <f t="shared" ca="1" si="8"/>
        <v>2.7162235024088416E-5</v>
      </c>
      <c r="Y125" s="3">
        <f t="shared" ca="1" si="9"/>
        <v>4.8477106860895827E-5</v>
      </c>
      <c r="Z125" s="3">
        <f t="shared" ca="1" si="10"/>
        <v>-2.5884786597211125E-5</v>
      </c>
      <c r="AA125" s="3">
        <f t="shared" ca="1" si="11"/>
        <v>1.1165776856033829E-4</v>
      </c>
      <c r="AB125" s="3">
        <f t="shared" ca="1" si="12"/>
        <v>-7.0831918852510748E-5</v>
      </c>
      <c r="AC125" s="3">
        <f t="shared" ca="1" si="13"/>
        <v>9.6822420162551604E-5</v>
      </c>
      <c r="AD125" s="3">
        <f t="shared" ca="1" si="14"/>
        <v>-7.7114786327137661E-6</v>
      </c>
      <c r="AE125" s="3">
        <f t="shared" ca="1" si="15"/>
        <v>-1.7493134304600417E-4</v>
      </c>
      <c r="AG125" s="3">
        <f t="shared" ca="1" si="16"/>
        <v>2.7162235024088416E-5</v>
      </c>
      <c r="AH125" s="3">
        <f t="shared" ca="1" si="17"/>
        <v>4.8477106860895827E-5</v>
      </c>
      <c r="AI125" s="3">
        <f t="shared" ca="1" si="18"/>
        <v>-6.4932839038680623E-5</v>
      </c>
      <c r="AJ125" s="3">
        <f t="shared" ca="1" si="19"/>
        <v>9.0095329006580318E-5</v>
      </c>
      <c r="AK125" s="3">
        <f t="shared" ca="1" si="20"/>
        <v>-7.0831918852510748E-5</v>
      </c>
      <c r="AL125" s="3">
        <f t="shared" ca="1" si="21"/>
        <v>9.6822420162551604E-5</v>
      </c>
      <c r="AM125" s="3">
        <f t="shared" ca="1" si="22"/>
        <v>-7.7114786327137661E-6</v>
      </c>
      <c r="AN125" s="3">
        <f t="shared" ca="1" si="23"/>
        <v>-1.7493134304600417E-4</v>
      </c>
      <c r="AP125" s="3" t="e">
        <f t="shared" ca="1" si="24"/>
        <v>#N/A</v>
      </c>
      <c r="AQ125" s="3" t="e">
        <f t="shared" ca="1" si="31"/>
        <v>#N/A</v>
      </c>
      <c r="AR125" s="3" t="e">
        <f t="shared" ca="1" si="25"/>
        <v>#N/A</v>
      </c>
      <c r="AS125" s="3" t="e">
        <f t="shared" ca="1" si="26"/>
        <v>#N/A</v>
      </c>
      <c r="AT125" s="3" t="e">
        <f t="shared" ca="1" si="27"/>
        <v>#N/A</v>
      </c>
      <c r="AU125" s="3" t="e">
        <f t="shared" ca="1" si="28"/>
        <v>#N/A</v>
      </c>
      <c r="AV125" s="10" t="e">
        <f t="shared" ca="1" si="32"/>
        <v>#N/A</v>
      </c>
      <c r="AW125" s="10" t="e">
        <f t="shared" ca="1" si="33"/>
        <v>#N/A</v>
      </c>
      <c r="AY125" s="3" t="e">
        <f t="shared" ca="1" si="39"/>
        <v>#N/A</v>
      </c>
      <c r="AZ125" s="3" t="e">
        <f t="shared" ca="1" si="34"/>
        <v>#N/A</v>
      </c>
      <c r="BA125" s="3" t="e">
        <f t="shared" ca="1" si="29"/>
        <v>#N/A</v>
      </c>
      <c r="BB125" s="3" t="e">
        <f t="shared" ca="1" si="35"/>
        <v>#N/A</v>
      </c>
      <c r="BC125" s="3" t="e">
        <f t="shared" ca="1" si="36"/>
        <v>#N/A</v>
      </c>
      <c r="BD125" s="3" t="e">
        <f t="shared" ca="1" si="30"/>
        <v>#N/A</v>
      </c>
      <c r="BE125" s="3" t="e">
        <f t="shared" ca="1" si="37"/>
        <v>#N/A</v>
      </c>
      <c r="BF125" s="3" t="e">
        <f t="shared" ca="1" si="38"/>
        <v>#N/A</v>
      </c>
    </row>
    <row r="126" spans="1:58" ht="15" x14ac:dyDescent="0.25">
      <c r="A126" s="72">
        <v>60</v>
      </c>
      <c r="B126" s="72">
        <v>1498730151.0780001</v>
      </c>
      <c r="C126" s="73">
        <v>3.1349935063122898E-4</v>
      </c>
      <c r="D126" s="73">
        <v>-3.7806323348355798E-6</v>
      </c>
      <c r="E126" s="73">
        <v>7.8758016375643904E-4</v>
      </c>
      <c r="F126" s="73">
        <v>-4.83755359110498E-5</v>
      </c>
      <c r="G126" s="73">
        <v>1.08090760474075E-3</v>
      </c>
      <c r="H126" s="73">
        <v>1.1592077453669201E-5</v>
      </c>
      <c r="I126" s="73">
        <v>5.7529150070597995E-4</v>
      </c>
      <c r="J126" s="73">
        <v>7.01022670080756E-3</v>
      </c>
      <c r="K126" s="73"/>
      <c r="L126" s="73"/>
      <c r="M126" s="73"/>
      <c r="O126" s="13">
        <f t="shared" ca="1" si="0"/>
        <v>4.8812121359667398E-5</v>
      </c>
      <c r="P126" s="13">
        <f t="shared" ca="1" si="1"/>
        <v>-1.5068107719675753E-5</v>
      </c>
      <c r="Q126" s="13">
        <f t="shared" ca="1" si="2"/>
        <v>-5.3159454216246318E-5</v>
      </c>
      <c r="R126" s="13">
        <f t="shared" ca="1" si="3"/>
        <v>-5.8151814801730928E-5</v>
      </c>
      <c r="S126" s="13">
        <f t="shared" ca="1" si="4"/>
        <v>-5.4171028500623513E-5</v>
      </c>
      <c r="T126" s="13">
        <f t="shared" ca="1" si="5"/>
        <v>1.1242255942645114E-5</v>
      </c>
      <c r="U126" s="13">
        <f t="shared" ca="1" si="6"/>
        <v>-7.8552494082541227E-5</v>
      </c>
      <c r="V126" s="13">
        <f t="shared" ca="1" si="7"/>
        <v>-1.2855422164660419E-4</v>
      </c>
      <c r="X126" s="3">
        <f t="shared" ca="1" si="8"/>
        <v>4.8812121359667398E-5</v>
      </c>
      <c r="Y126" s="3">
        <f t="shared" ca="1" si="9"/>
        <v>-1.5068107719675753E-5</v>
      </c>
      <c r="Z126" s="3">
        <f t="shared" ca="1" si="10"/>
        <v>-5.3245465886875013E-5</v>
      </c>
      <c r="AA126" s="3">
        <f t="shared" ca="1" si="11"/>
        <v>-6.0233688193084568E-5</v>
      </c>
      <c r="AB126" s="3">
        <f t="shared" ca="1" si="12"/>
        <v>-6.9311037341969971E-5</v>
      </c>
      <c r="AC126" s="3">
        <f t="shared" ca="1" si="13"/>
        <v>1.1242255942645114E-5</v>
      </c>
      <c r="AD126" s="3">
        <f t="shared" ca="1" si="14"/>
        <v>-1.0091064141926169E-4</v>
      </c>
      <c r="AE126" s="3">
        <f t="shared" ca="1" si="15"/>
        <v>-1.3762663771657086E-4</v>
      </c>
      <c r="AG126" s="3">
        <f t="shared" ca="1" si="16"/>
        <v>4.8812121359667398E-5</v>
      </c>
      <c r="AH126" s="3">
        <f t="shared" ca="1" si="17"/>
        <v>-1.5068107719675753E-5</v>
      </c>
      <c r="AI126" s="3">
        <f t="shared" ca="1" si="18"/>
        <v>-5.3245465886875013E-5</v>
      </c>
      <c r="AJ126" s="3">
        <f t="shared" ca="1" si="19"/>
        <v>-6.0233688193084568E-5</v>
      </c>
      <c r="AK126" s="3">
        <f t="shared" ca="1" si="20"/>
        <v>-6.9311037341969971E-5</v>
      </c>
      <c r="AL126" s="3">
        <f t="shared" ca="1" si="21"/>
        <v>1.1242255942645114E-5</v>
      </c>
      <c r="AM126" s="3">
        <f t="shared" ca="1" si="22"/>
        <v>-1.0091064141926169E-4</v>
      </c>
      <c r="AN126" s="3">
        <f t="shared" ca="1" si="23"/>
        <v>-1.3762663771657086E-4</v>
      </c>
      <c r="AP126" s="3" t="e">
        <f t="shared" ca="1" si="24"/>
        <v>#N/A</v>
      </c>
      <c r="AQ126" s="3" t="e">
        <f t="shared" ca="1" si="31"/>
        <v>#N/A</v>
      </c>
      <c r="AR126" s="3" t="e">
        <f t="shared" ca="1" si="25"/>
        <v>#N/A</v>
      </c>
      <c r="AS126" s="3" t="e">
        <f t="shared" ca="1" si="26"/>
        <v>#N/A</v>
      </c>
      <c r="AT126" s="3" t="e">
        <f t="shared" ca="1" si="27"/>
        <v>#N/A</v>
      </c>
      <c r="AU126" s="3" t="e">
        <f t="shared" ca="1" si="28"/>
        <v>#N/A</v>
      </c>
      <c r="AV126" s="10" t="e">
        <f t="shared" ca="1" si="32"/>
        <v>#N/A</v>
      </c>
      <c r="AW126" s="10" t="e">
        <f t="shared" ca="1" si="33"/>
        <v>#N/A</v>
      </c>
      <c r="AY126" s="3" t="e">
        <f t="shared" ca="1" si="39"/>
        <v>#N/A</v>
      </c>
      <c r="AZ126" s="3" t="e">
        <f t="shared" ca="1" si="34"/>
        <v>#N/A</v>
      </c>
      <c r="BA126" s="3" t="e">
        <f t="shared" ca="1" si="29"/>
        <v>#N/A</v>
      </c>
      <c r="BB126" s="3" t="e">
        <f t="shared" ca="1" si="35"/>
        <v>#N/A</v>
      </c>
      <c r="BC126" s="3" t="e">
        <f t="shared" ca="1" si="36"/>
        <v>#N/A</v>
      </c>
      <c r="BD126" s="3" t="e">
        <f t="shared" ca="1" si="30"/>
        <v>#N/A</v>
      </c>
      <c r="BE126" s="3" t="e">
        <f t="shared" ca="1" si="37"/>
        <v>#N/A</v>
      </c>
      <c r="BF126" s="3" t="e">
        <f t="shared" ca="1" si="38"/>
        <v>#N/A</v>
      </c>
    </row>
    <row r="127" spans="1:58" ht="15" x14ac:dyDescent="0.25">
      <c r="A127" s="72">
        <v>61</v>
      </c>
      <c r="B127" s="72">
        <v>1498730151.605</v>
      </c>
      <c r="C127" s="73">
        <v>2.9184946429565E-4</v>
      </c>
      <c r="D127" s="73">
        <v>1.0628892235247599E-5</v>
      </c>
      <c r="E127" s="73">
        <v>8.1559559534268695E-4</v>
      </c>
      <c r="F127" s="73">
        <v>-3.7668912400399502E-5</v>
      </c>
      <c r="G127" s="73">
        <v>1.1717478310537201E-3</v>
      </c>
      <c r="H127" s="73">
        <v>-7.5377735853082102E-5</v>
      </c>
      <c r="I127" s="73">
        <v>6.0877642147415896E-4</v>
      </c>
      <c r="J127" s="73">
        <v>6.99613895659965E-3</v>
      </c>
      <c r="K127" s="73"/>
      <c r="L127" s="73"/>
      <c r="M127" s="73"/>
      <c r="O127" s="13">
        <f t="shared" ca="1" si="0"/>
        <v>2.7162235024088416E-5</v>
      </c>
      <c r="P127" s="13">
        <f t="shared" ca="1" si="1"/>
        <v>-6.5858314959257377E-7</v>
      </c>
      <c r="Q127" s="13">
        <f t="shared" ca="1" si="2"/>
        <v>-2.5144022629998409E-5</v>
      </c>
      <c r="R127" s="13">
        <f t="shared" ca="1" si="3"/>
        <v>-4.7445191291080629E-5</v>
      </c>
      <c r="S127" s="13">
        <f t="shared" ca="1" si="4"/>
        <v>3.6669197812346606E-5</v>
      </c>
      <c r="T127" s="13">
        <f t="shared" ca="1" si="5"/>
        <v>-7.5727557364106191E-5</v>
      </c>
      <c r="U127" s="13">
        <f t="shared" ca="1" si="6"/>
        <v>-4.5067573314362219E-5</v>
      </c>
      <c r="V127" s="13">
        <f t="shared" ca="1" si="7"/>
        <v>-1.426419658545142E-4</v>
      </c>
      <c r="X127" s="3">
        <f t="shared" ca="1" si="8"/>
        <v>2.7162235024088416E-5</v>
      </c>
      <c r="Y127" s="3">
        <f t="shared" ca="1" si="9"/>
        <v>-6.5858314959257377E-7</v>
      </c>
      <c r="Z127" s="3">
        <f t="shared" ca="1" si="10"/>
        <v>-2.5144022629998409E-5</v>
      </c>
      <c r="AA127" s="3">
        <f t="shared" ca="1" si="11"/>
        <v>-4.7445191291080629E-5</v>
      </c>
      <c r="AB127" s="3">
        <f t="shared" ca="1" si="12"/>
        <v>3.6669197812346606E-5</v>
      </c>
      <c r="AC127" s="3">
        <f t="shared" ca="1" si="13"/>
        <v>-7.5727557364106191E-5</v>
      </c>
      <c r="AD127" s="3">
        <f t="shared" ca="1" si="14"/>
        <v>-4.5067573314362219E-5</v>
      </c>
      <c r="AE127" s="3">
        <f t="shared" ca="1" si="15"/>
        <v>-1.426419658545142E-4</v>
      </c>
      <c r="AG127" s="3">
        <f t="shared" ca="1" si="16"/>
        <v>2.7162235024088416E-5</v>
      </c>
      <c r="AH127" s="3">
        <f t="shared" ca="1" si="17"/>
        <v>-6.5858314959257377E-7</v>
      </c>
      <c r="AI127" s="3">
        <f t="shared" ca="1" si="18"/>
        <v>-2.5144022629998409E-5</v>
      </c>
      <c r="AJ127" s="3">
        <f t="shared" ca="1" si="19"/>
        <v>-4.7445191291080629E-5</v>
      </c>
      <c r="AK127" s="3">
        <f t="shared" ca="1" si="20"/>
        <v>3.6669197812346606E-5</v>
      </c>
      <c r="AL127" s="3">
        <f t="shared" ca="1" si="21"/>
        <v>-7.5727557364106191E-5</v>
      </c>
      <c r="AM127" s="3">
        <f t="shared" ca="1" si="22"/>
        <v>-4.5067573314362219E-5</v>
      </c>
      <c r="AN127" s="3">
        <f t="shared" ca="1" si="23"/>
        <v>-1.426419658545142E-4</v>
      </c>
      <c r="AP127" s="3" t="e">
        <f t="shared" ca="1" si="24"/>
        <v>#N/A</v>
      </c>
      <c r="AQ127" s="3" t="e">
        <f t="shared" ca="1" si="31"/>
        <v>#N/A</v>
      </c>
      <c r="AR127" s="3" t="e">
        <f t="shared" ca="1" si="25"/>
        <v>#N/A</v>
      </c>
      <c r="AS127" s="3" t="e">
        <f t="shared" ca="1" si="26"/>
        <v>#N/A</v>
      </c>
      <c r="AT127" s="3" t="e">
        <f t="shared" ca="1" si="27"/>
        <v>#N/A</v>
      </c>
      <c r="AU127" s="3" t="e">
        <f t="shared" ca="1" si="28"/>
        <v>#N/A</v>
      </c>
      <c r="AV127" s="10" t="e">
        <f t="shared" ca="1" si="32"/>
        <v>#N/A</v>
      </c>
      <c r="AW127" s="10" t="e">
        <f t="shared" ca="1" si="33"/>
        <v>#N/A</v>
      </c>
      <c r="AY127" s="3" t="e">
        <f t="shared" ca="1" si="39"/>
        <v>#N/A</v>
      </c>
      <c r="AZ127" s="3" t="e">
        <f t="shared" ca="1" si="34"/>
        <v>#N/A</v>
      </c>
      <c r="BA127" s="3" t="e">
        <f t="shared" ca="1" si="29"/>
        <v>#N/A</v>
      </c>
      <c r="BB127" s="3" t="e">
        <f t="shared" ca="1" si="35"/>
        <v>#N/A</v>
      </c>
      <c r="BC127" s="3" t="e">
        <f t="shared" ca="1" si="36"/>
        <v>#N/A</v>
      </c>
      <c r="BD127" s="3" t="e">
        <f t="shared" ca="1" si="30"/>
        <v>#N/A</v>
      </c>
      <c r="BE127" s="3" t="e">
        <f t="shared" ca="1" si="37"/>
        <v>#N/A</v>
      </c>
      <c r="BF127" s="3" t="e">
        <f t="shared" ca="1" si="38"/>
        <v>#N/A</v>
      </c>
    </row>
    <row r="128" spans="1:58" ht="15" x14ac:dyDescent="0.25">
      <c r="A128" s="72">
        <v>62</v>
      </c>
      <c r="B128" s="72">
        <v>1498730152.132</v>
      </c>
      <c r="C128" s="73">
        <v>3.5870392317650501E-4</v>
      </c>
      <c r="D128" s="73">
        <v>1.0865115693047101E-5</v>
      </c>
      <c r="E128" s="73">
        <v>9.2311505371768705E-4</v>
      </c>
      <c r="F128" s="73">
        <v>3.8708332073698701E-5</v>
      </c>
      <c r="G128" s="73">
        <v>1.1929689150450601E-3</v>
      </c>
      <c r="H128" s="73">
        <v>-7.1401508101216296E-6</v>
      </c>
      <c r="I128" s="73">
        <v>6.03551749914719E-4</v>
      </c>
      <c r="J128" s="73">
        <v>7.0195390471400002E-3</v>
      </c>
      <c r="K128" s="73"/>
      <c r="L128" s="73"/>
      <c r="M128" s="73"/>
      <c r="O128" s="13">
        <f t="shared" ca="1" si="0"/>
        <v>9.4016693904943422E-5</v>
      </c>
      <c r="P128" s="13">
        <f t="shared" ca="1" si="1"/>
        <v>-4.2235969179307268E-7</v>
      </c>
      <c r="Q128" s="13">
        <f t="shared" ca="1" si="2"/>
        <v>8.2375435745001696E-5</v>
      </c>
      <c r="R128" s="13">
        <f t="shared" ca="1" si="3"/>
        <v>2.8932053183017574E-5</v>
      </c>
      <c r="S128" s="13">
        <f t="shared" ca="1" si="4"/>
        <v>5.7890281803686617E-5</v>
      </c>
      <c r="T128" s="13">
        <f t="shared" ca="1" si="5"/>
        <v>-7.4899723211457161E-6</v>
      </c>
      <c r="U128" s="13">
        <f t="shared" ca="1" si="6"/>
        <v>-5.0292244873802183E-5</v>
      </c>
      <c r="V128" s="13">
        <f t="shared" ca="1" si="7"/>
        <v>-1.19241875314164E-4</v>
      </c>
      <c r="X128" s="3">
        <f t="shared" ca="1" si="8"/>
        <v>9.4016693904943422E-5</v>
      </c>
      <c r="Y128" s="3">
        <f t="shared" ca="1" si="9"/>
        <v>-4.2235969179307268E-7</v>
      </c>
      <c r="Z128" s="3">
        <f t="shared" ca="1" si="10"/>
        <v>8.2375435745001696E-5</v>
      </c>
      <c r="AA128" s="3">
        <f t="shared" ca="1" si="11"/>
        <v>2.8932053183017574E-5</v>
      </c>
      <c r="AB128" s="3">
        <f t="shared" ca="1" si="12"/>
        <v>5.7890281803686617E-5</v>
      </c>
      <c r="AC128" s="3">
        <f t="shared" ca="1" si="13"/>
        <v>-7.4899723211457161E-6</v>
      </c>
      <c r="AD128" s="3">
        <f t="shared" ca="1" si="14"/>
        <v>-5.0292244873802183E-5</v>
      </c>
      <c r="AE128" s="3">
        <f t="shared" ca="1" si="15"/>
        <v>-1.19241875314164E-4</v>
      </c>
      <c r="AG128" s="3">
        <f t="shared" ca="1" si="16"/>
        <v>9.4016693904943422E-5</v>
      </c>
      <c r="AH128" s="3">
        <f t="shared" ca="1" si="17"/>
        <v>-4.2235969179307268E-7</v>
      </c>
      <c r="AI128" s="3">
        <f t="shared" ca="1" si="18"/>
        <v>8.2375435745001696E-5</v>
      </c>
      <c r="AJ128" s="3">
        <f t="shared" ca="1" si="19"/>
        <v>2.8932053183017574E-5</v>
      </c>
      <c r="AK128" s="3">
        <f t="shared" ca="1" si="20"/>
        <v>5.7890281803686617E-5</v>
      </c>
      <c r="AL128" s="3">
        <f t="shared" ca="1" si="21"/>
        <v>-7.4899723211457161E-6</v>
      </c>
      <c r="AM128" s="3">
        <f t="shared" ca="1" si="22"/>
        <v>-5.0292244873802183E-5</v>
      </c>
      <c r="AN128" s="3">
        <f t="shared" ca="1" si="23"/>
        <v>-1.19241875314164E-4</v>
      </c>
      <c r="AP128" s="3" t="e">
        <f t="shared" ca="1" si="24"/>
        <v>#N/A</v>
      </c>
      <c r="AQ128" s="3" t="e">
        <f t="shared" ca="1" si="31"/>
        <v>#N/A</v>
      </c>
      <c r="AR128" s="3" t="e">
        <f t="shared" ca="1" si="25"/>
        <v>#N/A</v>
      </c>
      <c r="AS128" s="3" t="e">
        <f t="shared" ca="1" si="26"/>
        <v>#N/A</v>
      </c>
      <c r="AT128" s="3" t="e">
        <f t="shared" ca="1" si="27"/>
        <v>#N/A</v>
      </c>
      <c r="AU128" s="3" t="e">
        <f t="shared" ca="1" si="28"/>
        <v>#N/A</v>
      </c>
      <c r="AV128" s="10" t="e">
        <f t="shared" ca="1" si="32"/>
        <v>#N/A</v>
      </c>
      <c r="AW128" s="10" t="e">
        <f t="shared" ca="1" si="33"/>
        <v>#N/A</v>
      </c>
      <c r="AY128" s="3" t="e">
        <f t="shared" ca="1" si="39"/>
        <v>#N/A</v>
      </c>
      <c r="AZ128" s="3" t="e">
        <f t="shared" ca="1" si="34"/>
        <v>#N/A</v>
      </c>
      <c r="BA128" s="3" t="e">
        <f t="shared" ca="1" si="29"/>
        <v>#N/A</v>
      </c>
      <c r="BB128" s="3" t="e">
        <f t="shared" ca="1" si="35"/>
        <v>#N/A</v>
      </c>
      <c r="BC128" s="3" t="e">
        <f t="shared" ca="1" si="36"/>
        <v>#N/A</v>
      </c>
      <c r="BD128" s="3" t="e">
        <f t="shared" ca="1" si="30"/>
        <v>#N/A</v>
      </c>
      <c r="BE128" s="3" t="e">
        <f t="shared" ca="1" si="37"/>
        <v>#N/A</v>
      </c>
      <c r="BF128" s="3" t="e">
        <f t="shared" ca="1" si="38"/>
        <v>#N/A</v>
      </c>
    </row>
    <row r="129" spans="1:58" ht="15" x14ac:dyDescent="0.25">
      <c r="A129" s="72">
        <v>63</v>
      </c>
      <c r="B129" s="72">
        <v>1498730152.6589999</v>
      </c>
      <c r="C129" s="73">
        <v>1.64100900742317E-4</v>
      </c>
      <c r="D129" s="73">
        <v>-1.01098498886024E-4</v>
      </c>
      <c r="E129" s="73">
        <v>8.53669099820849E-4</v>
      </c>
      <c r="F129" s="73">
        <v>-1.29242766249716E-5</v>
      </c>
      <c r="G129" s="73">
        <v>1.0420467202707001E-3</v>
      </c>
      <c r="H129" s="73">
        <v>-7.9343044227448204E-5</v>
      </c>
      <c r="I129" s="73">
        <v>6.2207570889991298E-4</v>
      </c>
      <c r="J129" s="73">
        <v>6.99995934225327E-3</v>
      </c>
      <c r="K129" s="73"/>
      <c r="L129" s="73"/>
      <c r="M129" s="73"/>
      <c r="O129" s="13">
        <f t="shared" ca="1" si="0"/>
        <v>-1.0058632852924458E-4</v>
      </c>
      <c r="P129" s="13">
        <f t="shared" ca="1" si="1"/>
        <v>-1.1238597427086418E-4</v>
      </c>
      <c r="Q129" s="13">
        <f t="shared" ca="1" si="2"/>
        <v>1.2929481848163648E-5</v>
      </c>
      <c r="R129" s="13">
        <f t="shared" ca="1" si="3"/>
        <v>-2.2700555515652727E-5</v>
      </c>
      <c r="S129" s="13">
        <f t="shared" ca="1" si="4"/>
        <v>-9.3031912970673383E-5</v>
      </c>
      <c r="T129" s="13">
        <f t="shared" ca="1" si="5"/>
        <v>-7.9692865738472294E-5</v>
      </c>
      <c r="U129" s="13">
        <f t="shared" ca="1" si="6"/>
        <v>-3.1768285888608195E-5</v>
      </c>
      <c r="V129" s="13">
        <f t="shared" ca="1" si="7"/>
        <v>-1.3882158020089418E-4</v>
      </c>
      <c r="X129" s="3">
        <f t="shared" ca="1" si="8"/>
        <v>-1.0058632852924458E-4</v>
      </c>
      <c r="Y129" s="3">
        <f t="shared" ca="1" si="9"/>
        <v>-1.1238597427086418E-4</v>
      </c>
      <c r="Z129" s="3">
        <f t="shared" ca="1" si="10"/>
        <v>1.2929481848163648E-5</v>
      </c>
      <c r="AA129" s="3">
        <f t="shared" ca="1" si="11"/>
        <v>-2.2700555515652727E-5</v>
      </c>
      <c r="AB129" s="3">
        <f t="shared" ca="1" si="12"/>
        <v>-9.3031912970673383E-5</v>
      </c>
      <c r="AC129" s="3">
        <f t="shared" ca="1" si="13"/>
        <v>-7.9692865738472294E-5</v>
      </c>
      <c r="AD129" s="3">
        <f t="shared" ca="1" si="14"/>
        <v>-3.1768285888608195E-5</v>
      </c>
      <c r="AE129" s="3">
        <f t="shared" ca="1" si="15"/>
        <v>-1.3882158020089418E-4</v>
      </c>
      <c r="AG129" s="3">
        <f t="shared" ca="1" si="16"/>
        <v>-1.0058632852924458E-4</v>
      </c>
      <c r="AH129" s="3">
        <f t="shared" ca="1" si="17"/>
        <v>-1.1238597427086418E-4</v>
      </c>
      <c r="AI129" s="3">
        <f t="shared" ca="1" si="18"/>
        <v>1.2929481848163648E-5</v>
      </c>
      <c r="AJ129" s="3">
        <f t="shared" ca="1" si="19"/>
        <v>-2.2700555515652727E-5</v>
      </c>
      <c r="AK129" s="3">
        <f t="shared" ca="1" si="20"/>
        <v>-9.3031912970673383E-5</v>
      </c>
      <c r="AL129" s="3">
        <f t="shared" ca="1" si="21"/>
        <v>-7.9692865738472294E-5</v>
      </c>
      <c r="AM129" s="3">
        <f t="shared" ca="1" si="22"/>
        <v>-3.1768285888608195E-5</v>
      </c>
      <c r="AN129" s="3">
        <f t="shared" ca="1" si="23"/>
        <v>-1.3882158020089418E-4</v>
      </c>
      <c r="AP129" s="3" t="e">
        <f t="shared" ca="1" si="24"/>
        <v>#N/A</v>
      </c>
      <c r="AQ129" s="3" t="e">
        <f t="shared" ca="1" si="31"/>
        <v>#N/A</v>
      </c>
      <c r="AR129" s="3" t="e">
        <f t="shared" ca="1" si="25"/>
        <v>#N/A</v>
      </c>
      <c r="AS129" s="3" t="e">
        <f t="shared" ca="1" si="26"/>
        <v>#N/A</v>
      </c>
      <c r="AT129" s="3" t="e">
        <f t="shared" ca="1" si="27"/>
        <v>#N/A</v>
      </c>
      <c r="AU129" s="3" t="e">
        <f t="shared" ca="1" si="28"/>
        <v>#N/A</v>
      </c>
      <c r="AV129" s="10" t="e">
        <f t="shared" ca="1" si="32"/>
        <v>#N/A</v>
      </c>
      <c r="AW129" s="10" t="e">
        <f t="shared" ca="1" si="33"/>
        <v>#N/A</v>
      </c>
      <c r="AY129" s="3" t="e">
        <f t="shared" ca="1" si="39"/>
        <v>#N/A</v>
      </c>
      <c r="AZ129" s="3" t="e">
        <f t="shared" ca="1" si="34"/>
        <v>#N/A</v>
      </c>
      <c r="BA129" s="3" t="e">
        <f t="shared" ca="1" si="29"/>
        <v>#N/A</v>
      </c>
      <c r="BB129" s="3" t="e">
        <f t="shared" ca="1" si="35"/>
        <v>#N/A</v>
      </c>
      <c r="BC129" s="3" t="e">
        <f t="shared" ca="1" si="36"/>
        <v>#N/A</v>
      </c>
      <c r="BD129" s="3" t="e">
        <f t="shared" ca="1" si="30"/>
        <v>#N/A</v>
      </c>
      <c r="BE129" s="3" t="e">
        <f t="shared" ca="1" si="37"/>
        <v>#N/A</v>
      </c>
      <c r="BF129" s="3" t="e">
        <f t="shared" ca="1" si="38"/>
        <v>#N/A</v>
      </c>
    </row>
    <row r="130" spans="1:58" ht="15" x14ac:dyDescent="0.25">
      <c r="A130" s="72">
        <v>64</v>
      </c>
      <c r="B130" s="72">
        <v>1498730153.1849999</v>
      </c>
      <c r="C130" s="73">
        <v>2.09774487732159E-4</v>
      </c>
      <c r="D130" s="73">
        <v>-2.5512634228454201E-5</v>
      </c>
      <c r="E130" s="73">
        <v>7.8470683029568803E-4</v>
      </c>
      <c r="F130" s="73">
        <v>-2.6248387462391398E-5</v>
      </c>
      <c r="G130" s="73">
        <v>1.07637773065727E-3</v>
      </c>
      <c r="H130" s="73">
        <v>-3.4081605720120901E-6</v>
      </c>
      <c r="I130" s="73">
        <v>5.0238850347826298E-4</v>
      </c>
      <c r="J130" s="73">
        <v>6.8490651736350001E-3</v>
      </c>
      <c r="K130" s="73"/>
      <c r="L130" s="73"/>
      <c r="M130" s="73"/>
      <c r="O130" s="13">
        <f t="shared" ca="1" si="0"/>
        <v>-5.4912741539402587E-5</v>
      </c>
      <c r="P130" s="13">
        <f t="shared" ca="1" si="1"/>
        <v>-3.6800109613294373E-5</v>
      </c>
      <c r="Q130" s="13">
        <f t="shared" ca="1" si="2"/>
        <v>-5.6032787676997325E-5</v>
      </c>
      <c r="R130" s="13">
        <f t="shared" ca="1" si="3"/>
        <v>-3.6024666353072526E-5</v>
      </c>
      <c r="S130" s="13">
        <f t="shared" ca="1" si="4"/>
        <v>-5.8700902584103449E-5</v>
      </c>
      <c r="T130" s="13">
        <f t="shared" ca="1" si="5"/>
        <v>-3.7579820830361765E-6</v>
      </c>
      <c r="U130" s="13">
        <f t="shared" ca="1" si="6"/>
        <v>-1.514554913102582E-4</v>
      </c>
      <c r="V130" s="13">
        <f t="shared" ca="1" si="7"/>
        <v>-2.8971574881916408E-4</v>
      </c>
      <c r="X130" s="3">
        <f t="shared" ca="1" si="8"/>
        <v>-5.4912741539402587E-5</v>
      </c>
      <c r="Y130" s="3">
        <f t="shared" ca="1" si="9"/>
        <v>-3.6800109613294373E-5</v>
      </c>
      <c r="Z130" s="3">
        <f t="shared" ca="1" si="10"/>
        <v>-5.6032787676997325E-5</v>
      </c>
      <c r="AA130" s="3">
        <f t="shared" ca="1" si="11"/>
        <v>-3.6024666353072526E-5</v>
      </c>
      <c r="AB130" s="3">
        <f t="shared" ca="1" si="12"/>
        <v>-5.8700902584103449E-5</v>
      </c>
      <c r="AC130" s="3">
        <f t="shared" ca="1" si="13"/>
        <v>-3.7579820830361765E-6</v>
      </c>
      <c r="AD130" s="3">
        <f t="shared" ca="1" si="14"/>
        <v>-1.514554913102582E-4</v>
      </c>
      <c r="AE130" s="3">
        <f t="shared" ca="1" si="15"/>
        <v>-2.8971574881916408E-4</v>
      </c>
      <c r="AG130" s="3">
        <f t="shared" ca="1" si="16"/>
        <v>-5.4912741539402587E-5</v>
      </c>
      <c r="AH130" s="3">
        <f t="shared" ca="1" si="17"/>
        <v>-3.6800109613294373E-5</v>
      </c>
      <c r="AI130" s="3">
        <f t="shared" ca="1" si="18"/>
        <v>-5.6032787676997325E-5</v>
      </c>
      <c r="AJ130" s="3">
        <f t="shared" ca="1" si="19"/>
        <v>-3.6024666353072526E-5</v>
      </c>
      <c r="AK130" s="3">
        <f t="shared" ca="1" si="20"/>
        <v>-5.8700902584103449E-5</v>
      </c>
      <c r="AL130" s="3">
        <f t="shared" ca="1" si="21"/>
        <v>-3.7579820830361765E-6</v>
      </c>
      <c r="AM130" s="3">
        <f t="shared" ca="1" si="22"/>
        <v>-1.514554913102582E-4</v>
      </c>
      <c r="AN130" s="3">
        <f t="shared" ca="1" si="23"/>
        <v>-2.8971574881916408E-4</v>
      </c>
      <c r="AP130" s="3" t="e">
        <f t="shared" ca="1" si="24"/>
        <v>#N/A</v>
      </c>
      <c r="AQ130" s="3" t="e">
        <f t="shared" ca="1" si="31"/>
        <v>#N/A</v>
      </c>
      <c r="AR130" s="3" t="e">
        <f t="shared" ca="1" si="25"/>
        <v>#N/A</v>
      </c>
      <c r="AS130" s="3" t="e">
        <f t="shared" ca="1" si="26"/>
        <v>#N/A</v>
      </c>
      <c r="AT130" s="3" t="e">
        <f t="shared" ca="1" si="27"/>
        <v>#N/A</v>
      </c>
      <c r="AU130" s="3" t="e">
        <f t="shared" ca="1" si="28"/>
        <v>#N/A</v>
      </c>
      <c r="AV130" s="10" t="e">
        <f t="shared" ca="1" si="32"/>
        <v>#N/A</v>
      </c>
      <c r="AW130" s="10" t="e">
        <f t="shared" ca="1" si="33"/>
        <v>#N/A</v>
      </c>
      <c r="AY130" s="3" t="e">
        <f t="shared" ca="1" si="39"/>
        <v>#N/A</v>
      </c>
      <c r="AZ130" s="3" t="e">
        <f t="shared" ca="1" si="34"/>
        <v>#N/A</v>
      </c>
      <c r="BA130" s="3" t="e">
        <f t="shared" ca="1" si="29"/>
        <v>#N/A</v>
      </c>
      <c r="BB130" s="3" t="e">
        <f t="shared" ca="1" si="35"/>
        <v>#N/A</v>
      </c>
      <c r="BC130" s="3" t="e">
        <f t="shared" ca="1" si="36"/>
        <v>#N/A</v>
      </c>
      <c r="BD130" s="3" t="e">
        <f t="shared" ca="1" si="30"/>
        <v>#N/A</v>
      </c>
      <c r="BE130" s="3" t="e">
        <f t="shared" ca="1" si="37"/>
        <v>#N/A</v>
      </c>
      <c r="BF130" s="3" t="e">
        <f t="shared" ca="1" si="38"/>
        <v>#N/A</v>
      </c>
    </row>
    <row r="131" spans="1:58" ht="15" x14ac:dyDescent="0.25">
      <c r="A131" s="72">
        <v>65</v>
      </c>
      <c r="B131" s="72">
        <v>1498730153.7119999</v>
      </c>
      <c r="C131" s="73">
        <v>2.6591780068102301E-4</v>
      </c>
      <c r="D131" s="73">
        <v>1.34181438266103E-4</v>
      </c>
      <c r="E131" s="73">
        <v>8.3163897178162196E-4</v>
      </c>
      <c r="F131" s="73">
        <v>-5.21823077184318E-5</v>
      </c>
      <c r="G131" s="73">
        <v>1.1324065628786201E-3</v>
      </c>
      <c r="H131" s="73">
        <v>-4.5278707474829299E-5</v>
      </c>
      <c r="I131" s="73">
        <v>6.5508720629823896E-4</v>
      </c>
      <c r="J131" s="73">
        <v>7.0044960691185596E-3</v>
      </c>
      <c r="K131" s="73"/>
      <c r="L131" s="73"/>
      <c r="M131" s="73"/>
      <c r="O131" s="13">
        <f t="shared" ref="O131:O194" ca="1" si="40">C131-AVERAGE(OFFSET(C$67,$J$2,0,$J$3))</f>
        <v>1.2305714094614276E-6</v>
      </c>
      <c r="P131" s="13">
        <f t="shared" ref="P131:P194" ca="1" si="41">D131-AVERAGE(OFFSET(D$67,$J$2,0,$J$3))</f>
        <v>1.2289396288126282E-4</v>
      </c>
      <c r="Q131" s="13">
        <f t="shared" ref="Q131:Q194" ca="1" si="42">E131-AVERAGE(OFFSET(E$67,$J$2,0,$J$3))</f>
        <v>-9.1006461910633904E-6</v>
      </c>
      <c r="R131" s="13">
        <f t="shared" ref="R131:R194" ca="1" si="43">F131-AVERAGE(OFFSET(F$67,$J$2,0,$J$3))</f>
        <v>-6.1958586609112921E-5</v>
      </c>
      <c r="S131" s="13">
        <f t="shared" ref="S131:S194" ca="1" si="44">G131-AVERAGE(OFFSET(G$67,$J$2,0,$J$3))</f>
        <v>-2.6720703627533884E-6</v>
      </c>
      <c r="T131" s="13">
        <f t="shared" ref="T131:T194" ca="1" si="45">H131-AVERAGE(OFFSET(H$67,$J$2,0,$J$3))</f>
        <v>-4.5628528985853389E-5</v>
      </c>
      <c r="U131" s="13">
        <f t="shared" ref="U131:U194" ca="1" si="46">I131-AVERAGE(OFFSET(I$67,$J$2,0,$J$3))</f>
        <v>1.243211509717782E-6</v>
      </c>
      <c r="V131" s="13">
        <f t="shared" ref="V131:V194" ca="1" si="47">J131-AVERAGE(OFFSET(J$67,$J$2,0,$J$3))</f>
        <v>-1.3428485333560457E-4</v>
      </c>
      <c r="X131" s="3">
        <f t="shared" ref="X131:X194" ca="1" si="48">O131</f>
        <v>1.2305714094614276E-6</v>
      </c>
      <c r="Y131" s="3">
        <f t="shared" ref="Y131:Y194" ca="1" si="49">P131</f>
        <v>1.2289396288126282E-4</v>
      </c>
      <c r="Z131" s="3">
        <f t="shared" ref="Z131:Z194" ca="1" si="50">IF($T131&gt;0,Q131-($B$14/$B$18*$T131), Q131)</f>
        <v>-9.1006461910633904E-6</v>
      </c>
      <c r="AA131" s="3">
        <f t="shared" ref="AA131:AA194" ca="1" si="51">IF($T131&gt;0,R131-($B$15/$B$18*$T131), R131)</f>
        <v>-6.1958586609112921E-5</v>
      </c>
      <c r="AB131" s="3">
        <f t="shared" ref="AB131:AB194" ca="1" si="52">IF($T131&gt;0,S131-($B$17/$B$18*$T131), S131)</f>
        <v>-2.6720703627533884E-6</v>
      </c>
      <c r="AC131" s="3">
        <f t="shared" ref="AC131:AC194" ca="1" si="53">T131</f>
        <v>-4.5628528985853389E-5</v>
      </c>
      <c r="AD131" s="3">
        <f t="shared" ref="AD131:AD194" ca="1" si="54">IF($T131&gt;0,U131-($B$19/$B$18*$T131), U131)</f>
        <v>1.243211509717782E-6</v>
      </c>
      <c r="AE131" s="3">
        <f t="shared" ref="AE131:AE194" ca="1" si="55">IF($T131&gt;0,V131-($B$20/$B$18*$T131), V131)</f>
        <v>-1.3428485333560457E-4</v>
      </c>
      <c r="AG131" s="3">
        <f t="shared" ref="AG131:AG194" ca="1" si="56">X131</f>
        <v>1.2305714094614276E-6</v>
      </c>
      <c r="AH131" s="3">
        <f t="shared" ref="AH131:AH194" ca="1" si="57">Y131</f>
        <v>1.2289396288126282E-4</v>
      </c>
      <c r="AI131" s="3">
        <f t="shared" ref="AI131:AI194" ca="1" si="58">IF($Y131&gt;0,Z131-($B$25/$B$23*$Y131),Z131)</f>
        <v>-1.0809108143088781E-4</v>
      </c>
      <c r="AJ131" s="3">
        <f t="shared" ref="AJ131:AJ194" ca="1" si="59">IF($Y131&gt;0,AA131-($B$26/$B$23*$Y131),AA131)</f>
        <v>-1.1662137112207542E-4</v>
      </c>
      <c r="AK131" s="3">
        <f t="shared" ref="AK131:AK194" ca="1" si="60">AB131</f>
        <v>-2.6720703627533884E-6</v>
      </c>
      <c r="AL131" s="3">
        <f t="shared" ref="AL131:AL194" ca="1" si="61">AC131</f>
        <v>-4.5628528985853389E-5</v>
      </c>
      <c r="AM131" s="3">
        <f t="shared" ref="AM131:AM194" ca="1" si="62">AD131</f>
        <v>1.243211509717782E-6</v>
      </c>
      <c r="AN131" s="3">
        <f t="shared" ref="AN131:AN194" ca="1" si="63">AE131</f>
        <v>-1.3428485333560457E-4</v>
      </c>
      <c r="AP131" s="3" t="e">
        <f t="shared" ref="AP131:AP194" ca="1" si="64">IF(AND(S131&gt;0,V131&gt;0),V131/S131, #N/A)</f>
        <v>#N/A</v>
      </c>
      <c r="AQ131" s="3" t="e">
        <f t="shared" ca="1" si="31"/>
        <v>#N/A</v>
      </c>
      <c r="AR131" s="3" t="e">
        <f t="shared" ref="AR131:AR194" ca="1" si="65">AQ131*R131</f>
        <v>#N/A</v>
      </c>
      <c r="AS131" s="3" t="e">
        <f t="shared" ref="AS131:AS194" ca="1" si="66">U131-AR131</f>
        <v>#N/A</v>
      </c>
      <c r="AT131" s="3" t="e">
        <f t="shared" ref="AT131:AT194" ca="1" si="67">(AS131/S131)/((AP131/$B$10)^$B$12)</f>
        <v>#N/A</v>
      </c>
      <c r="AU131" s="3" t="e">
        <f t="shared" ref="AU131:AU194" ca="1" si="68">(Q131/S131)/((AP131/$B$10)^$B$13)</f>
        <v>#N/A</v>
      </c>
      <c r="AV131" s="10" t="e">
        <f t="shared" ca="1" si="32"/>
        <v>#N/A</v>
      </c>
      <c r="AW131" s="10" t="e">
        <f t="shared" ca="1" si="33"/>
        <v>#N/A</v>
      </c>
      <c r="AY131" s="3" t="e">
        <f t="shared" ca="1" si="39"/>
        <v>#N/A</v>
      </c>
      <c r="AZ131" s="3" t="e">
        <f t="shared" ca="1" si="34"/>
        <v>#N/A</v>
      </c>
      <c r="BA131" s="3" t="e">
        <f t="shared" ref="BA131:BA194" ca="1" si="69">AZ131*AJ131</f>
        <v>#N/A</v>
      </c>
      <c r="BB131" s="3" t="e">
        <f t="shared" ca="1" si="35"/>
        <v>#N/A</v>
      </c>
      <c r="BC131" s="3" t="e">
        <f t="shared" ca="1" si="36"/>
        <v>#N/A</v>
      </c>
      <c r="BD131" s="3" t="e">
        <f t="shared" ref="BD131:BD194" ca="1" si="70">(AI131/AK131)/((AY131/$B$10)^$B$13)</f>
        <v>#N/A</v>
      </c>
      <c r="BE131" s="3" t="e">
        <f t="shared" ca="1" si="37"/>
        <v>#N/A</v>
      </c>
      <c r="BF131" s="3" t="e">
        <f t="shared" ca="1" si="38"/>
        <v>#N/A</v>
      </c>
    </row>
    <row r="132" spans="1:58" ht="15" x14ac:dyDescent="0.25">
      <c r="A132" s="72">
        <v>66</v>
      </c>
      <c r="B132" s="72">
        <v>1498730154.2390001</v>
      </c>
      <c r="C132" s="73">
        <v>2.3618048325819901E-4</v>
      </c>
      <c r="D132" s="73">
        <v>-1.0630988654435899E-5</v>
      </c>
      <c r="E132" s="73">
        <v>8.3618863258758797E-4</v>
      </c>
      <c r="F132" s="73">
        <v>3.4187397945727799E-5</v>
      </c>
      <c r="G132" s="73">
        <v>1.17508594926001E-3</v>
      </c>
      <c r="H132" s="73">
        <v>1.20409384310279E-5</v>
      </c>
      <c r="I132" s="73">
        <v>6.4439991132044796E-4</v>
      </c>
      <c r="J132" s="73">
        <v>6.8944265401708303E-3</v>
      </c>
      <c r="K132" s="73"/>
      <c r="L132" s="73"/>
      <c r="M132" s="73"/>
      <c r="O132" s="13">
        <f t="shared" ca="1" si="40"/>
        <v>-2.8506746013362577E-5</v>
      </c>
      <c r="P132" s="13">
        <f t="shared" ca="1" si="41"/>
        <v>-2.1918464039276073E-5</v>
      </c>
      <c r="Q132" s="13">
        <f t="shared" ca="1" si="42"/>
        <v>-4.5509853850973867E-6</v>
      </c>
      <c r="R132" s="13">
        <f t="shared" ca="1" si="43"/>
        <v>2.4411119055046672E-5</v>
      </c>
      <c r="S132" s="13">
        <f t="shared" ca="1" si="44"/>
        <v>4.0007316018636496E-5</v>
      </c>
      <c r="T132" s="13">
        <f t="shared" ca="1" si="45"/>
        <v>1.1691116920003813E-5</v>
      </c>
      <c r="U132" s="13">
        <f t="shared" ca="1" si="46"/>
        <v>-9.4440834680732189E-6</v>
      </c>
      <c r="V132" s="13">
        <f t="shared" ca="1" si="47"/>
        <v>-2.4435438228333391E-4</v>
      </c>
      <c r="X132" s="3">
        <f t="shared" ca="1" si="48"/>
        <v>-2.8506746013362577E-5</v>
      </c>
      <c r="Y132" s="3">
        <f t="shared" ca="1" si="49"/>
        <v>-2.1918464039276073E-5</v>
      </c>
      <c r="Z132" s="3">
        <f t="shared" ca="1" si="50"/>
        <v>-4.6404311780890324E-6</v>
      </c>
      <c r="AA132" s="3">
        <f t="shared" ca="1" si="51"/>
        <v>2.2246124292862522E-5</v>
      </c>
      <c r="AB132" s="3">
        <f t="shared" ca="1" si="52"/>
        <v>2.4262823593175235E-5</v>
      </c>
      <c r="AC132" s="3">
        <f t="shared" ca="1" si="53"/>
        <v>1.1691116920003813E-5</v>
      </c>
      <c r="AD132" s="3">
        <f t="shared" ca="1" si="54"/>
        <v>-3.2694907498572012E-5</v>
      </c>
      <c r="AE132" s="3">
        <f t="shared" ca="1" si="55"/>
        <v>-2.5378902578923027E-4</v>
      </c>
      <c r="AG132" s="3">
        <f t="shared" ca="1" si="56"/>
        <v>-2.8506746013362577E-5</v>
      </c>
      <c r="AH132" s="3">
        <f t="shared" ca="1" si="57"/>
        <v>-2.1918464039276073E-5</v>
      </c>
      <c r="AI132" s="3">
        <f t="shared" ca="1" si="58"/>
        <v>-4.6404311780890324E-6</v>
      </c>
      <c r="AJ132" s="3">
        <f t="shared" ca="1" si="59"/>
        <v>2.2246124292862522E-5</v>
      </c>
      <c r="AK132" s="3">
        <f t="shared" ca="1" si="60"/>
        <v>2.4262823593175235E-5</v>
      </c>
      <c r="AL132" s="3">
        <f t="shared" ca="1" si="61"/>
        <v>1.1691116920003813E-5</v>
      </c>
      <c r="AM132" s="3">
        <f t="shared" ca="1" si="62"/>
        <v>-3.2694907498572012E-5</v>
      </c>
      <c r="AN132" s="3">
        <f t="shared" ca="1" si="63"/>
        <v>-2.5378902578923027E-4</v>
      </c>
      <c r="AP132" s="3" t="e">
        <f t="shared" ca="1" si="64"/>
        <v>#N/A</v>
      </c>
      <c r="AQ132" s="3" t="e">
        <f t="shared" ref="AQ132:AQ195" ca="1" si="71">$B$8*((AP132/$B$10)^$B$11)</f>
        <v>#N/A</v>
      </c>
      <c r="AR132" s="3" t="e">
        <f t="shared" ca="1" si="65"/>
        <v>#N/A</v>
      </c>
      <c r="AS132" s="3" t="e">
        <f t="shared" ca="1" si="66"/>
        <v>#N/A</v>
      </c>
      <c r="AT132" s="3" t="e">
        <f t="shared" ca="1" si="67"/>
        <v>#N/A</v>
      </c>
      <c r="AU132" s="3" t="e">
        <f t="shared" ca="1" si="68"/>
        <v>#N/A</v>
      </c>
      <c r="AV132" s="10" t="e">
        <f t="shared" ref="AV132:AV195" ca="1" si="72">IF(AND(AT132&lt;$M$3,AT132&gt;$M$4),AT132,"rejected")</f>
        <v>#N/A</v>
      </c>
      <c r="AW132" s="10" t="e">
        <f t="shared" ref="AW132:AW195" ca="1" si="73">IF(AND(AT132&lt;$M$3,AT132&gt;$M$4),AT132,#N/A)</f>
        <v>#N/A</v>
      </c>
      <c r="AY132" s="3" t="e">
        <f t="shared" ca="1" si="39"/>
        <v>#N/A</v>
      </c>
      <c r="AZ132" s="3" t="e">
        <f t="shared" ref="AZ132:AZ195" ca="1" si="74">$B$8*((AY132/$B$10)^$B$11)</f>
        <v>#N/A</v>
      </c>
      <c r="BA132" s="3" t="e">
        <f t="shared" ca="1" si="69"/>
        <v>#N/A</v>
      </c>
      <c r="BB132" s="3" t="e">
        <f t="shared" ref="BB132:BB195" ca="1" si="75">AM132-BA132</f>
        <v>#N/A</v>
      </c>
      <c r="BC132" s="3" t="e">
        <f t="shared" ref="BC132:BC195" ca="1" si="76">(BB132/AK132)/((AY132/$B$10)^$B$12)</f>
        <v>#N/A</v>
      </c>
      <c r="BD132" s="3" t="e">
        <f t="shared" ca="1" si="70"/>
        <v>#N/A</v>
      </c>
      <c r="BE132" s="3" t="e">
        <f t="shared" ref="BE132:BE195" ca="1" si="77">IF(AND(BC132&lt;$P$3,BC132&gt;$P$4),BC132,"rejected")</f>
        <v>#N/A</v>
      </c>
      <c r="BF132" s="3" t="e">
        <f t="shared" ref="BF132:BF195" ca="1" si="78">IF(AND(BC132&lt;$P$3,BC132&gt;$P$4),BC132,#N/A)</f>
        <v>#N/A</v>
      </c>
    </row>
    <row r="133" spans="1:58" ht="15" x14ac:dyDescent="0.25">
      <c r="A133" s="72">
        <v>67</v>
      </c>
      <c r="B133" s="72">
        <v>1498730154.766</v>
      </c>
      <c r="C133" s="73">
        <v>2.86377589311291E-4</v>
      </c>
      <c r="D133" s="73">
        <v>8.6459510851840098E-5</v>
      </c>
      <c r="E133" s="73">
        <v>8.4456964059661101E-4</v>
      </c>
      <c r="F133" s="73">
        <v>-5.26581531741445E-5</v>
      </c>
      <c r="G133" s="73">
        <v>1.2330279185137399E-3</v>
      </c>
      <c r="H133" s="73">
        <v>-2.5490996265891099E-5</v>
      </c>
      <c r="I133" s="73">
        <v>6.8691227377354195E-4</v>
      </c>
      <c r="J133" s="73">
        <v>6.9810963295500001E-3</v>
      </c>
      <c r="K133" s="73"/>
      <c r="L133" s="73"/>
      <c r="M133" s="73"/>
      <c r="O133" s="13">
        <f t="shared" ca="1" si="40"/>
        <v>2.1690360039729412E-5</v>
      </c>
      <c r="P133" s="13">
        <f t="shared" ca="1" si="41"/>
        <v>7.517203546699992E-5</v>
      </c>
      <c r="Q133" s="13">
        <f t="shared" ca="1" si="42"/>
        <v>3.8300226239256505E-6</v>
      </c>
      <c r="R133" s="13">
        <f t="shared" ca="1" si="43"/>
        <v>-6.2434432064825628E-5</v>
      </c>
      <c r="S133" s="13">
        <f t="shared" ca="1" si="44"/>
        <v>9.7949285272366446E-5</v>
      </c>
      <c r="T133" s="13">
        <f t="shared" ca="1" si="45"/>
        <v>-2.5840817776915185E-5</v>
      </c>
      <c r="U133" s="13">
        <f t="shared" ca="1" si="46"/>
        <v>3.306827898502077E-5</v>
      </c>
      <c r="V133" s="13">
        <f t="shared" ca="1" si="47"/>
        <v>-1.5768459290416408E-4</v>
      </c>
      <c r="X133" s="3">
        <f t="shared" ca="1" si="48"/>
        <v>2.1690360039729412E-5</v>
      </c>
      <c r="Y133" s="3">
        <f t="shared" ca="1" si="49"/>
        <v>7.517203546699992E-5</v>
      </c>
      <c r="Z133" s="3">
        <f t="shared" ca="1" si="50"/>
        <v>3.8300226239256505E-6</v>
      </c>
      <c r="AA133" s="3">
        <f t="shared" ca="1" si="51"/>
        <v>-6.2434432064825628E-5</v>
      </c>
      <c r="AB133" s="3">
        <f t="shared" ca="1" si="52"/>
        <v>9.7949285272366446E-5</v>
      </c>
      <c r="AC133" s="3">
        <f t="shared" ca="1" si="53"/>
        <v>-2.5840817776915185E-5</v>
      </c>
      <c r="AD133" s="3">
        <f t="shared" ca="1" si="54"/>
        <v>3.306827898502077E-5</v>
      </c>
      <c r="AE133" s="3">
        <f t="shared" ca="1" si="55"/>
        <v>-1.5768459290416408E-4</v>
      </c>
      <c r="AG133" s="3">
        <f t="shared" ca="1" si="56"/>
        <v>2.1690360039729412E-5</v>
      </c>
      <c r="AH133" s="3">
        <f t="shared" ca="1" si="57"/>
        <v>7.517203546699992E-5</v>
      </c>
      <c r="AI133" s="3">
        <f t="shared" ca="1" si="58"/>
        <v>-5.6720653213027023E-5</v>
      </c>
      <c r="AJ133" s="3">
        <f t="shared" ca="1" si="59"/>
        <v>-9.5870678075571632E-5</v>
      </c>
      <c r="AK133" s="3">
        <f t="shared" ca="1" si="60"/>
        <v>9.7949285272366446E-5</v>
      </c>
      <c r="AL133" s="3">
        <f t="shared" ca="1" si="61"/>
        <v>-2.5840817776915185E-5</v>
      </c>
      <c r="AM133" s="3">
        <f t="shared" ca="1" si="62"/>
        <v>3.306827898502077E-5</v>
      </c>
      <c r="AN133" s="3">
        <f t="shared" ca="1" si="63"/>
        <v>-1.5768459290416408E-4</v>
      </c>
      <c r="AP133" s="3" t="e">
        <f t="shared" ca="1" si="64"/>
        <v>#N/A</v>
      </c>
      <c r="AQ133" s="3" t="e">
        <f t="shared" ca="1" si="71"/>
        <v>#N/A</v>
      </c>
      <c r="AR133" s="3" t="e">
        <f t="shared" ca="1" si="65"/>
        <v>#N/A</v>
      </c>
      <c r="AS133" s="3" t="e">
        <f t="shared" ca="1" si="66"/>
        <v>#N/A</v>
      </c>
      <c r="AT133" s="3" t="e">
        <f t="shared" ca="1" si="67"/>
        <v>#N/A</v>
      </c>
      <c r="AU133" s="3" t="e">
        <f t="shared" ca="1" si="68"/>
        <v>#N/A</v>
      </c>
      <c r="AV133" s="10" t="e">
        <f t="shared" ca="1" si="72"/>
        <v>#N/A</v>
      </c>
      <c r="AW133" s="10" t="e">
        <f t="shared" ca="1" si="73"/>
        <v>#N/A</v>
      </c>
      <c r="AY133" s="3" t="e">
        <f t="shared" ref="AY133:AY196" ca="1" si="79">IF(AND(AN133&gt;0, AK133&gt;0),AN133/AK133, #N/A)</f>
        <v>#N/A</v>
      </c>
      <c r="AZ133" s="3" t="e">
        <f t="shared" ca="1" si="74"/>
        <v>#N/A</v>
      </c>
      <c r="BA133" s="3" t="e">
        <f t="shared" ca="1" si="69"/>
        <v>#N/A</v>
      </c>
      <c r="BB133" s="3" t="e">
        <f t="shared" ca="1" si="75"/>
        <v>#N/A</v>
      </c>
      <c r="BC133" s="3" t="e">
        <f t="shared" ca="1" si="76"/>
        <v>#N/A</v>
      </c>
      <c r="BD133" s="3" t="e">
        <f t="shared" ca="1" si="70"/>
        <v>#N/A</v>
      </c>
      <c r="BE133" s="3" t="e">
        <f t="shared" ca="1" si="77"/>
        <v>#N/A</v>
      </c>
      <c r="BF133" s="3" t="e">
        <f t="shared" ca="1" si="78"/>
        <v>#N/A</v>
      </c>
    </row>
    <row r="134" spans="1:58" ht="15" x14ac:dyDescent="0.25">
      <c r="A134" s="72">
        <v>68</v>
      </c>
      <c r="B134" s="72">
        <v>1498730155.293</v>
      </c>
      <c r="C134" s="73">
        <v>2.7590973810531799E-4</v>
      </c>
      <c r="D134" s="73">
        <v>7.6064939993785997E-5</v>
      </c>
      <c r="E134" s="73">
        <v>9.3365210029610897E-4</v>
      </c>
      <c r="F134" s="73">
        <v>9.8672131167960303E-5</v>
      </c>
      <c r="G134" s="73">
        <v>1.2034604037632899E-3</v>
      </c>
      <c r="H134" s="73">
        <v>-1.9893994048693701E-5</v>
      </c>
      <c r="I134" s="73">
        <v>6.1210122671147098E-4</v>
      </c>
      <c r="J134" s="73">
        <v>7.0415069759299804E-3</v>
      </c>
      <c r="K134" s="73"/>
      <c r="L134" s="73"/>
      <c r="M134" s="73"/>
      <c r="O134" s="13">
        <f t="shared" ca="1" si="40"/>
        <v>1.1222508833756402E-5</v>
      </c>
      <c r="P134" s="13">
        <f t="shared" ca="1" si="41"/>
        <v>6.4777464608945819E-5</v>
      </c>
      <c r="Q134" s="13">
        <f t="shared" ca="1" si="42"/>
        <v>9.2912482323423613E-5</v>
      </c>
      <c r="R134" s="13">
        <f t="shared" ca="1" si="43"/>
        <v>8.8895852277279182E-5</v>
      </c>
      <c r="S134" s="13">
        <f t="shared" ca="1" si="44"/>
        <v>6.8381770521916407E-5</v>
      </c>
      <c r="T134" s="13">
        <f t="shared" ca="1" si="45"/>
        <v>-2.0243815559717788E-5</v>
      </c>
      <c r="U134" s="13">
        <f t="shared" ca="1" si="46"/>
        <v>-4.1742768077050198E-5</v>
      </c>
      <c r="V134" s="13">
        <f t="shared" ca="1" si="47"/>
        <v>-9.7273946524183835E-5</v>
      </c>
      <c r="X134" s="3">
        <f t="shared" ca="1" si="48"/>
        <v>1.1222508833756402E-5</v>
      </c>
      <c r="Y134" s="3">
        <f t="shared" ca="1" si="49"/>
        <v>6.4777464608945819E-5</v>
      </c>
      <c r="Z134" s="3">
        <f t="shared" ca="1" si="50"/>
        <v>9.2912482323423613E-5</v>
      </c>
      <c r="AA134" s="3">
        <f t="shared" ca="1" si="51"/>
        <v>8.8895852277279182E-5</v>
      </c>
      <c r="AB134" s="3">
        <f t="shared" ca="1" si="52"/>
        <v>6.8381770521916407E-5</v>
      </c>
      <c r="AC134" s="3">
        <f t="shared" ca="1" si="53"/>
        <v>-2.0243815559717788E-5</v>
      </c>
      <c r="AD134" s="3">
        <f t="shared" ca="1" si="54"/>
        <v>-4.1742768077050198E-5</v>
      </c>
      <c r="AE134" s="3">
        <f t="shared" ca="1" si="55"/>
        <v>-9.7273946524183835E-5</v>
      </c>
      <c r="AG134" s="3">
        <f t="shared" ca="1" si="56"/>
        <v>1.1222508833756402E-5</v>
      </c>
      <c r="AH134" s="3">
        <f t="shared" ca="1" si="57"/>
        <v>6.4777464608945819E-5</v>
      </c>
      <c r="AI134" s="3">
        <f t="shared" ca="1" si="58"/>
        <v>4.0734578177169282E-5</v>
      </c>
      <c r="AJ134" s="3">
        <f t="shared" ca="1" si="59"/>
        <v>6.0083073307526147E-5</v>
      </c>
      <c r="AK134" s="3">
        <f t="shared" ca="1" si="60"/>
        <v>6.8381770521916407E-5</v>
      </c>
      <c r="AL134" s="3">
        <f t="shared" ca="1" si="61"/>
        <v>-2.0243815559717788E-5</v>
      </c>
      <c r="AM134" s="3">
        <f t="shared" ca="1" si="62"/>
        <v>-4.1742768077050198E-5</v>
      </c>
      <c r="AN134" s="3">
        <f t="shared" ca="1" si="63"/>
        <v>-9.7273946524183835E-5</v>
      </c>
      <c r="AP134" s="3" t="e">
        <f t="shared" ca="1" si="64"/>
        <v>#N/A</v>
      </c>
      <c r="AQ134" s="3" t="e">
        <f t="shared" ca="1" si="71"/>
        <v>#N/A</v>
      </c>
      <c r="AR134" s="3" t="e">
        <f t="shared" ca="1" si="65"/>
        <v>#N/A</v>
      </c>
      <c r="AS134" s="3" t="e">
        <f t="shared" ca="1" si="66"/>
        <v>#N/A</v>
      </c>
      <c r="AT134" s="3" t="e">
        <f t="shared" ca="1" si="67"/>
        <v>#N/A</v>
      </c>
      <c r="AU134" s="3" t="e">
        <f t="shared" ca="1" si="68"/>
        <v>#N/A</v>
      </c>
      <c r="AV134" s="10" t="e">
        <f t="shared" ca="1" si="72"/>
        <v>#N/A</v>
      </c>
      <c r="AW134" s="10" t="e">
        <f t="shared" ca="1" si="73"/>
        <v>#N/A</v>
      </c>
      <c r="AY134" s="3" t="e">
        <f t="shared" ca="1" si="79"/>
        <v>#N/A</v>
      </c>
      <c r="AZ134" s="3" t="e">
        <f t="shared" ca="1" si="74"/>
        <v>#N/A</v>
      </c>
      <c r="BA134" s="3" t="e">
        <f t="shared" ca="1" si="69"/>
        <v>#N/A</v>
      </c>
      <c r="BB134" s="3" t="e">
        <f t="shared" ca="1" si="75"/>
        <v>#N/A</v>
      </c>
      <c r="BC134" s="3" t="e">
        <f t="shared" ca="1" si="76"/>
        <v>#N/A</v>
      </c>
      <c r="BD134" s="3" t="e">
        <f t="shared" ca="1" si="70"/>
        <v>#N/A</v>
      </c>
      <c r="BE134" s="3" t="e">
        <f t="shared" ca="1" si="77"/>
        <v>#N/A</v>
      </c>
      <c r="BF134" s="3" t="e">
        <f t="shared" ca="1" si="78"/>
        <v>#N/A</v>
      </c>
    </row>
    <row r="135" spans="1:58" ht="15" x14ac:dyDescent="0.25">
      <c r="A135" s="72">
        <v>69</v>
      </c>
      <c r="B135" s="72">
        <v>1498730155.8199999</v>
      </c>
      <c r="C135" s="73">
        <v>2.6330088121076002E-4</v>
      </c>
      <c r="D135" s="73">
        <v>7.1103933200340598E-5</v>
      </c>
      <c r="E135" s="73">
        <v>7.8877738845527397E-4</v>
      </c>
      <c r="F135" s="73">
        <v>4.4419014963238103E-5</v>
      </c>
      <c r="G135" s="73">
        <v>1.08615274772856E-3</v>
      </c>
      <c r="H135" s="73">
        <v>2.1940020557732799E-5</v>
      </c>
      <c r="I135" s="73">
        <v>6.6221213321401905E-4</v>
      </c>
      <c r="J135" s="73">
        <v>6.9123329075680001E-3</v>
      </c>
      <c r="K135" s="73"/>
      <c r="L135" s="73"/>
      <c r="M135" s="73"/>
      <c r="O135" s="13">
        <f t="shared" ca="1" si="40"/>
        <v>-1.3863480608015651E-6</v>
      </c>
      <c r="P135" s="13">
        <f t="shared" ca="1" si="41"/>
        <v>5.9816457815500426E-5</v>
      </c>
      <c r="Q135" s="13">
        <f t="shared" ca="1" si="42"/>
        <v>-5.1962229517411385E-5</v>
      </c>
      <c r="R135" s="13">
        <f t="shared" ca="1" si="43"/>
        <v>3.4642736072556976E-5</v>
      </c>
      <c r="S135" s="13">
        <f t="shared" ca="1" si="44"/>
        <v>-4.8925885512813476E-5</v>
      </c>
      <c r="T135" s="13">
        <f t="shared" ca="1" si="45"/>
        <v>2.1590199046708713E-5</v>
      </c>
      <c r="U135" s="13">
        <f t="shared" ca="1" si="46"/>
        <v>8.3681384254978694E-6</v>
      </c>
      <c r="V135" s="13">
        <f t="shared" ca="1" si="47"/>
        <v>-2.264480148861641E-4</v>
      </c>
      <c r="X135" s="3">
        <f t="shared" ca="1" si="48"/>
        <v>-1.3863480608015651E-6</v>
      </c>
      <c r="Y135" s="3">
        <f t="shared" ca="1" si="49"/>
        <v>5.9816457815500426E-5</v>
      </c>
      <c r="Z135" s="3">
        <f t="shared" ca="1" si="50"/>
        <v>-5.2127410696232384E-5</v>
      </c>
      <c r="AA135" s="3">
        <f t="shared" ca="1" si="51"/>
        <v>3.0644600721548758E-5</v>
      </c>
      <c r="AB135" s="3">
        <f t="shared" ca="1" si="52"/>
        <v>-7.8001527103009407E-5</v>
      </c>
      <c r="AC135" s="3">
        <f t="shared" ca="1" si="53"/>
        <v>2.1590199046708713E-5</v>
      </c>
      <c r="AD135" s="3">
        <f t="shared" ca="1" si="54"/>
        <v>-3.4569582773710129E-5</v>
      </c>
      <c r="AE135" s="3">
        <f t="shared" ca="1" si="55"/>
        <v>-2.4387114328534311E-4</v>
      </c>
      <c r="AG135" s="3">
        <f t="shared" ca="1" si="56"/>
        <v>-1.3863480608015651E-6</v>
      </c>
      <c r="AH135" s="3">
        <f t="shared" ca="1" si="57"/>
        <v>5.9816457815500426E-5</v>
      </c>
      <c r="AI135" s="3">
        <f t="shared" ca="1" si="58"/>
        <v>-1.0030925018481621E-4</v>
      </c>
      <c r="AJ135" s="3">
        <f t="shared" ca="1" si="59"/>
        <v>4.0384594007049513E-6</v>
      </c>
      <c r="AK135" s="3">
        <f t="shared" ca="1" si="60"/>
        <v>-7.8001527103009407E-5</v>
      </c>
      <c r="AL135" s="3">
        <f t="shared" ca="1" si="61"/>
        <v>2.1590199046708713E-5</v>
      </c>
      <c r="AM135" s="3">
        <f t="shared" ca="1" si="62"/>
        <v>-3.4569582773710129E-5</v>
      </c>
      <c r="AN135" s="3">
        <f t="shared" ca="1" si="63"/>
        <v>-2.4387114328534311E-4</v>
      </c>
      <c r="AP135" s="3" t="e">
        <f t="shared" ca="1" si="64"/>
        <v>#N/A</v>
      </c>
      <c r="AQ135" s="3" t="e">
        <f t="shared" ca="1" si="71"/>
        <v>#N/A</v>
      </c>
      <c r="AR135" s="3" t="e">
        <f t="shared" ca="1" si="65"/>
        <v>#N/A</v>
      </c>
      <c r="AS135" s="3" t="e">
        <f t="shared" ca="1" si="66"/>
        <v>#N/A</v>
      </c>
      <c r="AT135" s="3" t="e">
        <f t="shared" ca="1" si="67"/>
        <v>#N/A</v>
      </c>
      <c r="AU135" s="3" t="e">
        <f t="shared" ca="1" si="68"/>
        <v>#N/A</v>
      </c>
      <c r="AV135" s="10" t="e">
        <f t="shared" ca="1" si="72"/>
        <v>#N/A</v>
      </c>
      <c r="AW135" s="10" t="e">
        <f t="shared" ca="1" si="73"/>
        <v>#N/A</v>
      </c>
      <c r="AY135" s="3" t="e">
        <f t="shared" ca="1" si="79"/>
        <v>#N/A</v>
      </c>
      <c r="AZ135" s="3" t="e">
        <f t="shared" ca="1" si="74"/>
        <v>#N/A</v>
      </c>
      <c r="BA135" s="3" t="e">
        <f t="shared" ca="1" si="69"/>
        <v>#N/A</v>
      </c>
      <c r="BB135" s="3" t="e">
        <f t="shared" ca="1" si="75"/>
        <v>#N/A</v>
      </c>
      <c r="BC135" s="3" t="e">
        <f t="shared" ca="1" si="76"/>
        <v>#N/A</v>
      </c>
      <c r="BD135" s="3" t="e">
        <f t="shared" ca="1" si="70"/>
        <v>#N/A</v>
      </c>
      <c r="BE135" s="3" t="e">
        <f t="shared" ca="1" si="77"/>
        <v>#N/A</v>
      </c>
      <c r="BF135" s="3" t="e">
        <f t="shared" ca="1" si="78"/>
        <v>#N/A</v>
      </c>
    </row>
    <row r="136" spans="1:58" ht="15" x14ac:dyDescent="0.25">
      <c r="A136" s="72">
        <v>70</v>
      </c>
      <c r="B136" s="72">
        <v>1498730156.3469999</v>
      </c>
      <c r="C136" s="73">
        <v>2.8518805523872502E-4</v>
      </c>
      <c r="D136" s="73">
        <v>-4.5118270981801299E-5</v>
      </c>
      <c r="E136" s="73">
        <v>7.9739744837184099E-4</v>
      </c>
      <c r="F136" s="73">
        <v>4.8939995410295802E-5</v>
      </c>
      <c r="G136" s="73">
        <v>1.0887753295361301E-3</v>
      </c>
      <c r="H136" s="73">
        <v>2.84375685268527E-5</v>
      </c>
      <c r="I136" s="73">
        <v>6.4202497242696398E-4</v>
      </c>
      <c r="J136" s="73">
        <v>6.9779923234786403E-3</v>
      </c>
      <c r="K136" s="73"/>
      <c r="L136" s="73"/>
      <c r="M136" s="73"/>
      <c r="O136" s="13">
        <f t="shared" ca="1" si="40"/>
        <v>2.0500825967163436E-5</v>
      </c>
      <c r="P136" s="13">
        <f t="shared" ca="1" si="41"/>
        <v>-5.6405746366641471E-5</v>
      </c>
      <c r="Q136" s="13">
        <f t="shared" ca="1" si="42"/>
        <v>-4.3342169600844361E-5</v>
      </c>
      <c r="R136" s="13">
        <f t="shared" ca="1" si="43"/>
        <v>3.9163716519614675E-5</v>
      </c>
      <c r="S136" s="13">
        <f t="shared" ca="1" si="44"/>
        <v>-4.6303303705243389E-5</v>
      </c>
      <c r="T136" s="13">
        <f t="shared" ca="1" si="45"/>
        <v>2.8087747015828614E-5</v>
      </c>
      <c r="U136" s="13">
        <f t="shared" ca="1" si="46"/>
        <v>-1.1819022361557203E-5</v>
      </c>
      <c r="V136" s="13">
        <f t="shared" ca="1" si="47"/>
        <v>-1.6078859897552394E-4</v>
      </c>
      <c r="X136" s="3">
        <f t="shared" ca="1" si="48"/>
        <v>2.0500825967163436E-5</v>
      </c>
      <c r="Y136" s="3">
        <f t="shared" ca="1" si="49"/>
        <v>-5.6405746366641471E-5</v>
      </c>
      <c r="Z136" s="3">
        <f t="shared" ca="1" si="50"/>
        <v>-4.355706188379475E-5</v>
      </c>
      <c r="AA136" s="3">
        <f t="shared" ca="1" si="51"/>
        <v>3.3962346489110987E-5</v>
      </c>
      <c r="AB136" s="3">
        <f t="shared" ca="1" si="52"/>
        <v>-8.4129229420033135E-5</v>
      </c>
      <c r="AC136" s="3">
        <f t="shared" ca="1" si="53"/>
        <v>2.8087747015828614E-5</v>
      </c>
      <c r="AD136" s="3">
        <f t="shared" ca="1" si="54"/>
        <v>-6.767880613985387E-5</v>
      </c>
      <c r="AE136" s="3">
        <f t="shared" ca="1" si="55"/>
        <v>-1.8345519976237687E-4</v>
      </c>
      <c r="AG136" s="3">
        <f t="shared" ca="1" si="56"/>
        <v>2.0500825967163436E-5</v>
      </c>
      <c r="AH136" s="3">
        <f t="shared" ca="1" si="57"/>
        <v>-5.6405746366641471E-5</v>
      </c>
      <c r="AI136" s="3">
        <f t="shared" ca="1" si="58"/>
        <v>-4.355706188379475E-5</v>
      </c>
      <c r="AJ136" s="3">
        <f t="shared" ca="1" si="59"/>
        <v>3.3962346489110987E-5</v>
      </c>
      <c r="AK136" s="3">
        <f t="shared" ca="1" si="60"/>
        <v>-8.4129229420033135E-5</v>
      </c>
      <c r="AL136" s="3">
        <f t="shared" ca="1" si="61"/>
        <v>2.8087747015828614E-5</v>
      </c>
      <c r="AM136" s="3">
        <f t="shared" ca="1" si="62"/>
        <v>-6.767880613985387E-5</v>
      </c>
      <c r="AN136" s="3">
        <f t="shared" ca="1" si="63"/>
        <v>-1.8345519976237687E-4</v>
      </c>
      <c r="AP136" s="3" t="e">
        <f t="shared" ca="1" si="64"/>
        <v>#N/A</v>
      </c>
      <c r="AQ136" s="3" t="e">
        <f t="shared" ca="1" si="71"/>
        <v>#N/A</v>
      </c>
      <c r="AR136" s="3" t="e">
        <f t="shared" ca="1" si="65"/>
        <v>#N/A</v>
      </c>
      <c r="AS136" s="3" t="e">
        <f t="shared" ca="1" si="66"/>
        <v>#N/A</v>
      </c>
      <c r="AT136" s="3" t="e">
        <f t="shared" ca="1" si="67"/>
        <v>#N/A</v>
      </c>
      <c r="AU136" s="3" t="e">
        <f t="shared" ca="1" si="68"/>
        <v>#N/A</v>
      </c>
      <c r="AV136" s="10" t="e">
        <f t="shared" ca="1" si="72"/>
        <v>#N/A</v>
      </c>
      <c r="AW136" s="10" t="e">
        <f t="shared" ca="1" si="73"/>
        <v>#N/A</v>
      </c>
      <c r="AY136" s="3" t="e">
        <f t="shared" ca="1" si="79"/>
        <v>#N/A</v>
      </c>
      <c r="AZ136" s="3" t="e">
        <f t="shared" ca="1" si="74"/>
        <v>#N/A</v>
      </c>
      <c r="BA136" s="3" t="e">
        <f t="shared" ca="1" si="69"/>
        <v>#N/A</v>
      </c>
      <c r="BB136" s="3" t="e">
        <f t="shared" ca="1" si="75"/>
        <v>#N/A</v>
      </c>
      <c r="BC136" s="3" t="e">
        <f t="shared" ca="1" si="76"/>
        <v>#N/A</v>
      </c>
      <c r="BD136" s="3" t="e">
        <f t="shared" ca="1" si="70"/>
        <v>#N/A</v>
      </c>
      <c r="BE136" s="3" t="e">
        <f t="shared" ca="1" si="77"/>
        <v>#N/A</v>
      </c>
      <c r="BF136" s="3" t="e">
        <f t="shared" ca="1" si="78"/>
        <v>#N/A</v>
      </c>
    </row>
    <row r="137" spans="1:58" ht="15" x14ac:dyDescent="0.25">
      <c r="A137" s="72">
        <v>71</v>
      </c>
      <c r="B137" s="72">
        <v>1498730156.8740001</v>
      </c>
      <c r="C137" s="73">
        <v>2.0073475781714901E-4</v>
      </c>
      <c r="D137" s="73">
        <v>-4.3937219493156801E-5</v>
      </c>
      <c r="E137" s="73">
        <v>8.3307570454891895E-4</v>
      </c>
      <c r="F137" s="73">
        <v>1.01554074563968E-5</v>
      </c>
      <c r="G137" s="73">
        <v>1.08615274772856E-3</v>
      </c>
      <c r="H137" s="73">
        <v>5.7291822539091002E-5</v>
      </c>
      <c r="I137" s="73">
        <v>5.6341768523444002E-4</v>
      </c>
      <c r="J137" s="73">
        <v>6.9371635994204296E-3</v>
      </c>
      <c r="K137" s="73"/>
      <c r="L137" s="73"/>
      <c r="M137" s="73"/>
      <c r="O137" s="13">
        <f t="shared" ca="1" si="40"/>
        <v>-6.3952471454412578E-5</v>
      </c>
      <c r="P137" s="13">
        <f t="shared" ca="1" si="41"/>
        <v>-5.5224694877996972E-5</v>
      </c>
      <c r="Q137" s="13">
        <f t="shared" ca="1" si="42"/>
        <v>-7.6639134237664044E-6</v>
      </c>
      <c r="R137" s="13">
        <f t="shared" ca="1" si="43"/>
        <v>3.7912856571567472E-7</v>
      </c>
      <c r="S137" s="13">
        <f t="shared" ca="1" si="44"/>
        <v>-4.8925885512813476E-5</v>
      </c>
      <c r="T137" s="13">
        <f t="shared" ca="1" si="45"/>
        <v>5.6942001028066912E-5</v>
      </c>
      <c r="U137" s="13">
        <f t="shared" ca="1" si="46"/>
        <v>-9.0426309554081158E-5</v>
      </c>
      <c r="V137" s="13">
        <f t="shared" ca="1" si="47"/>
        <v>-2.016173230337346E-4</v>
      </c>
      <c r="X137" s="3">
        <f t="shared" ca="1" si="48"/>
        <v>-6.3952471454412578E-5</v>
      </c>
      <c r="Y137" s="3">
        <f t="shared" ca="1" si="49"/>
        <v>-5.5224694877996972E-5</v>
      </c>
      <c r="Z137" s="3">
        <f t="shared" ca="1" si="50"/>
        <v>-8.0995623417728532E-6</v>
      </c>
      <c r="AA137" s="3">
        <f t="shared" ca="1" si="51"/>
        <v>-1.0165555472394957E-5</v>
      </c>
      <c r="AB137" s="3">
        <f t="shared" ca="1" si="52"/>
        <v>-1.2560999619372131E-4</v>
      </c>
      <c r="AC137" s="3">
        <f t="shared" ca="1" si="53"/>
        <v>5.6942001028066912E-5</v>
      </c>
      <c r="AD137" s="3">
        <f t="shared" ca="1" si="54"/>
        <v>-2.0367027545632562E-4</v>
      </c>
      <c r="AE137" s="3">
        <f t="shared" ca="1" si="55"/>
        <v>-2.4756908999391152E-4</v>
      </c>
      <c r="AG137" s="3">
        <f t="shared" ca="1" si="56"/>
        <v>-6.3952471454412578E-5</v>
      </c>
      <c r="AH137" s="3">
        <f t="shared" ca="1" si="57"/>
        <v>-5.5224694877996972E-5</v>
      </c>
      <c r="AI137" s="3">
        <f t="shared" ca="1" si="58"/>
        <v>-8.0995623417728532E-6</v>
      </c>
      <c r="AJ137" s="3">
        <f t="shared" ca="1" si="59"/>
        <v>-1.0165555472394957E-5</v>
      </c>
      <c r="AK137" s="3">
        <f t="shared" ca="1" si="60"/>
        <v>-1.2560999619372131E-4</v>
      </c>
      <c r="AL137" s="3">
        <f t="shared" ca="1" si="61"/>
        <v>5.6942001028066912E-5</v>
      </c>
      <c r="AM137" s="3">
        <f t="shared" ca="1" si="62"/>
        <v>-2.0367027545632562E-4</v>
      </c>
      <c r="AN137" s="3">
        <f t="shared" ca="1" si="63"/>
        <v>-2.4756908999391152E-4</v>
      </c>
      <c r="AP137" s="3" t="e">
        <f t="shared" ca="1" si="64"/>
        <v>#N/A</v>
      </c>
      <c r="AQ137" s="3" t="e">
        <f t="shared" ca="1" si="71"/>
        <v>#N/A</v>
      </c>
      <c r="AR137" s="3" t="e">
        <f t="shared" ca="1" si="65"/>
        <v>#N/A</v>
      </c>
      <c r="AS137" s="3" t="e">
        <f t="shared" ca="1" si="66"/>
        <v>#N/A</v>
      </c>
      <c r="AT137" s="3" t="e">
        <f t="shared" ca="1" si="67"/>
        <v>#N/A</v>
      </c>
      <c r="AU137" s="3" t="e">
        <f t="shared" ca="1" si="68"/>
        <v>#N/A</v>
      </c>
      <c r="AV137" s="10" t="e">
        <f t="shared" ca="1" si="72"/>
        <v>#N/A</v>
      </c>
      <c r="AW137" s="10" t="e">
        <f t="shared" ca="1" si="73"/>
        <v>#N/A</v>
      </c>
      <c r="AY137" s="3" t="e">
        <f t="shared" ca="1" si="79"/>
        <v>#N/A</v>
      </c>
      <c r="AZ137" s="3" t="e">
        <f t="shared" ca="1" si="74"/>
        <v>#N/A</v>
      </c>
      <c r="BA137" s="3" t="e">
        <f t="shared" ca="1" si="69"/>
        <v>#N/A</v>
      </c>
      <c r="BB137" s="3" t="e">
        <f t="shared" ca="1" si="75"/>
        <v>#N/A</v>
      </c>
      <c r="BC137" s="3" t="e">
        <f t="shared" ca="1" si="76"/>
        <v>#N/A</v>
      </c>
      <c r="BD137" s="3" t="e">
        <f t="shared" ca="1" si="70"/>
        <v>#N/A</v>
      </c>
      <c r="BE137" s="3" t="e">
        <f t="shared" ca="1" si="77"/>
        <v>#N/A</v>
      </c>
      <c r="BF137" s="3" t="e">
        <f t="shared" ca="1" si="78"/>
        <v>#N/A</v>
      </c>
    </row>
    <row r="138" spans="1:58" ht="15" x14ac:dyDescent="0.25">
      <c r="A138" s="72">
        <v>72</v>
      </c>
      <c r="B138" s="72">
        <v>1498730157.401</v>
      </c>
      <c r="C138" s="73">
        <v>3.8939661509327099E-4</v>
      </c>
      <c r="D138" s="73">
        <v>1.75526547825956E-4</v>
      </c>
      <c r="E138" s="73">
        <v>9.5975571402006298E-4</v>
      </c>
      <c r="F138" s="73">
        <v>1.58877503920312E-4</v>
      </c>
      <c r="G138" s="73">
        <v>1.1893922963129801E-3</v>
      </c>
      <c r="H138" s="73">
        <v>-1.9232723976064E-5</v>
      </c>
      <c r="I138" s="73">
        <v>6.1685096769833396E-4</v>
      </c>
      <c r="J138" s="73">
        <v>6.9966165040105501E-3</v>
      </c>
      <c r="K138" s="73"/>
      <c r="L138" s="73"/>
      <c r="M138" s="73"/>
      <c r="O138" s="13">
        <f t="shared" ca="1" si="40"/>
        <v>1.2470938582170941E-4</v>
      </c>
      <c r="P138" s="13">
        <f t="shared" ca="1" si="41"/>
        <v>1.6423907244111582E-4</v>
      </c>
      <c r="Q138" s="13">
        <f t="shared" ca="1" si="42"/>
        <v>1.1901609604737763E-4</v>
      </c>
      <c r="R138" s="13">
        <f t="shared" ca="1" si="43"/>
        <v>1.4910122502963087E-4</v>
      </c>
      <c r="S138" s="13">
        <f t="shared" ca="1" si="44"/>
        <v>5.431366307160658E-5</v>
      </c>
      <c r="T138" s="13">
        <f t="shared" ca="1" si="45"/>
        <v>-1.9582545487088086E-5</v>
      </c>
      <c r="U138" s="13">
        <f t="shared" ca="1" si="46"/>
        <v>-3.699302709018722E-5</v>
      </c>
      <c r="V138" s="13">
        <f t="shared" ca="1" si="47"/>
        <v>-1.4216441844361414E-4</v>
      </c>
      <c r="X138" s="3">
        <f t="shared" ca="1" si="48"/>
        <v>1.2470938582170941E-4</v>
      </c>
      <c r="Y138" s="3">
        <f t="shared" ca="1" si="49"/>
        <v>1.6423907244111582E-4</v>
      </c>
      <c r="Z138" s="3">
        <f t="shared" ca="1" si="50"/>
        <v>1.1901609604737763E-4</v>
      </c>
      <c r="AA138" s="3">
        <f t="shared" ca="1" si="51"/>
        <v>1.4910122502963087E-4</v>
      </c>
      <c r="AB138" s="3">
        <f t="shared" ca="1" si="52"/>
        <v>5.431366307160658E-5</v>
      </c>
      <c r="AC138" s="3">
        <f t="shared" ca="1" si="53"/>
        <v>-1.9582545487088086E-5</v>
      </c>
      <c r="AD138" s="3">
        <f t="shared" ca="1" si="54"/>
        <v>-3.699302709018722E-5</v>
      </c>
      <c r="AE138" s="3">
        <f t="shared" ca="1" si="55"/>
        <v>-1.4216441844361414E-4</v>
      </c>
      <c r="AG138" s="3">
        <f t="shared" ca="1" si="56"/>
        <v>1.2470938582170941E-4</v>
      </c>
      <c r="AH138" s="3">
        <f t="shared" ca="1" si="57"/>
        <v>1.6423907244111582E-4</v>
      </c>
      <c r="AI138" s="3">
        <f t="shared" ca="1" si="58"/>
        <v>-1.327760563786534E-5</v>
      </c>
      <c r="AJ138" s="3">
        <f t="shared" ca="1" si="59"/>
        <v>7.6048287236977436E-5</v>
      </c>
      <c r="AK138" s="3">
        <f t="shared" ca="1" si="60"/>
        <v>5.431366307160658E-5</v>
      </c>
      <c r="AL138" s="3">
        <f t="shared" ca="1" si="61"/>
        <v>-1.9582545487088086E-5</v>
      </c>
      <c r="AM138" s="3">
        <f t="shared" ca="1" si="62"/>
        <v>-3.699302709018722E-5</v>
      </c>
      <c r="AN138" s="3">
        <f t="shared" ca="1" si="63"/>
        <v>-1.4216441844361414E-4</v>
      </c>
      <c r="AP138" s="3" t="e">
        <f t="shared" ca="1" si="64"/>
        <v>#N/A</v>
      </c>
      <c r="AQ138" s="3" t="e">
        <f t="shared" ca="1" si="71"/>
        <v>#N/A</v>
      </c>
      <c r="AR138" s="3" t="e">
        <f t="shared" ca="1" si="65"/>
        <v>#N/A</v>
      </c>
      <c r="AS138" s="3" t="e">
        <f t="shared" ca="1" si="66"/>
        <v>#N/A</v>
      </c>
      <c r="AT138" s="3" t="e">
        <f t="shared" ca="1" si="67"/>
        <v>#N/A</v>
      </c>
      <c r="AU138" s="3" t="e">
        <f t="shared" ca="1" si="68"/>
        <v>#N/A</v>
      </c>
      <c r="AV138" s="10" t="e">
        <f t="shared" ca="1" si="72"/>
        <v>#N/A</v>
      </c>
      <c r="AW138" s="10" t="e">
        <f t="shared" ca="1" si="73"/>
        <v>#N/A</v>
      </c>
      <c r="AY138" s="3" t="e">
        <f t="shared" ca="1" si="79"/>
        <v>#N/A</v>
      </c>
      <c r="AZ138" s="3" t="e">
        <f t="shared" ca="1" si="74"/>
        <v>#N/A</v>
      </c>
      <c r="BA138" s="3" t="e">
        <f t="shared" ca="1" si="69"/>
        <v>#N/A</v>
      </c>
      <c r="BB138" s="3" t="e">
        <f t="shared" ca="1" si="75"/>
        <v>#N/A</v>
      </c>
      <c r="BC138" s="3" t="e">
        <f t="shared" ca="1" si="76"/>
        <v>#N/A</v>
      </c>
      <c r="BD138" s="3" t="e">
        <f t="shared" ca="1" si="70"/>
        <v>#N/A</v>
      </c>
      <c r="BE138" s="3" t="e">
        <f t="shared" ca="1" si="77"/>
        <v>#N/A</v>
      </c>
      <c r="BF138" s="3" t="e">
        <f t="shared" ca="1" si="78"/>
        <v>#N/A</v>
      </c>
    </row>
    <row r="139" spans="1:58" ht="15" x14ac:dyDescent="0.25">
      <c r="A139" s="72">
        <v>73</v>
      </c>
      <c r="B139" s="72">
        <v>1498730157.928</v>
      </c>
      <c r="C139" s="73">
        <v>2.11677599194906E-4</v>
      </c>
      <c r="D139" s="73">
        <v>1.4172250006651301E-5</v>
      </c>
      <c r="E139" s="73">
        <v>8.8623626025744601E-4</v>
      </c>
      <c r="F139" s="73">
        <v>9.9148048736588299E-5</v>
      </c>
      <c r="G139" s="73">
        <v>1.1257306224395E-3</v>
      </c>
      <c r="H139" s="73">
        <v>1.1899192639761299E-5</v>
      </c>
      <c r="I139" s="73">
        <v>7.0567528919934796E-4</v>
      </c>
      <c r="J139" s="73">
        <v>7.0419845449433E-3</v>
      </c>
      <c r="K139" s="73"/>
      <c r="L139" s="73"/>
      <c r="M139" s="73"/>
      <c r="O139" s="13">
        <f t="shared" ca="1" si="40"/>
        <v>-5.3009630076655584E-5</v>
      </c>
      <c r="P139" s="13">
        <f t="shared" ca="1" si="41"/>
        <v>2.8847746218111273E-6</v>
      </c>
      <c r="Q139" s="13">
        <f t="shared" ca="1" si="42"/>
        <v>4.5496642284760655E-5</v>
      </c>
      <c r="R139" s="13">
        <f t="shared" ca="1" si="43"/>
        <v>8.9371769845907178E-5</v>
      </c>
      <c r="S139" s="13">
        <f t="shared" ca="1" si="44"/>
        <v>-9.3480108018734534E-6</v>
      </c>
      <c r="T139" s="13">
        <f t="shared" ca="1" si="45"/>
        <v>1.1549371128737213E-5</v>
      </c>
      <c r="U139" s="13">
        <f t="shared" ca="1" si="46"/>
        <v>5.1831294410826785E-5</v>
      </c>
      <c r="V139" s="13">
        <f t="shared" ca="1" si="47"/>
        <v>-9.679637751086427E-5</v>
      </c>
      <c r="X139" s="3">
        <f t="shared" ca="1" si="48"/>
        <v>-5.3009630076655584E-5</v>
      </c>
      <c r="Y139" s="3">
        <f t="shared" ca="1" si="49"/>
        <v>2.8847746218111273E-6</v>
      </c>
      <c r="Z139" s="3">
        <f t="shared" ca="1" si="50"/>
        <v>4.5408280953141675E-5</v>
      </c>
      <c r="AA139" s="3">
        <f t="shared" ca="1" si="51"/>
        <v>8.7233023978311425E-5</v>
      </c>
      <c r="AB139" s="3">
        <f t="shared" ca="1" si="52"/>
        <v>-2.4901613378896067E-5</v>
      </c>
      <c r="AC139" s="3">
        <f t="shared" ca="1" si="53"/>
        <v>1.1549371128737213E-5</v>
      </c>
      <c r="AD139" s="3">
        <f t="shared" ca="1" si="54"/>
        <v>2.8862368720097778E-5</v>
      </c>
      <c r="AE139" s="3">
        <f t="shared" ca="1" si="55"/>
        <v>-1.0611663322830451E-4</v>
      </c>
      <c r="AG139" s="3">
        <f t="shared" ca="1" si="56"/>
        <v>-5.3009630076655584E-5</v>
      </c>
      <c r="AH139" s="3">
        <f t="shared" ca="1" si="57"/>
        <v>2.8847746218111273E-6</v>
      </c>
      <c r="AI139" s="3">
        <f t="shared" ca="1" si="58"/>
        <v>4.3084610296855739E-5</v>
      </c>
      <c r="AJ139" s="3">
        <f t="shared" ca="1" si="59"/>
        <v>8.5949886793835724E-5</v>
      </c>
      <c r="AK139" s="3">
        <f t="shared" ca="1" si="60"/>
        <v>-2.4901613378896067E-5</v>
      </c>
      <c r="AL139" s="3">
        <f t="shared" ca="1" si="61"/>
        <v>1.1549371128737213E-5</v>
      </c>
      <c r="AM139" s="3">
        <f t="shared" ca="1" si="62"/>
        <v>2.8862368720097778E-5</v>
      </c>
      <c r="AN139" s="3">
        <f t="shared" ca="1" si="63"/>
        <v>-1.0611663322830451E-4</v>
      </c>
      <c r="AP139" s="3" t="e">
        <f t="shared" ca="1" si="64"/>
        <v>#N/A</v>
      </c>
      <c r="AQ139" s="3" t="e">
        <f t="shared" ca="1" si="71"/>
        <v>#N/A</v>
      </c>
      <c r="AR139" s="3" t="e">
        <f t="shared" ca="1" si="65"/>
        <v>#N/A</v>
      </c>
      <c r="AS139" s="3" t="e">
        <f t="shared" ca="1" si="66"/>
        <v>#N/A</v>
      </c>
      <c r="AT139" s="3" t="e">
        <f t="shared" ca="1" si="67"/>
        <v>#N/A</v>
      </c>
      <c r="AU139" s="3" t="e">
        <f t="shared" ca="1" si="68"/>
        <v>#N/A</v>
      </c>
      <c r="AV139" s="10" t="e">
        <f t="shared" ca="1" si="72"/>
        <v>#N/A</v>
      </c>
      <c r="AW139" s="10" t="e">
        <f t="shared" ca="1" si="73"/>
        <v>#N/A</v>
      </c>
      <c r="AY139" s="3" t="e">
        <f t="shared" ca="1" si="79"/>
        <v>#N/A</v>
      </c>
      <c r="AZ139" s="3" t="e">
        <f t="shared" ca="1" si="74"/>
        <v>#N/A</v>
      </c>
      <c r="BA139" s="3" t="e">
        <f t="shared" ca="1" si="69"/>
        <v>#N/A</v>
      </c>
      <c r="BB139" s="3" t="e">
        <f t="shared" ca="1" si="75"/>
        <v>#N/A</v>
      </c>
      <c r="BC139" s="3" t="e">
        <f t="shared" ca="1" si="76"/>
        <v>#N/A</v>
      </c>
      <c r="BD139" s="3" t="e">
        <f t="shared" ca="1" si="70"/>
        <v>#N/A</v>
      </c>
      <c r="BE139" s="3" t="e">
        <f t="shared" ca="1" si="77"/>
        <v>#N/A</v>
      </c>
      <c r="BF139" s="3" t="e">
        <f t="shared" ca="1" si="78"/>
        <v>#N/A</v>
      </c>
    </row>
    <row r="140" spans="1:58" ht="15" x14ac:dyDescent="0.25">
      <c r="A140" s="72">
        <v>74</v>
      </c>
      <c r="B140" s="72">
        <v>1498730158.454</v>
      </c>
      <c r="C140" s="73">
        <v>3.0755153289719001E-4</v>
      </c>
      <c r="D140" s="73">
        <v>8.48058218402537E-5</v>
      </c>
      <c r="E140" s="73">
        <v>1.0498064082561001E-3</v>
      </c>
      <c r="F140" s="73">
        <v>-7.6925970748933196E-5</v>
      </c>
      <c r="G140" s="73">
        <v>1.24304292003055E-3</v>
      </c>
      <c r="H140" s="73">
        <v>4.4104316204886802E-5</v>
      </c>
      <c r="I140" s="73">
        <v>6.2848792867728704E-4</v>
      </c>
      <c r="J140" s="73">
        <v>7.1420402676270296E-3</v>
      </c>
      <c r="K140" s="73"/>
      <c r="L140" s="73"/>
      <c r="M140" s="73"/>
      <c r="O140" s="13">
        <f t="shared" ca="1" si="40"/>
        <v>4.2864303625628425E-5</v>
      </c>
      <c r="P140" s="13">
        <f t="shared" ca="1" si="41"/>
        <v>7.3518346455413522E-5</v>
      </c>
      <c r="Q140" s="13">
        <f t="shared" ca="1" si="42"/>
        <v>2.0906679028341471E-4</v>
      </c>
      <c r="R140" s="13">
        <f t="shared" ca="1" si="43"/>
        <v>-8.6702249639614316E-5</v>
      </c>
      <c r="S140" s="13">
        <f t="shared" ca="1" si="44"/>
        <v>1.079642867891765E-4</v>
      </c>
      <c r="T140" s="13">
        <f t="shared" ca="1" si="45"/>
        <v>4.3754494693862712E-5</v>
      </c>
      <c r="U140" s="13">
        <f t="shared" ca="1" si="46"/>
        <v>-2.5356066111234142E-5</v>
      </c>
      <c r="V140" s="13">
        <f t="shared" ca="1" si="47"/>
        <v>3.2593451728653647E-6</v>
      </c>
      <c r="X140" s="3">
        <f t="shared" ca="1" si="48"/>
        <v>4.2864303625628425E-5</v>
      </c>
      <c r="Y140" s="3">
        <f t="shared" ca="1" si="49"/>
        <v>7.3518346455413522E-5</v>
      </c>
      <c r="Z140" s="3">
        <f t="shared" ca="1" si="50"/>
        <v>2.0873203565717837E-4</v>
      </c>
      <c r="AA140" s="3">
        <f t="shared" ca="1" si="51"/>
        <v>-9.4804833206471329E-5</v>
      </c>
      <c r="AB140" s="3">
        <f t="shared" ca="1" si="52"/>
        <v>4.9039864511892347E-5</v>
      </c>
      <c r="AC140" s="3">
        <f t="shared" ca="1" si="53"/>
        <v>4.3754494693862712E-5</v>
      </c>
      <c r="AD140" s="3">
        <f t="shared" ca="1" si="54"/>
        <v>-1.1237324878346622E-4</v>
      </c>
      <c r="AE140" s="3">
        <f t="shared" ca="1" si="55"/>
        <v>-3.2050203268216786E-5</v>
      </c>
      <c r="AG140" s="3">
        <f t="shared" ca="1" si="56"/>
        <v>4.2864303625628425E-5</v>
      </c>
      <c r="AH140" s="3">
        <f t="shared" ca="1" si="57"/>
        <v>7.3518346455413522E-5</v>
      </c>
      <c r="AI140" s="3">
        <f t="shared" ca="1" si="58"/>
        <v>1.4951339754746878E-4</v>
      </c>
      <c r="AJ140" s="3">
        <f t="shared" ca="1" si="59"/>
        <v>-1.2750552440254237E-4</v>
      </c>
      <c r="AK140" s="3">
        <f t="shared" ca="1" si="60"/>
        <v>4.9039864511892347E-5</v>
      </c>
      <c r="AL140" s="3">
        <f t="shared" ca="1" si="61"/>
        <v>4.3754494693862712E-5</v>
      </c>
      <c r="AM140" s="3">
        <f t="shared" ca="1" si="62"/>
        <v>-1.1237324878346622E-4</v>
      </c>
      <c r="AN140" s="3">
        <f t="shared" ca="1" si="63"/>
        <v>-3.2050203268216786E-5</v>
      </c>
      <c r="AP140" s="3">
        <f t="shared" ca="1" si="64"/>
        <v>3.0189104840102704E-2</v>
      </c>
      <c r="AQ140" s="3">
        <f t="shared" ca="1" si="71"/>
        <v>1.2984734534203831E-3</v>
      </c>
      <c r="AR140" s="3">
        <f t="shared" ca="1" si="65"/>
        <v>-1.1258056950886617E-7</v>
      </c>
      <c r="AS140" s="3">
        <f t="shared" ca="1" si="66"/>
        <v>-2.5243485541725277E-5</v>
      </c>
      <c r="AT140" s="3">
        <f t="shared" ca="1" si="67"/>
        <v>-3.9739358066421282</v>
      </c>
      <c r="AU140" s="3">
        <f t="shared" ca="1" si="68"/>
        <v>6.1242828332036736E-3</v>
      </c>
      <c r="AV140" s="10" t="str">
        <f t="shared" ca="1" si="72"/>
        <v>rejected</v>
      </c>
      <c r="AW140" s="10" t="e">
        <f t="shared" ca="1" si="73"/>
        <v>#N/A</v>
      </c>
      <c r="AY140" s="3" t="e">
        <f t="shared" ca="1" si="79"/>
        <v>#N/A</v>
      </c>
      <c r="AZ140" s="3" t="e">
        <f t="shared" ca="1" si="74"/>
        <v>#N/A</v>
      </c>
      <c r="BA140" s="3" t="e">
        <f t="shared" ca="1" si="69"/>
        <v>#N/A</v>
      </c>
      <c r="BB140" s="3" t="e">
        <f t="shared" ca="1" si="75"/>
        <v>#N/A</v>
      </c>
      <c r="BC140" s="3" t="e">
        <f t="shared" ca="1" si="76"/>
        <v>#N/A</v>
      </c>
      <c r="BD140" s="3" t="e">
        <f t="shared" ca="1" si="70"/>
        <v>#N/A</v>
      </c>
      <c r="BE140" s="3" t="e">
        <f t="shared" ca="1" si="77"/>
        <v>#N/A</v>
      </c>
      <c r="BF140" s="3" t="e">
        <f t="shared" ca="1" si="78"/>
        <v>#N/A</v>
      </c>
    </row>
    <row r="141" spans="1:58" ht="15" x14ac:dyDescent="0.25">
      <c r="A141" s="72">
        <v>75</v>
      </c>
      <c r="B141" s="72">
        <v>1498730158.9809999</v>
      </c>
      <c r="C141" s="73">
        <v>3.32770523429756E-4</v>
      </c>
      <c r="D141" s="73">
        <v>2.4802399248063101E-5</v>
      </c>
      <c r="E141" s="73">
        <v>8.9294139482323299E-4</v>
      </c>
      <c r="F141" s="73">
        <v>6.79759270686235E-5</v>
      </c>
      <c r="G141" s="73">
        <v>1.25281956584057E-3</v>
      </c>
      <c r="H141" s="73">
        <v>-6.1481164758433096E-6</v>
      </c>
      <c r="I141" s="73">
        <v>5.8312829632729303E-4</v>
      </c>
      <c r="J141" s="73">
        <v>6.9913634949974497E-3</v>
      </c>
      <c r="K141" s="73"/>
      <c r="L141" s="73"/>
      <c r="M141" s="73"/>
      <c r="O141" s="13">
        <f t="shared" ca="1" si="40"/>
        <v>6.8083294158194417E-5</v>
      </c>
      <c r="P141" s="13">
        <f t="shared" ca="1" si="41"/>
        <v>1.3514923863222928E-5</v>
      </c>
      <c r="Q141" s="13">
        <f t="shared" ca="1" si="42"/>
        <v>5.2201776850547632E-5</v>
      </c>
      <c r="R141" s="13">
        <f t="shared" ca="1" si="43"/>
        <v>5.8199648177942373E-5</v>
      </c>
      <c r="S141" s="13">
        <f t="shared" ca="1" si="44"/>
        <v>1.1774093259919651E-4</v>
      </c>
      <c r="T141" s="13">
        <f t="shared" ca="1" si="45"/>
        <v>-6.4979379868673961E-6</v>
      </c>
      <c r="U141" s="13">
        <f t="shared" ca="1" si="46"/>
        <v>-7.0715698461228148E-5</v>
      </c>
      <c r="V141" s="13">
        <f t="shared" ca="1" si="47"/>
        <v>-1.474174274567145E-4</v>
      </c>
      <c r="X141" s="3">
        <f t="shared" ca="1" si="48"/>
        <v>6.8083294158194417E-5</v>
      </c>
      <c r="Y141" s="3">
        <f t="shared" ca="1" si="49"/>
        <v>1.3514923863222928E-5</v>
      </c>
      <c r="Z141" s="3">
        <f t="shared" ca="1" si="50"/>
        <v>5.2201776850547632E-5</v>
      </c>
      <c r="AA141" s="3">
        <f t="shared" ca="1" si="51"/>
        <v>5.8199648177942373E-5</v>
      </c>
      <c r="AB141" s="3">
        <f t="shared" ca="1" si="52"/>
        <v>1.1774093259919651E-4</v>
      </c>
      <c r="AC141" s="3">
        <f t="shared" ca="1" si="53"/>
        <v>-6.4979379868673961E-6</v>
      </c>
      <c r="AD141" s="3">
        <f t="shared" ca="1" si="54"/>
        <v>-7.0715698461228148E-5</v>
      </c>
      <c r="AE141" s="3">
        <f t="shared" ca="1" si="55"/>
        <v>-1.474174274567145E-4</v>
      </c>
      <c r="AG141" s="3">
        <f t="shared" ca="1" si="56"/>
        <v>6.8083294158194417E-5</v>
      </c>
      <c r="AH141" s="3">
        <f t="shared" ca="1" si="57"/>
        <v>1.3514923863222928E-5</v>
      </c>
      <c r="AI141" s="3">
        <f t="shared" ca="1" si="58"/>
        <v>4.1315577365336767E-5</v>
      </c>
      <c r="AJ141" s="3">
        <f t="shared" ca="1" si="59"/>
        <v>5.2188259550510569E-5</v>
      </c>
      <c r="AK141" s="3">
        <f t="shared" ca="1" si="60"/>
        <v>1.1774093259919651E-4</v>
      </c>
      <c r="AL141" s="3">
        <f t="shared" ca="1" si="61"/>
        <v>-6.4979379868673961E-6</v>
      </c>
      <c r="AM141" s="3">
        <f t="shared" ca="1" si="62"/>
        <v>-7.0715698461228148E-5</v>
      </c>
      <c r="AN141" s="3">
        <f t="shared" ca="1" si="63"/>
        <v>-1.474174274567145E-4</v>
      </c>
      <c r="AP141" s="3" t="e">
        <f t="shared" ca="1" si="64"/>
        <v>#N/A</v>
      </c>
      <c r="AQ141" s="3" t="e">
        <f t="shared" ca="1" si="71"/>
        <v>#N/A</v>
      </c>
      <c r="AR141" s="3" t="e">
        <f t="shared" ca="1" si="65"/>
        <v>#N/A</v>
      </c>
      <c r="AS141" s="3" t="e">
        <f t="shared" ca="1" si="66"/>
        <v>#N/A</v>
      </c>
      <c r="AT141" s="3" t="e">
        <f t="shared" ca="1" si="67"/>
        <v>#N/A</v>
      </c>
      <c r="AU141" s="3" t="e">
        <f t="shared" ca="1" si="68"/>
        <v>#N/A</v>
      </c>
      <c r="AV141" s="10" t="e">
        <f t="shared" ca="1" si="72"/>
        <v>#N/A</v>
      </c>
      <c r="AW141" s="10" t="e">
        <f t="shared" ca="1" si="73"/>
        <v>#N/A</v>
      </c>
      <c r="AY141" s="3" t="e">
        <f t="shared" ca="1" si="79"/>
        <v>#N/A</v>
      </c>
      <c r="AZ141" s="3" t="e">
        <f t="shared" ca="1" si="74"/>
        <v>#N/A</v>
      </c>
      <c r="BA141" s="3" t="e">
        <f t="shared" ca="1" si="69"/>
        <v>#N/A</v>
      </c>
      <c r="BB141" s="3" t="e">
        <f t="shared" ca="1" si="75"/>
        <v>#N/A</v>
      </c>
      <c r="BC141" s="3" t="e">
        <f t="shared" ca="1" si="76"/>
        <v>#N/A</v>
      </c>
      <c r="BD141" s="3" t="e">
        <f t="shared" ca="1" si="70"/>
        <v>#N/A</v>
      </c>
      <c r="BE141" s="3" t="e">
        <f t="shared" ca="1" si="77"/>
        <v>#N/A</v>
      </c>
      <c r="BF141" s="3" t="e">
        <f t="shared" ca="1" si="78"/>
        <v>#N/A</v>
      </c>
    </row>
    <row r="142" spans="1:58" ht="15" x14ac:dyDescent="0.25">
      <c r="A142" s="72">
        <v>76</v>
      </c>
      <c r="B142" s="72">
        <v>1498730159.5090001</v>
      </c>
      <c r="C142" s="73">
        <v>2.64966192807493E-4</v>
      </c>
      <c r="D142" s="73">
        <v>-1.4174257846712699E-5</v>
      </c>
      <c r="E142" s="73">
        <v>8.4025939918093298E-4</v>
      </c>
      <c r="F142" s="73">
        <v>-9.3552881778396907E-6</v>
      </c>
      <c r="G142" s="73">
        <v>1.2191978431522301E-3</v>
      </c>
      <c r="H142" s="73">
        <v>7.0291976398157105E-5</v>
      </c>
      <c r="I142" s="73">
        <v>6.6363712470278696E-4</v>
      </c>
      <c r="J142" s="73">
        <v>6.9462365055692398E-3</v>
      </c>
      <c r="K142" s="73"/>
      <c r="L142" s="73"/>
      <c r="M142" s="73"/>
      <c r="O142" s="13">
        <f t="shared" ca="1" si="40"/>
        <v>2.789635359314209E-7</v>
      </c>
      <c r="P142" s="13">
        <f t="shared" ca="1" si="41"/>
        <v>-2.5461733231552872E-5</v>
      </c>
      <c r="Q142" s="13">
        <f t="shared" ca="1" si="42"/>
        <v>-4.802187917523704E-7</v>
      </c>
      <c r="R142" s="13">
        <f t="shared" ca="1" si="43"/>
        <v>-1.9131567068520816E-5</v>
      </c>
      <c r="S142" s="13">
        <f t="shared" ca="1" si="44"/>
        <v>8.4119209910856613E-5</v>
      </c>
      <c r="T142" s="13">
        <f t="shared" ca="1" si="45"/>
        <v>6.9942154887133015E-5</v>
      </c>
      <c r="U142" s="13">
        <f t="shared" ca="1" si="46"/>
        <v>9.7931299142657796E-6</v>
      </c>
      <c r="V142" s="13">
        <f t="shared" ca="1" si="47"/>
        <v>-1.9254441688492437E-4</v>
      </c>
      <c r="X142" s="3">
        <f t="shared" ca="1" si="48"/>
        <v>2.789635359314209E-7</v>
      </c>
      <c r="Y142" s="3">
        <f t="shared" ca="1" si="49"/>
        <v>-2.5461733231552872E-5</v>
      </c>
      <c r="Z142" s="3">
        <f t="shared" ca="1" si="50"/>
        <v>-1.0153286148968021E-6</v>
      </c>
      <c r="AA142" s="3">
        <f t="shared" ca="1" si="51"/>
        <v>-3.2083657105993998E-5</v>
      </c>
      <c r="AB142" s="3">
        <f t="shared" ca="1" si="52"/>
        <v>-1.0072280549453048E-5</v>
      </c>
      <c r="AC142" s="3">
        <f t="shared" ca="1" si="53"/>
        <v>6.9942154887133015E-5</v>
      </c>
      <c r="AD142" s="3">
        <f t="shared" ca="1" si="54"/>
        <v>-1.2930502013606238E-4</v>
      </c>
      <c r="AE142" s="3">
        <f t="shared" ca="1" si="55"/>
        <v>-2.4898721032455014E-4</v>
      </c>
      <c r="AG142" s="3">
        <f t="shared" ca="1" si="56"/>
        <v>2.789635359314209E-7</v>
      </c>
      <c r="AH142" s="3">
        <f t="shared" ca="1" si="57"/>
        <v>-2.5461733231552872E-5</v>
      </c>
      <c r="AI142" s="3">
        <f t="shared" ca="1" si="58"/>
        <v>-1.0153286148968021E-6</v>
      </c>
      <c r="AJ142" s="3">
        <f t="shared" ca="1" si="59"/>
        <v>-3.2083657105993998E-5</v>
      </c>
      <c r="AK142" s="3">
        <f t="shared" ca="1" si="60"/>
        <v>-1.0072280549453048E-5</v>
      </c>
      <c r="AL142" s="3">
        <f t="shared" ca="1" si="61"/>
        <v>6.9942154887133015E-5</v>
      </c>
      <c r="AM142" s="3">
        <f t="shared" ca="1" si="62"/>
        <v>-1.2930502013606238E-4</v>
      </c>
      <c r="AN142" s="3">
        <f t="shared" ca="1" si="63"/>
        <v>-2.4898721032455014E-4</v>
      </c>
      <c r="AP142" s="3" t="e">
        <f t="shared" ca="1" si="64"/>
        <v>#N/A</v>
      </c>
      <c r="AQ142" s="3" t="e">
        <f t="shared" ca="1" si="71"/>
        <v>#N/A</v>
      </c>
      <c r="AR142" s="3" t="e">
        <f t="shared" ca="1" si="65"/>
        <v>#N/A</v>
      </c>
      <c r="AS142" s="3" t="e">
        <f t="shared" ca="1" si="66"/>
        <v>#N/A</v>
      </c>
      <c r="AT142" s="3" t="e">
        <f t="shared" ca="1" si="67"/>
        <v>#N/A</v>
      </c>
      <c r="AU142" s="3" t="e">
        <f t="shared" ca="1" si="68"/>
        <v>#N/A</v>
      </c>
      <c r="AV142" s="10" t="e">
        <f t="shared" ca="1" si="72"/>
        <v>#N/A</v>
      </c>
      <c r="AW142" s="10" t="e">
        <f t="shared" ca="1" si="73"/>
        <v>#N/A</v>
      </c>
      <c r="AY142" s="3" t="e">
        <f t="shared" ca="1" si="79"/>
        <v>#N/A</v>
      </c>
      <c r="AZ142" s="3" t="e">
        <f t="shared" ca="1" si="74"/>
        <v>#N/A</v>
      </c>
      <c r="BA142" s="3" t="e">
        <f t="shared" ca="1" si="69"/>
        <v>#N/A</v>
      </c>
      <c r="BB142" s="3" t="e">
        <f t="shared" ca="1" si="75"/>
        <v>#N/A</v>
      </c>
      <c r="BC142" s="3" t="e">
        <f t="shared" ca="1" si="76"/>
        <v>#N/A</v>
      </c>
      <c r="BD142" s="3" t="e">
        <f t="shared" ca="1" si="70"/>
        <v>#N/A</v>
      </c>
      <c r="BE142" s="3" t="e">
        <f t="shared" ca="1" si="77"/>
        <v>#N/A</v>
      </c>
      <c r="BF142" s="3" t="e">
        <f t="shared" ca="1" si="78"/>
        <v>#N/A</v>
      </c>
    </row>
    <row r="143" spans="1:58" ht="15" x14ac:dyDescent="0.25">
      <c r="A143" s="72">
        <v>77</v>
      </c>
      <c r="B143" s="72">
        <v>1498730160.036</v>
      </c>
      <c r="C143" s="73">
        <v>1.11531285263118E-4</v>
      </c>
      <c r="D143" s="73">
        <v>-6.25976686358727E-5</v>
      </c>
      <c r="E143" s="73">
        <v>8.0074971385387197E-4</v>
      </c>
      <c r="F143" s="73">
        <v>3.7042722382393502E-5</v>
      </c>
      <c r="G143" s="73">
        <v>1.1397978346205501E-3</v>
      </c>
      <c r="H143" s="73">
        <v>-7.4575213670544701E-5</v>
      </c>
      <c r="I143" s="73">
        <v>5.8265333726468898E-4</v>
      </c>
      <c r="J143" s="73">
        <v>6.9335822116928002E-3</v>
      </c>
      <c r="K143" s="73"/>
      <c r="L143" s="73"/>
      <c r="M143" s="73"/>
      <c r="O143" s="13">
        <f t="shared" ca="1" si="40"/>
        <v>-1.5315594400844358E-4</v>
      </c>
      <c r="P143" s="13">
        <f t="shared" ca="1" si="41"/>
        <v>-7.3885144020712878E-5</v>
      </c>
      <c r="Q143" s="13">
        <f t="shared" ca="1" si="42"/>
        <v>-3.9989904118813385E-5</v>
      </c>
      <c r="R143" s="13">
        <f t="shared" ca="1" si="43"/>
        <v>2.7266443491712375E-5</v>
      </c>
      <c r="S143" s="13">
        <f t="shared" ca="1" si="44"/>
        <v>4.719201379176606E-6</v>
      </c>
      <c r="T143" s="13">
        <f t="shared" ca="1" si="45"/>
        <v>-7.4925035181568791E-5</v>
      </c>
      <c r="U143" s="13">
        <f t="shared" ca="1" si="46"/>
        <v>-7.1190657523832203E-5</v>
      </c>
      <c r="V143" s="13">
        <f t="shared" ca="1" si="47"/>
        <v>-2.0519871076136401E-4</v>
      </c>
      <c r="X143" s="3">
        <f t="shared" ca="1" si="48"/>
        <v>-1.5315594400844358E-4</v>
      </c>
      <c r="Y143" s="3">
        <f t="shared" ca="1" si="49"/>
        <v>-7.3885144020712878E-5</v>
      </c>
      <c r="Z143" s="3">
        <f t="shared" ca="1" si="50"/>
        <v>-3.9989904118813385E-5</v>
      </c>
      <c r="AA143" s="3">
        <f t="shared" ca="1" si="51"/>
        <v>2.7266443491712375E-5</v>
      </c>
      <c r="AB143" s="3">
        <f t="shared" ca="1" si="52"/>
        <v>4.719201379176606E-6</v>
      </c>
      <c r="AC143" s="3">
        <f t="shared" ca="1" si="53"/>
        <v>-7.4925035181568791E-5</v>
      </c>
      <c r="AD143" s="3">
        <f t="shared" ca="1" si="54"/>
        <v>-7.1190657523832203E-5</v>
      </c>
      <c r="AE143" s="3">
        <f t="shared" ca="1" si="55"/>
        <v>-2.0519871076136401E-4</v>
      </c>
      <c r="AG143" s="3">
        <f t="shared" ca="1" si="56"/>
        <v>-1.5315594400844358E-4</v>
      </c>
      <c r="AH143" s="3">
        <f t="shared" ca="1" si="57"/>
        <v>-7.3885144020712878E-5</v>
      </c>
      <c r="AI143" s="3">
        <f t="shared" ca="1" si="58"/>
        <v>-3.9989904118813385E-5</v>
      </c>
      <c r="AJ143" s="3">
        <f t="shared" ca="1" si="59"/>
        <v>2.7266443491712375E-5</v>
      </c>
      <c r="AK143" s="3">
        <f t="shared" ca="1" si="60"/>
        <v>4.719201379176606E-6</v>
      </c>
      <c r="AL143" s="3">
        <f t="shared" ca="1" si="61"/>
        <v>-7.4925035181568791E-5</v>
      </c>
      <c r="AM143" s="3">
        <f t="shared" ca="1" si="62"/>
        <v>-7.1190657523832203E-5</v>
      </c>
      <c r="AN143" s="3">
        <f t="shared" ca="1" si="63"/>
        <v>-2.0519871076136401E-4</v>
      </c>
      <c r="AP143" s="3" t="e">
        <f t="shared" ca="1" si="64"/>
        <v>#N/A</v>
      </c>
      <c r="AQ143" s="3" t="e">
        <f t="shared" ca="1" si="71"/>
        <v>#N/A</v>
      </c>
      <c r="AR143" s="3" t="e">
        <f t="shared" ca="1" si="65"/>
        <v>#N/A</v>
      </c>
      <c r="AS143" s="3" t="e">
        <f t="shared" ca="1" si="66"/>
        <v>#N/A</v>
      </c>
      <c r="AT143" s="3" t="e">
        <f t="shared" ca="1" si="67"/>
        <v>#N/A</v>
      </c>
      <c r="AU143" s="3" t="e">
        <f t="shared" ca="1" si="68"/>
        <v>#N/A</v>
      </c>
      <c r="AV143" s="10" t="e">
        <f t="shared" ca="1" si="72"/>
        <v>#N/A</v>
      </c>
      <c r="AW143" s="10" t="e">
        <f t="shared" ca="1" si="73"/>
        <v>#N/A</v>
      </c>
      <c r="AY143" s="3" t="e">
        <f t="shared" ca="1" si="79"/>
        <v>#N/A</v>
      </c>
      <c r="AZ143" s="3" t="e">
        <f t="shared" ca="1" si="74"/>
        <v>#N/A</v>
      </c>
      <c r="BA143" s="3" t="e">
        <f t="shared" ca="1" si="69"/>
        <v>#N/A</v>
      </c>
      <c r="BB143" s="3" t="e">
        <f t="shared" ca="1" si="75"/>
        <v>#N/A</v>
      </c>
      <c r="BC143" s="3" t="e">
        <f t="shared" ca="1" si="76"/>
        <v>#N/A</v>
      </c>
      <c r="BD143" s="3" t="e">
        <f t="shared" ca="1" si="70"/>
        <v>#N/A</v>
      </c>
      <c r="BE143" s="3" t="e">
        <f t="shared" ca="1" si="77"/>
        <v>#N/A</v>
      </c>
      <c r="BF143" s="3" t="e">
        <f t="shared" ca="1" si="78"/>
        <v>#N/A</v>
      </c>
    </row>
    <row r="144" spans="1:58" ht="15" x14ac:dyDescent="0.25">
      <c r="A144" s="72">
        <v>78</v>
      </c>
      <c r="B144" s="72">
        <v>1498730160.563</v>
      </c>
      <c r="C144" s="73">
        <v>2.0763349167229401E-4</v>
      </c>
      <c r="D144" s="73">
        <v>1.2046233825178899E-5</v>
      </c>
      <c r="E144" s="73">
        <v>7.6722756199310395E-4</v>
      </c>
      <c r="F144" s="73">
        <v>-7.6212219826041195E-5</v>
      </c>
      <c r="G144" s="73">
        <v>1.16936346772639E-3</v>
      </c>
      <c r="H144" s="73">
        <v>-1.47690356482856E-5</v>
      </c>
      <c r="I144" s="73">
        <v>6.3703761915094798E-4</v>
      </c>
      <c r="J144" s="73">
        <v>6.9672477612597698E-3</v>
      </c>
      <c r="K144" s="73"/>
      <c r="L144" s="73"/>
      <c r="M144" s="73"/>
      <c r="O144" s="13">
        <f t="shared" ca="1" si="40"/>
        <v>-5.7053737599267577E-5</v>
      </c>
      <c r="P144" s="13">
        <f t="shared" ca="1" si="41"/>
        <v>7.587584403387262E-7</v>
      </c>
      <c r="Q144" s="13">
        <f t="shared" ca="1" si="42"/>
        <v>-7.35120559795814E-5</v>
      </c>
      <c r="R144" s="13">
        <f t="shared" ca="1" si="43"/>
        <v>-8.5988498716722315E-5</v>
      </c>
      <c r="S144" s="13">
        <f t="shared" ca="1" si="44"/>
        <v>3.4284834485016555E-5</v>
      </c>
      <c r="T144" s="13">
        <f t="shared" ca="1" si="45"/>
        <v>-1.5118857159309687E-5</v>
      </c>
      <c r="U144" s="13">
        <f t="shared" ca="1" si="46"/>
        <v>-1.6806375637573199E-5</v>
      </c>
      <c r="V144" s="13">
        <f t="shared" ca="1" si="47"/>
        <v>-1.7153316119439439E-4</v>
      </c>
      <c r="X144" s="3">
        <f t="shared" ca="1" si="48"/>
        <v>-5.7053737599267577E-5</v>
      </c>
      <c r="Y144" s="3">
        <f t="shared" ca="1" si="49"/>
        <v>7.587584403387262E-7</v>
      </c>
      <c r="Z144" s="3">
        <f t="shared" ca="1" si="50"/>
        <v>-7.35120559795814E-5</v>
      </c>
      <c r="AA144" s="3">
        <f t="shared" ca="1" si="51"/>
        <v>-8.5988498716722315E-5</v>
      </c>
      <c r="AB144" s="3">
        <f t="shared" ca="1" si="52"/>
        <v>3.4284834485016555E-5</v>
      </c>
      <c r="AC144" s="3">
        <f t="shared" ca="1" si="53"/>
        <v>-1.5118857159309687E-5</v>
      </c>
      <c r="AD144" s="3">
        <f t="shared" ca="1" si="54"/>
        <v>-1.6806375637573199E-5</v>
      </c>
      <c r="AE144" s="3">
        <f t="shared" ca="1" si="55"/>
        <v>-1.7153316119439439E-4</v>
      </c>
      <c r="AG144" s="3">
        <f t="shared" ca="1" si="56"/>
        <v>-5.7053737599267577E-5</v>
      </c>
      <c r="AH144" s="3">
        <f t="shared" ca="1" si="57"/>
        <v>7.587584403387262E-7</v>
      </c>
      <c r="AI144" s="3">
        <f t="shared" ca="1" si="58"/>
        <v>-7.4123231878625277E-5</v>
      </c>
      <c r="AJ144" s="3">
        <f t="shared" ca="1" si="59"/>
        <v>-8.6325991691553797E-5</v>
      </c>
      <c r="AK144" s="3">
        <f t="shared" ca="1" si="60"/>
        <v>3.4284834485016555E-5</v>
      </c>
      <c r="AL144" s="3">
        <f t="shared" ca="1" si="61"/>
        <v>-1.5118857159309687E-5</v>
      </c>
      <c r="AM144" s="3">
        <f t="shared" ca="1" si="62"/>
        <v>-1.6806375637573199E-5</v>
      </c>
      <c r="AN144" s="3">
        <f t="shared" ca="1" si="63"/>
        <v>-1.7153316119439439E-4</v>
      </c>
      <c r="AP144" s="3" t="e">
        <f t="shared" ca="1" si="64"/>
        <v>#N/A</v>
      </c>
      <c r="AQ144" s="3" t="e">
        <f t="shared" ca="1" si="71"/>
        <v>#N/A</v>
      </c>
      <c r="AR144" s="3" t="e">
        <f t="shared" ca="1" si="65"/>
        <v>#N/A</v>
      </c>
      <c r="AS144" s="3" t="e">
        <f t="shared" ca="1" si="66"/>
        <v>#N/A</v>
      </c>
      <c r="AT144" s="3" t="e">
        <f t="shared" ca="1" si="67"/>
        <v>#N/A</v>
      </c>
      <c r="AU144" s="3" t="e">
        <f t="shared" ca="1" si="68"/>
        <v>#N/A</v>
      </c>
      <c r="AV144" s="10" t="e">
        <f t="shared" ca="1" si="72"/>
        <v>#N/A</v>
      </c>
      <c r="AW144" s="10" t="e">
        <f t="shared" ca="1" si="73"/>
        <v>#N/A</v>
      </c>
      <c r="AY144" s="3" t="e">
        <f t="shared" ca="1" si="79"/>
        <v>#N/A</v>
      </c>
      <c r="AZ144" s="3" t="e">
        <f t="shared" ca="1" si="74"/>
        <v>#N/A</v>
      </c>
      <c r="BA144" s="3" t="e">
        <f t="shared" ca="1" si="69"/>
        <v>#N/A</v>
      </c>
      <c r="BB144" s="3" t="e">
        <f t="shared" ca="1" si="75"/>
        <v>#N/A</v>
      </c>
      <c r="BC144" s="3" t="e">
        <f t="shared" ca="1" si="76"/>
        <v>#N/A</v>
      </c>
      <c r="BD144" s="3" t="e">
        <f t="shared" ca="1" si="70"/>
        <v>#N/A</v>
      </c>
      <c r="BE144" s="3" t="e">
        <f t="shared" ca="1" si="77"/>
        <v>#N/A</v>
      </c>
      <c r="BF144" s="3" t="e">
        <f t="shared" ca="1" si="78"/>
        <v>#N/A</v>
      </c>
    </row>
    <row r="145" spans="1:58" ht="15" x14ac:dyDescent="0.25">
      <c r="A145" s="72">
        <v>79</v>
      </c>
      <c r="B145" s="72">
        <v>1498730161.0899999</v>
      </c>
      <c r="C145" s="73">
        <v>2.39273123009324E-4</v>
      </c>
      <c r="D145" s="73">
        <v>6.4253059836107202E-5</v>
      </c>
      <c r="E145" s="73">
        <v>7.97158001265188E-4</v>
      </c>
      <c r="F145" s="73">
        <v>-8.4301367078125307E-5</v>
      </c>
      <c r="G145" s="73">
        <v>1.1097562315298E-3</v>
      </c>
      <c r="H145" s="73">
        <v>-4.6577285526349097E-5</v>
      </c>
      <c r="I145" s="73">
        <v>7.0472525462146097E-4</v>
      </c>
      <c r="J145" s="73">
        <v>6.8519300413477802E-3</v>
      </c>
      <c r="K145" s="73"/>
      <c r="L145" s="73"/>
      <c r="M145" s="73"/>
      <c r="O145" s="13">
        <f t="shared" ca="1" si="40"/>
        <v>-2.5414106262237586E-5</v>
      </c>
      <c r="P145" s="13">
        <f t="shared" ca="1" si="41"/>
        <v>5.2965584451267031E-5</v>
      </c>
      <c r="Q145" s="13">
        <f t="shared" ca="1" si="42"/>
        <v>-4.3581616707497354E-5</v>
      </c>
      <c r="R145" s="13">
        <f t="shared" ca="1" si="43"/>
        <v>-9.4077645968806427E-5</v>
      </c>
      <c r="S145" s="13">
        <f t="shared" ca="1" si="44"/>
        <v>-2.5322401711573442E-5</v>
      </c>
      <c r="T145" s="13">
        <f t="shared" ca="1" si="45"/>
        <v>-4.6927107037373187E-5</v>
      </c>
      <c r="U145" s="13">
        <f t="shared" ca="1" si="46"/>
        <v>5.0881259832939794E-5</v>
      </c>
      <c r="V145" s="13">
        <f t="shared" ca="1" si="47"/>
        <v>-2.8685088110638399E-4</v>
      </c>
      <c r="X145" s="3">
        <f t="shared" ca="1" si="48"/>
        <v>-2.5414106262237586E-5</v>
      </c>
      <c r="Y145" s="3">
        <f t="shared" ca="1" si="49"/>
        <v>5.2965584451267031E-5</v>
      </c>
      <c r="Z145" s="3">
        <f t="shared" ca="1" si="50"/>
        <v>-4.3581616707497354E-5</v>
      </c>
      <c r="AA145" s="3">
        <f t="shared" ca="1" si="51"/>
        <v>-9.4077645968806427E-5</v>
      </c>
      <c r="AB145" s="3">
        <f t="shared" ca="1" si="52"/>
        <v>-2.5322401711573442E-5</v>
      </c>
      <c r="AC145" s="3">
        <f t="shared" ca="1" si="53"/>
        <v>-4.6927107037373187E-5</v>
      </c>
      <c r="AD145" s="3">
        <f t="shared" ca="1" si="54"/>
        <v>5.0881259832939794E-5</v>
      </c>
      <c r="AE145" s="3">
        <f t="shared" ca="1" si="55"/>
        <v>-2.8685088110638399E-4</v>
      </c>
      <c r="AG145" s="3">
        <f t="shared" ca="1" si="56"/>
        <v>-2.5414106262237586E-5</v>
      </c>
      <c r="AH145" s="3">
        <f t="shared" ca="1" si="57"/>
        <v>5.2965584451267031E-5</v>
      </c>
      <c r="AI145" s="3">
        <f t="shared" ca="1" si="58"/>
        <v>-8.6245114039976937E-5</v>
      </c>
      <c r="AJ145" s="3">
        <f t="shared" ca="1" si="59"/>
        <v>-1.1763654391288235E-4</v>
      </c>
      <c r="AK145" s="3">
        <f t="shared" ca="1" si="60"/>
        <v>-2.5322401711573442E-5</v>
      </c>
      <c r="AL145" s="3">
        <f t="shared" ca="1" si="61"/>
        <v>-4.6927107037373187E-5</v>
      </c>
      <c r="AM145" s="3">
        <f t="shared" ca="1" si="62"/>
        <v>5.0881259832939794E-5</v>
      </c>
      <c r="AN145" s="3">
        <f t="shared" ca="1" si="63"/>
        <v>-2.8685088110638399E-4</v>
      </c>
      <c r="AP145" s="3" t="e">
        <f t="shared" ca="1" si="64"/>
        <v>#N/A</v>
      </c>
      <c r="AQ145" s="3" t="e">
        <f t="shared" ca="1" si="71"/>
        <v>#N/A</v>
      </c>
      <c r="AR145" s="3" t="e">
        <f t="shared" ca="1" si="65"/>
        <v>#N/A</v>
      </c>
      <c r="AS145" s="3" t="e">
        <f t="shared" ca="1" si="66"/>
        <v>#N/A</v>
      </c>
      <c r="AT145" s="3" t="e">
        <f t="shared" ca="1" si="67"/>
        <v>#N/A</v>
      </c>
      <c r="AU145" s="3" t="e">
        <f t="shared" ca="1" si="68"/>
        <v>#N/A</v>
      </c>
      <c r="AV145" s="10" t="e">
        <f t="shared" ca="1" si="72"/>
        <v>#N/A</v>
      </c>
      <c r="AW145" s="10" t="e">
        <f t="shared" ca="1" si="73"/>
        <v>#N/A</v>
      </c>
      <c r="AY145" s="3" t="e">
        <f t="shared" ca="1" si="79"/>
        <v>#N/A</v>
      </c>
      <c r="AZ145" s="3" t="e">
        <f t="shared" ca="1" si="74"/>
        <v>#N/A</v>
      </c>
      <c r="BA145" s="3" t="e">
        <f t="shared" ca="1" si="69"/>
        <v>#N/A</v>
      </c>
      <c r="BB145" s="3" t="e">
        <f t="shared" ca="1" si="75"/>
        <v>#N/A</v>
      </c>
      <c r="BC145" s="3" t="e">
        <f t="shared" ca="1" si="76"/>
        <v>#N/A</v>
      </c>
      <c r="BD145" s="3" t="e">
        <f t="shared" ca="1" si="70"/>
        <v>#N/A</v>
      </c>
      <c r="BE145" s="3" t="e">
        <f t="shared" ca="1" si="77"/>
        <v>#N/A</v>
      </c>
      <c r="BF145" s="3" t="e">
        <f t="shared" ca="1" si="78"/>
        <v>#N/A</v>
      </c>
    </row>
    <row r="146" spans="1:58" ht="15" x14ac:dyDescent="0.25">
      <c r="A146" s="72">
        <v>80</v>
      </c>
      <c r="B146" s="72">
        <v>1498730161.6170001</v>
      </c>
      <c r="C146" s="73">
        <v>3.14451004756217E-4</v>
      </c>
      <c r="D146" s="73">
        <v>-2.9528278124972599E-5</v>
      </c>
      <c r="E146" s="73">
        <v>8.7833383763720398E-4</v>
      </c>
      <c r="F146" s="73">
        <v>1.1057013842062301E-4</v>
      </c>
      <c r="G146" s="73">
        <v>1.1276380294473101E-3</v>
      </c>
      <c r="H146" s="73">
        <v>9.7966538574002802E-6</v>
      </c>
      <c r="I146" s="73">
        <v>5.8764041869940799E-4</v>
      </c>
      <c r="J146" s="73">
        <v>6.8832053795561303E-3</v>
      </c>
      <c r="K146" s="73"/>
      <c r="L146" s="73"/>
      <c r="M146" s="73"/>
      <c r="O146" s="13">
        <f t="shared" ca="1" si="40"/>
        <v>4.9763775484655418E-5</v>
      </c>
      <c r="P146" s="13">
        <f t="shared" ca="1" si="41"/>
        <v>-4.0815753509812774E-5</v>
      </c>
      <c r="Q146" s="13">
        <f t="shared" ca="1" si="42"/>
        <v>3.7594219664518623E-5</v>
      </c>
      <c r="R146" s="13">
        <f t="shared" ca="1" si="43"/>
        <v>1.0079385952994189E-4</v>
      </c>
      <c r="S146" s="13">
        <f t="shared" ca="1" si="44"/>
        <v>-7.4406037940634093E-6</v>
      </c>
      <c r="T146" s="13">
        <f t="shared" ca="1" si="45"/>
        <v>9.4468323463761937E-6</v>
      </c>
      <c r="U146" s="13">
        <f t="shared" ca="1" si="46"/>
        <v>-6.6203576089113184E-5</v>
      </c>
      <c r="V146" s="13">
        <f t="shared" ca="1" si="47"/>
        <v>-2.5557554289803389E-4</v>
      </c>
      <c r="X146" s="3">
        <f t="shared" ca="1" si="48"/>
        <v>4.9763775484655418E-5</v>
      </c>
      <c r="Y146" s="3">
        <f t="shared" ca="1" si="49"/>
        <v>-4.0815753509812774E-5</v>
      </c>
      <c r="Z146" s="3">
        <f t="shared" ca="1" si="50"/>
        <v>3.7521944327930809E-5</v>
      </c>
      <c r="AA146" s="3">
        <f t="shared" ca="1" si="51"/>
        <v>9.9044467860259604E-5</v>
      </c>
      <c r="AB146" s="3">
        <f t="shared" ca="1" si="52"/>
        <v>-2.0162705654804522E-5</v>
      </c>
      <c r="AC146" s="3">
        <f t="shared" ca="1" si="53"/>
        <v>9.4468323463761937E-6</v>
      </c>
      <c r="AD146" s="3">
        <f t="shared" ca="1" si="54"/>
        <v>-8.4991057048729252E-5</v>
      </c>
      <c r="AE146" s="3">
        <f t="shared" ca="1" si="55"/>
        <v>-2.631990656168539E-4</v>
      </c>
      <c r="AG146" s="3">
        <f t="shared" ca="1" si="56"/>
        <v>4.9763775484655418E-5</v>
      </c>
      <c r="AH146" s="3">
        <f t="shared" ca="1" si="57"/>
        <v>-4.0815753509812774E-5</v>
      </c>
      <c r="AI146" s="3">
        <f t="shared" ca="1" si="58"/>
        <v>3.7521944327930809E-5</v>
      </c>
      <c r="AJ146" s="3">
        <f t="shared" ca="1" si="59"/>
        <v>9.9044467860259604E-5</v>
      </c>
      <c r="AK146" s="3">
        <f t="shared" ca="1" si="60"/>
        <v>-2.0162705654804522E-5</v>
      </c>
      <c r="AL146" s="3">
        <f t="shared" ca="1" si="61"/>
        <v>9.4468323463761937E-6</v>
      </c>
      <c r="AM146" s="3">
        <f t="shared" ca="1" si="62"/>
        <v>-8.4991057048729252E-5</v>
      </c>
      <c r="AN146" s="3">
        <f t="shared" ca="1" si="63"/>
        <v>-2.631990656168539E-4</v>
      </c>
      <c r="AP146" s="3" t="e">
        <f t="shared" ca="1" si="64"/>
        <v>#N/A</v>
      </c>
      <c r="AQ146" s="3" t="e">
        <f t="shared" ca="1" si="71"/>
        <v>#N/A</v>
      </c>
      <c r="AR146" s="3" t="e">
        <f t="shared" ca="1" si="65"/>
        <v>#N/A</v>
      </c>
      <c r="AS146" s="3" t="e">
        <f t="shared" ca="1" si="66"/>
        <v>#N/A</v>
      </c>
      <c r="AT146" s="3" t="e">
        <f t="shared" ca="1" si="67"/>
        <v>#N/A</v>
      </c>
      <c r="AU146" s="3" t="e">
        <f t="shared" ca="1" si="68"/>
        <v>#N/A</v>
      </c>
      <c r="AV146" s="10" t="e">
        <f t="shared" ca="1" si="72"/>
        <v>#N/A</v>
      </c>
      <c r="AW146" s="10" t="e">
        <f t="shared" ca="1" si="73"/>
        <v>#N/A</v>
      </c>
      <c r="AY146" s="3" t="e">
        <f t="shared" ca="1" si="79"/>
        <v>#N/A</v>
      </c>
      <c r="AZ146" s="3" t="e">
        <f t="shared" ca="1" si="74"/>
        <v>#N/A</v>
      </c>
      <c r="BA146" s="3" t="e">
        <f t="shared" ca="1" si="69"/>
        <v>#N/A</v>
      </c>
      <c r="BB146" s="3" t="e">
        <f t="shared" ca="1" si="75"/>
        <v>#N/A</v>
      </c>
      <c r="BC146" s="3" t="e">
        <f t="shared" ca="1" si="76"/>
        <v>#N/A</v>
      </c>
      <c r="BD146" s="3" t="e">
        <f t="shared" ca="1" si="70"/>
        <v>#N/A</v>
      </c>
      <c r="BE146" s="3" t="e">
        <f t="shared" ca="1" si="77"/>
        <v>#N/A</v>
      </c>
      <c r="BF146" s="3" t="e">
        <f t="shared" ca="1" si="78"/>
        <v>#N/A</v>
      </c>
    </row>
    <row r="147" spans="1:58" ht="15" x14ac:dyDescent="0.25">
      <c r="A147" s="72">
        <v>81</v>
      </c>
      <c r="B147" s="72">
        <v>1498730162.1440001</v>
      </c>
      <c r="C147" s="73">
        <v>1.89078384778015E-4</v>
      </c>
      <c r="D147" s="73">
        <v>-5.3621800197996E-5</v>
      </c>
      <c r="E147" s="73">
        <v>7.8877738845527397E-4</v>
      </c>
      <c r="F147" s="73">
        <v>3.0856196421467603E-5</v>
      </c>
      <c r="G147" s="73">
        <v>1.0553975287433701E-3</v>
      </c>
      <c r="H147" s="73">
        <v>-2.9859744715053801E-5</v>
      </c>
      <c r="I147" s="73">
        <v>6.3917505321664796E-4</v>
      </c>
      <c r="J147" s="73">
        <v>6.9369248398406403E-3</v>
      </c>
      <c r="K147" s="73"/>
      <c r="L147" s="73"/>
      <c r="M147" s="73"/>
      <c r="O147" s="13">
        <f t="shared" ca="1" si="40"/>
        <v>-7.5608844493546583E-5</v>
      </c>
      <c r="P147" s="13">
        <f t="shared" ca="1" si="41"/>
        <v>-6.4909275582836172E-5</v>
      </c>
      <c r="Q147" s="13">
        <f t="shared" ca="1" si="42"/>
        <v>-5.1962229517411385E-5</v>
      </c>
      <c r="R147" s="13">
        <f t="shared" ca="1" si="43"/>
        <v>2.1079917530786475E-5</v>
      </c>
      <c r="S147" s="13">
        <f t="shared" ca="1" si="44"/>
        <v>-7.9681104498003415E-5</v>
      </c>
      <c r="T147" s="13">
        <f t="shared" ca="1" si="45"/>
        <v>-3.0209566226077888E-5</v>
      </c>
      <c r="U147" s="13">
        <f t="shared" ca="1" si="46"/>
        <v>-1.466894157187322E-5</v>
      </c>
      <c r="V147" s="13">
        <f t="shared" ca="1" si="47"/>
        <v>-2.0185608261352392E-4</v>
      </c>
      <c r="X147" s="3">
        <f t="shared" ca="1" si="48"/>
        <v>-7.5608844493546583E-5</v>
      </c>
      <c r="Y147" s="3">
        <f t="shared" ca="1" si="49"/>
        <v>-6.4909275582836172E-5</v>
      </c>
      <c r="Z147" s="3">
        <f t="shared" ca="1" si="50"/>
        <v>-5.1962229517411385E-5</v>
      </c>
      <c r="AA147" s="3">
        <f t="shared" ca="1" si="51"/>
        <v>2.1079917530786475E-5</v>
      </c>
      <c r="AB147" s="3">
        <f t="shared" ca="1" si="52"/>
        <v>-7.9681104498003415E-5</v>
      </c>
      <c r="AC147" s="3">
        <f t="shared" ca="1" si="53"/>
        <v>-3.0209566226077888E-5</v>
      </c>
      <c r="AD147" s="3">
        <f t="shared" ca="1" si="54"/>
        <v>-1.466894157187322E-5</v>
      </c>
      <c r="AE147" s="3">
        <f t="shared" ca="1" si="55"/>
        <v>-2.0185608261352392E-4</v>
      </c>
      <c r="AG147" s="3">
        <f t="shared" ca="1" si="56"/>
        <v>-7.5608844493546583E-5</v>
      </c>
      <c r="AH147" s="3">
        <f t="shared" ca="1" si="57"/>
        <v>-6.4909275582836172E-5</v>
      </c>
      <c r="AI147" s="3">
        <f t="shared" ca="1" si="58"/>
        <v>-5.1962229517411385E-5</v>
      </c>
      <c r="AJ147" s="3">
        <f t="shared" ca="1" si="59"/>
        <v>2.1079917530786475E-5</v>
      </c>
      <c r="AK147" s="3">
        <f t="shared" ca="1" si="60"/>
        <v>-7.9681104498003415E-5</v>
      </c>
      <c r="AL147" s="3">
        <f t="shared" ca="1" si="61"/>
        <v>-3.0209566226077888E-5</v>
      </c>
      <c r="AM147" s="3">
        <f t="shared" ca="1" si="62"/>
        <v>-1.466894157187322E-5</v>
      </c>
      <c r="AN147" s="3">
        <f t="shared" ca="1" si="63"/>
        <v>-2.0185608261352392E-4</v>
      </c>
      <c r="AP147" s="3" t="e">
        <f t="shared" ca="1" si="64"/>
        <v>#N/A</v>
      </c>
      <c r="AQ147" s="3" t="e">
        <f t="shared" ca="1" si="71"/>
        <v>#N/A</v>
      </c>
      <c r="AR147" s="3" t="e">
        <f t="shared" ca="1" si="65"/>
        <v>#N/A</v>
      </c>
      <c r="AS147" s="3" t="e">
        <f t="shared" ca="1" si="66"/>
        <v>#N/A</v>
      </c>
      <c r="AT147" s="3" t="e">
        <f t="shared" ca="1" si="67"/>
        <v>#N/A</v>
      </c>
      <c r="AU147" s="3" t="e">
        <f t="shared" ca="1" si="68"/>
        <v>#N/A</v>
      </c>
      <c r="AV147" s="10" t="e">
        <f t="shared" ca="1" si="72"/>
        <v>#N/A</v>
      </c>
      <c r="AW147" s="10" t="e">
        <f t="shared" ca="1" si="73"/>
        <v>#N/A</v>
      </c>
      <c r="AY147" s="3" t="e">
        <f t="shared" ca="1" si="79"/>
        <v>#N/A</v>
      </c>
      <c r="AZ147" s="3" t="e">
        <f t="shared" ca="1" si="74"/>
        <v>#N/A</v>
      </c>
      <c r="BA147" s="3" t="e">
        <f t="shared" ca="1" si="69"/>
        <v>#N/A</v>
      </c>
      <c r="BB147" s="3" t="e">
        <f t="shared" ca="1" si="75"/>
        <v>#N/A</v>
      </c>
      <c r="BC147" s="3" t="e">
        <f t="shared" ca="1" si="76"/>
        <v>#N/A</v>
      </c>
      <c r="BD147" s="3" t="e">
        <f t="shared" ca="1" si="70"/>
        <v>#N/A</v>
      </c>
      <c r="BE147" s="3" t="e">
        <f t="shared" ca="1" si="77"/>
        <v>#N/A</v>
      </c>
      <c r="BF147" s="3" t="e">
        <f t="shared" ca="1" si="78"/>
        <v>#N/A</v>
      </c>
    </row>
    <row r="148" spans="1:58" ht="15" x14ac:dyDescent="0.25">
      <c r="A148" s="72">
        <v>82</v>
      </c>
      <c r="B148" s="72">
        <v>1498730162.671</v>
      </c>
      <c r="C148" s="73">
        <v>2.8685340333702399E-4</v>
      </c>
      <c r="D148" s="73">
        <v>5.6682126144261503E-6</v>
      </c>
      <c r="E148" s="73">
        <v>8.7569971056564297E-4</v>
      </c>
      <c r="F148" s="73">
        <v>-2.6931422828318799E-6</v>
      </c>
      <c r="G148" s="73">
        <v>1.13812883300184E-3</v>
      </c>
      <c r="H148" s="73">
        <v>-3.3756033657750903E-5</v>
      </c>
      <c r="I148" s="73">
        <v>6.4178747884841502E-4</v>
      </c>
      <c r="J148" s="73">
        <v>6.9300008367546703E-3</v>
      </c>
      <c r="K148" s="73"/>
      <c r="L148" s="73"/>
      <c r="M148" s="73"/>
      <c r="O148" s="13">
        <f t="shared" ca="1" si="40"/>
        <v>2.2166174065462406E-5</v>
      </c>
      <c r="P148" s="13">
        <f t="shared" ca="1" si="41"/>
        <v>-5.6192627704140229E-6</v>
      </c>
      <c r="Q148" s="13">
        <f t="shared" ca="1" si="42"/>
        <v>3.4960092592957611E-5</v>
      </c>
      <c r="R148" s="13">
        <f t="shared" ca="1" si="43"/>
        <v>-1.2469421173513006E-5</v>
      </c>
      <c r="S148" s="13">
        <f t="shared" ca="1" si="44"/>
        <v>3.0501997604665161E-6</v>
      </c>
      <c r="T148" s="13">
        <f t="shared" ca="1" si="45"/>
        <v>-3.4105855168774993E-5</v>
      </c>
      <c r="U148" s="13">
        <f t="shared" ca="1" si="46"/>
        <v>-1.2056515940106157E-5</v>
      </c>
      <c r="V148" s="13">
        <f t="shared" ca="1" si="47"/>
        <v>-2.0878008569949393E-4</v>
      </c>
      <c r="X148" s="3">
        <f t="shared" ca="1" si="48"/>
        <v>2.2166174065462406E-5</v>
      </c>
      <c r="Y148" s="3">
        <f t="shared" ca="1" si="49"/>
        <v>-5.6192627704140229E-6</v>
      </c>
      <c r="Z148" s="3">
        <f t="shared" ca="1" si="50"/>
        <v>3.4960092592957611E-5</v>
      </c>
      <c r="AA148" s="3">
        <f t="shared" ca="1" si="51"/>
        <v>-1.2469421173513006E-5</v>
      </c>
      <c r="AB148" s="3">
        <f t="shared" ca="1" si="52"/>
        <v>3.0501997604665161E-6</v>
      </c>
      <c r="AC148" s="3">
        <f t="shared" ca="1" si="53"/>
        <v>-3.4105855168774993E-5</v>
      </c>
      <c r="AD148" s="3">
        <f t="shared" ca="1" si="54"/>
        <v>-1.2056515940106157E-5</v>
      </c>
      <c r="AE148" s="3">
        <f t="shared" ca="1" si="55"/>
        <v>-2.0878008569949393E-4</v>
      </c>
      <c r="AG148" s="3">
        <f t="shared" ca="1" si="56"/>
        <v>2.2166174065462406E-5</v>
      </c>
      <c r="AH148" s="3">
        <f t="shared" ca="1" si="57"/>
        <v>-5.6192627704140229E-6</v>
      </c>
      <c r="AI148" s="3">
        <f t="shared" ca="1" si="58"/>
        <v>3.4960092592957611E-5</v>
      </c>
      <c r="AJ148" s="3">
        <f t="shared" ca="1" si="59"/>
        <v>-1.2469421173513006E-5</v>
      </c>
      <c r="AK148" s="3">
        <f t="shared" ca="1" si="60"/>
        <v>3.0501997604665161E-6</v>
      </c>
      <c r="AL148" s="3">
        <f t="shared" ca="1" si="61"/>
        <v>-3.4105855168774993E-5</v>
      </c>
      <c r="AM148" s="3">
        <f t="shared" ca="1" si="62"/>
        <v>-1.2056515940106157E-5</v>
      </c>
      <c r="AN148" s="3">
        <f t="shared" ca="1" si="63"/>
        <v>-2.0878008569949393E-4</v>
      </c>
      <c r="AP148" s="3" t="e">
        <f t="shared" ca="1" si="64"/>
        <v>#N/A</v>
      </c>
      <c r="AQ148" s="3" t="e">
        <f t="shared" ca="1" si="71"/>
        <v>#N/A</v>
      </c>
      <c r="AR148" s="3" t="e">
        <f t="shared" ca="1" si="65"/>
        <v>#N/A</v>
      </c>
      <c r="AS148" s="3" t="e">
        <f t="shared" ca="1" si="66"/>
        <v>#N/A</v>
      </c>
      <c r="AT148" s="3" t="e">
        <f t="shared" ca="1" si="67"/>
        <v>#N/A</v>
      </c>
      <c r="AU148" s="3" t="e">
        <f t="shared" ca="1" si="68"/>
        <v>#N/A</v>
      </c>
      <c r="AV148" s="10" t="e">
        <f t="shared" ca="1" si="72"/>
        <v>#N/A</v>
      </c>
      <c r="AW148" s="10" t="e">
        <f t="shared" ca="1" si="73"/>
        <v>#N/A</v>
      </c>
      <c r="AY148" s="3" t="e">
        <f t="shared" ca="1" si="79"/>
        <v>#N/A</v>
      </c>
      <c r="AZ148" s="3" t="e">
        <f t="shared" ca="1" si="74"/>
        <v>#N/A</v>
      </c>
      <c r="BA148" s="3" t="e">
        <f t="shared" ca="1" si="69"/>
        <v>#N/A</v>
      </c>
      <c r="BB148" s="3" t="e">
        <f t="shared" ca="1" si="75"/>
        <v>#N/A</v>
      </c>
      <c r="BC148" s="3" t="e">
        <f t="shared" ca="1" si="76"/>
        <v>#N/A</v>
      </c>
      <c r="BD148" s="3" t="e">
        <f t="shared" ca="1" si="70"/>
        <v>#N/A</v>
      </c>
      <c r="BE148" s="3" t="e">
        <f t="shared" ca="1" si="77"/>
        <v>#N/A</v>
      </c>
      <c r="BF148" s="3" t="e">
        <f t="shared" ca="1" si="78"/>
        <v>#N/A</v>
      </c>
    </row>
    <row r="149" spans="1:58" ht="15" x14ac:dyDescent="0.25">
      <c r="A149" s="72">
        <v>83</v>
      </c>
      <c r="B149" s="72">
        <v>1498730163.1989999</v>
      </c>
      <c r="C149" s="73">
        <v>2.4426894591753903E-4</v>
      </c>
      <c r="D149" s="73">
        <v>-2.3386698526808901E-5</v>
      </c>
      <c r="E149" s="73">
        <v>8.0601758219383298E-4</v>
      </c>
      <c r="F149" s="73">
        <v>-1.8634631609613801E-5</v>
      </c>
      <c r="G149" s="73">
        <v>1.0840070040910601E-3</v>
      </c>
      <c r="H149" s="73">
        <v>8.4973544201547898E-6</v>
      </c>
      <c r="I149" s="73">
        <v>5.3682085135537902E-4</v>
      </c>
      <c r="J149" s="73">
        <v>6.9600847837299699E-3</v>
      </c>
      <c r="K149" s="73"/>
      <c r="L149" s="73"/>
      <c r="M149" s="73"/>
      <c r="O149" s="13">
        <f t="shared" ca="1" si="40"/>
        <v>-2.0418283354022558E-5</v>
      </c>
      <c r="P149" s="13">
        <f t="shared" ca="1" si="41"/>
        <v>-3.4674173911649073E-5</v>
      </c>
      <c r="Q149" s="13">
        <f t="shared" ca="1" si="42"/>
        <v>-3.4722035778852372E-5</v>
      </c>
      <c r="R149" s="13">
        <f t="shared" ca="1" si="43"/>
        <v>-2.8410910500294925E-5</v>
      </c>
      <c r="S149" s="13">
        <f t="shared" ca="1" si="44"/>
        <v>-5.1071629150313417E-5</v>
      </c>
      <c r="T149" s="13">
        <f t="shared" ca="1" si="45"/>
        <v>8.1475329091307033E-6</v>
      </c>
      <c r="U149" s="13">
        <f t="shared" ca="1" si="46"/>
        <v>-1.1702314343314216E-4</v>
      </c>
      <c r="V149" s="13">
        <f t="shared" ca="1" si="47"/>
        <v>-1.7869613872419435E-4</v>
      </c>
      <c r="X149" s="3">
        <f t="shared" ca="1" si="48"/>
        <v>-2.0418283354022558E-5</v>
      </c>
      <c r="Y149" s="3">
        <f t="shared" ca="1" si="49"/>
        <v>-3.4674173911649073E-5</v>
      </c>
      <c r="Z149" s="3">
        <f t="shared" ca="1" si="50"/>
        <v>-3.4784370502469394E-5</v>
      </c>
      <c r="AA149" s="3">
        <f t="shared" ca="1" si="51"/>
        <v>-2.9919694151479657E-5</v>
      </c>
      <c r="AB149" s="3">
        <f t="shared" ca="1" si="52"/>
        <v>-6.2043957205173281E-5</v>
      </c>
      <c r="AC149" s="3">
        <f t="shared" ca="1" si="53"/>
        <v>8.1475329091307033E-6</v>
      </c>
      <c r="AD149" s="3">
        <f t="shared" ca="1" si="54"/>
        <v>-1.3322662982790778E-4</v>
      </c>
      <c r="AE149" s="3">
        <f t="shared" ca="1" si="55"/>
        <v>-1.8527113656025928E-4</v>
      </c>
      <c r="AG149" s="3">
        <f t="shared" ca="1" si="56"/>
        <v>-2.0418283354022558E-5</v>
      </c>
      <c r="AH149" s="3">
        <f t="shared" ca="1" si="57"/>
        <v>-3.4674173911649073E-5</v>
      </c>
      <c r="AI149" s="3">
        <f t="shared" ca="1" si="58"/>
        <v>-3.4784370502469394E-5</v>
      </c>
      <c r="AJ149" s="3">
        <f t="shared" ca="1" si="59"/>
        <v>-2.9919694151479657E-5</v>
      </c>
      <c r="AK149" s="3">
        <f t="shared" ca="1" si="60"/>
        <v>-6.2043957205173281E-5</v>
      </c>
      <c r="AL149" s="3">
        <f t="shared" ca="1" si="61"/>
        <v>8.1475329091307033E-6</v>
      </c>
      <c r="AM149" s="3">
        <f t="shared" ca="1" si="62"/>
        <v>-1.3322662982790778E-4</v>
      </c>
      <c r="AN149" s="3">
        <f t="shared" ca="1" si="63"/>
        <v>-1.8527113656025928E-4</v>
      </c>
      <c r="AP149" s="3" t="e">
        <f t="shared" ca="1" si="64"/>
        <v>#N/A</v>
      </c>
      <c r="AQ149" s="3" t="e">
        <f t="shared" ca="1" si="71"/>
        <v>#N/A</v>
      </c>
      <c r="AR149" s="3" t="e">
        <f t="shared" ca="1" si="65"/>
        <v>#N/A</v>
      </c>
      <c r="AS149" s="3" t="e">
        <f t="shared" ca="1" si="66"/>
        <v>#N/A</v>
      </c>
      <c r="AT149" s="3" t="e">
        <f t="shared" ca="1" si="67"/>
        <v>#N/A</v>
      </c>
      <c r="AU149" s="3" t="e">
        <f t="shared" ca="1" si="68"/>
        <v>#N/A</v>
      </c>
      <c r="AV149" s="10" t="e">
        <f t="shared" ca="1" si="72"/>
        <v>#N/A</v>
      </c>
      <c r="AW149" s="10" t="e">
        <f t="shared" ca="1" si="73"/>
        <v>#N/A</v>
      </c>
      <c r="AY149" s="3" t="e">
        <f t="shared" ca="1" si="79"/>
        <v>#N/A</v>
      </c>
      <c r="AZ149" s="3" t="e">
        <f t="shared" ca="1" si="74"/>
        <v>#N/A</v>
      </c>
      <c r="BA149" s="3" t="e">
        <f t="shared" ca="1" si="69"/>
        <v>#N/A</v>
      </c>
      <c r="BB149" s="3" t="e">
        <f t="shared" ca="1" si="75"/>
        <v>#N/A</v>
      </c>
      <c r="BC149" s="3" t="e">
        <f t="shared" ca="1" si="76"/>
        <v>#N/A</v>
      </c>
      <c r="BD149" s="3" t="e">
        <f t="shared" ca="1" si="70"/>
        <v>#N/A</v>
      </c>
      <c r="BE149" s="3" t="e">
        <f t="shared" ca="1" si="77"/>
        <v>#N/A</v>
      </c>
      <c r="BF149" s="3" t="e">
        <f t="shared" ca="1" si="78"/>
        <v>#N/A</v>
      </c>
    </row>
    <row r="150" spans="1:58" ht="15" x14ac:dyDescent="0.25">
      <c r="A150" s="72">
        <v>84</v>
      </c>
      <c r="B150" s="72">
        <v>1498730163.7260001</v>
      </c>
      <c r="C150" s="73">
        <v>3.3396011418455299E-4</v>
      </c>
      <c r="D150" s="73">
        <v>4.6771735259560101E-5</v>
      </c>
      <c r="E150" s="73">
        <v>8.7138933569786098E-4</v>
      </c>
      <c r="F150" s="73">
        <v>1.11284023363438E-4</v>
      </c>
      <c r="G150" s="73">
        <v>1.0804307749236899E-3</v>
      </c>
      <c r="H150" s="73">
        <v>2.0073530927891701E-5</v>
      </c>
      <c r="I150" s="73">
        <v>5.9595227648542295E-4</v>
      </c>
      <c r="J150" s="73">
        <v>6.9125716612930699E-3</v>
      </c>
      <c r="K150" s="73"/>
      <c r="L150" s="73"/>
      <c r="M150" s="73"/>
      <c r="O150" s="13">
        <f t="shared" ca="1" si="40"/>
        <v>6.9272884912991405E-5</v>
      </c>
      <c r="P150" s="13">
        <f t="shared" ca="1" si="41"/>
        <v>3.548425987471993E-5</v>
      </c>
      <c r="Q150" s="13">
        <f t="shared" ca="1" si="42"/>
        <v>3.0649717725175622E-5</v>
      </c>
      <c r="R150" s="13">
        <f t="shared" ca="1" si="43"/>
        <v>1.0150774447275688E-4</v>
      </c>
      <c r="S150" s="13">
        <f t="shared" ca="1" si="44"/>
        <v>-5.4647858317683536E-5</v>
      </c>
      <c r="T150" s="13">
        <f t="shared" ca="1" si="45"/>
        <v>1.9723709416867614E-5</v>
      </c>
      <c r="U150" s="13">
        <f t="shared" ca="1" si="46"/>
        <v>-5.7891718303098227E-5</v>
      </c>
      <c r="V150" s="13">
        <f t="shared" ca="1" si="47"/>
        <v>-2.2620926116109427E-4</v>
      </c>
      <c r="X150" s="3">
        <f t="shared" ca="1" si="48"/>
        <v>6.9272884912991405E-5</v>
      </c>
      <c r="Y150" s="3">
        <f t="shared" ca="1" si="49"/>
        <v>3.548425987471993E-5</v>
      </c>
      <c r="Z150" s="3">
        <f t="shared" ca="1" si="50"/>
        <v>3.0498816588731599E-5</v>
      </c>
      <c r="AA150" s="3">
        <f t="shared" ca="1" si="51"/>
        <v>9.7855251056554985E-5</v>
      </c>
      <c r="AB150" s="3">
        <f t="shared" ca="1" si="52"/>
        <v>-8.1209887903114261E-5</v>
      </c>
      <c r="AC150" s="3">
        <f t="shared" ca="1" si="53"/>
        <v>1.9723709416867614E-5</v>
      </c>
      <c r="AD150" s="3">
        <f t="shared" ca="1" si="54"/>
        <v>-9.7117439850336951E-5</v>
      </c>
      <c r="AE150" s="3">
        <f t="shared" ca="1" si="55"/>
        <v>-2.4212614645403315E-4</v>
      </c>
      <c r="AG150" s="3">
        <f t="shared" ca="1" si="56"/>
        <v>6.9272884912991405E-5</v>
      </c>
      <c r="AH150" s="3">
        <f t="shared" ca="1" si="57"/>
        <v>3.548425987471993E-5</v>
      </c>
      <c r="AI150" s="3">
        <f t="shared" ca="1" si="58"/>
        <v>1.9164334772409658E-6</v>
      </c>
      <c r="AJ150" s="3">
        <f t="shared" ca="1" si="59"/>
        <v>8.2071982247754034E-5</v>
      </c>
      <c r="AK150" s="3">
        <f t="shared" ca="1" si="60"/>
        <v>-8.1209887903114261E-5</v>
      </c>
      <c r="AL150" s="3">
        <f t="shared" ca="1" si="61"/>
        <v>1.9723709416867614E-5</v>
      </c>
      <c r="AM150" s="3">
        <f t="shared" ca="1" si="62"/>
        <v>-9.7117439850336951E-5</v>
      </c>
      <c r="AN150" s="3">
        <f t="shared" ca="1" si="63"/>
        <v>-2.4212614645403315E-4</v>
      </c>
      <c r="AP150" s="3" t="e">
        <f t="shared" ca="1" si="64"/>
        <v>#N/A</v>
      </c>
      <c r="AQ150" s="3" t="e">
        <f t="shared" ca="1" si="71"/>
        <v>#N/A</v>
      </c>
      <c r="AR150" s="3" t="e">
        <f t="shared" ca="1" si="65"/>
        <v>#N/A</v>
      </c>
      <c r="AS150" s="3" t="e">
        <f t="shared" ca="1" si="66"/>
        <v>#N/A</v>
      </c>
      <c r="AT150" s="3" t="e">
        <f t="shared" ca="1" si="67"/>
        <v>#N/A</v>
      </c>
      <c r="AU150" s="3" t="e">
        <f t="shared" ca="1" si="68"/>
        <v>#N/A</v>
      </c>
      <c r="AV150" s="10" t="e">
        <f t="shared" ca="1" si="72"/>
        <v>#N/A</v>
      </c>
      <c r="AW150" s="10" t="e">
        <f t="shared" ca="1" si="73"/>
        <v>#N/A</v>
      </c>
      <c r="AY150" s="3" t="e">
        <f t="shared" ca="1" si="79"/>
        <v>#N/A</v>
      </c>
      <c r="AZ150" s="3" t="e">
        <f t="shared" ca="1" si="74"/>
        <v>#N/A</v>
      </c>
      <c r="BA150" s="3" t="e">
        <f t="shared" ca="1" si="69"/>
        <v>#N/A</v>
      </c>
      <c r="BB150" s="3" t="e">
        <f t="shared" ca="1" si="75"/>
        <v>#N/A</v>
      </c>
      <c r="BC150" s="3" t="e">
        <f t="shared" ca="1" si="76"/>
        <v>#N/A</v>
      </c>
      <c r="BD150" s="3" t="e">
        <f t="shared" ca="1" si="70"/>
        <v>#N/A</v>
      </c>
      <c r="BE150" s="3" t="e">
        <f t="shared" ca="1" si="77"/>
        <v>#N/A</v>
      </c>
      <c r="BF150" s="3" t="e">
        <f t="shared" ca="1" si="78"/>
        <v>#N/A</v>
      </c>
    </row>
    <row r="151" spans="1:58" ht="15" x14ac:dyDescent="0.25">
      <c r="A151" s="72">
        <v>85</v>
      </c>
      <c r="B151" s="72">
        <v>1498730164.2520001</v>
      </c>
      <c r="C151" s="73">
        <v>2.7947831141571298E-4</v>
      </c>
      <c r="D151" s="73">
        <v>5.1260154073391998E-5</v>
      </c>
      <c r="E151" s="73">
        <v>8.75939176378096E-4</v>
      </c>
      <c r="F151" s="73">
        <v>-4.4092900281730801E-5</v>
      </c>
      <c r="G151" s="73">
        <v>1.1767550125403299E-3</v>
      </c>
      <c r="H151" s="73">
        <v>2.6949001770892598E-5</v>
      </c>
      <c r="I151" s="73">
        <v>7.22063528051325E-4</v>
      </c>
      <c r="J151" s="73">
        <v>7.02407586257378E-3</v>
      </c>
      <c r="K151" s="73"/>
      <c r="L151" s="73"/>
      <c r="M151" s="73"/>
      <c r="O151" s="13">
        <f t="shared" ca="1" si="40"/>
        <v>1.47910821441514E-5</v>
      </c>
      <c r="P151" s="13">
        <f t="shared" ca="1" si="41"/>
        <v>3.9972678688551827E-5</v>
      </c>
      <c r="Q151" s="13">
        <f t="shared" ca="1" si="42"/>
        <v>3.5199558405410642E-5</v>
      </c>
      <c r="R151" s="13">
        <f t="shared" ca="1" si="43"/>
        <v>-5.3869179172411928E-5</v>
      </c>
      <c r="S151" s="13">
        <f t="shared" ca="1" si="44"/>
        <v>4.1676379298956432E-5</v>
      </c>
      <c r="T151" s="13">
        <f t="shared" ca="1" si="45"/>
        <v>2.6599180259868512E-5</v>
      </c>
      <c r="U151" s="13">
        <f t="shared" ca="1" si="46"/>
        <v>6.821953326280382E-5</v>
      </c>
      <c r="V151" s="13">
        <f t="shared" ca="1" si="47"/>
        <v>-1.1470505988038417E-4</v>
      </c>
      <c r="X151" s="3">
        <f t="shared" ca="1" si="48"/>
        <v>1.47910821441514E-5</v>
      </c>
      <c r="Y151" s="3">
        <f t="shared" ca="1" si="49"/>
        <v>3.9972678688551827E-5</v>
      </c>
      <c r="Z151" s="3">
        <f t="shared" ca="1" si="50"/>
        <v>3.4996054772049419E-5</v>
      </c>
      <c r="AA151" s="3">
        <f t="shared" ca="1" si="51"/>
        <v>-5.8794892116268845E-5</v>
      </c>
      <c r="AB151" s="3">
        <f t="shared" ca="1" si="52"/>
        <v>5.8551147448045028E-6</v>
      </c>
      <c r="AC151" s="3">
        <f t="shared" ca="1" si="53"/>
        <v>2.6599180259868512E-5</v>
      </c>
      <c r="AD151" s="3">
        <f t="shared" ca="1" si="54"/>
        <v>1.5320151295326394E-5</v>
      </c>
      <c r="AE151" s="3">
        <f t="shared" ca="1" si="55"/>
        <v>-1.3617039848045815E-4</v>
      </c>
      <c r="AG151" s="3">
        <f t="shared" ca="1" si="56"/>
        <v>1.47910821441514E-5</v>
      </c>
      <c r="AH151" s="3">
        <f t="shared" ca="1" si="57"/>
        <v>3.9972678688551827E-5</v>
      </c>
      <c r="AI151" s="3">
        <f t="shared" ca="1" si="58"/>
        <v>2.7982741137393526E-6</v>
      </c>
      <c r="AJ151" s="3">
        <f t="shared" ca="1" si="59"/>
        <v>-7.6574593171798385E-5</v>
      </c>
      <c r="AK151" s="3">
        <f t="shared" ca="1" si="60"/>
        <v>5.8551147448045028E-6</v>
      </c>
      <c r="AL151" s="3">
        <f t="shared" ca="1" si="61"/>
        <v>2.6599180259868512E-5</v>
      </c>
      <c r="AM151" s="3">
        <f t="shared" ca="1" si="62"/>
        <v>1.5320151295326394E-5</v>
      </c>
      <c r="AN151" s="3">
        <f t="shared" ca="1" si="63"/>
        <v>-1.3617039848045815E-4</v>
      </c>
      <c r="AP151" s="3" t="e">
        <f t="shared" ca="1" si="64"/>
        <v>#N/A</v>
      </c>
      <c r="AQ151" s="3" t="e">
        <f t="shared" ca="1" si="71"/>
        <v>#N/A</v>
      </c>
      <c r="AR151" s="3" t="e">
        <f t="shared" ca="1" si="65"/>
        <v>#N/A</v>
      </c>
      <c r="AS151" s="3" t="e">
        <f t="shared" ca="1" si="66"/>
        <v>#N/A</v>
      </c>
      <c r="AT151" s="3" t="e">
        <f t="shared" ca="1" si="67"/>
        <v>#N/A</v>
      </c>
      <c r="AU151" s="3" t="e">
        <f t="shared" ca="1" si="68"/>
        <v>#N/A</v>
      </c>
      <c r="AV151" s="10" t="e">
        <f t="shared" ca="1" si="72"/>
        <v>#N/A</v>
      </c>
      <c r="AW151" s="10" t="e">
        <f t="shared" ca="1" si="73"/>
        <v>#N/A</v>
      </c>
      <c r="AY151" s="3" t="e">
        <f t="shared" ca="1" si="79"/>
        <v>#N/A</v>
      </c>
      <c r="AZ151" s="3" t="e">
        <f t="shared" ca="1" si="74"/>
        <v>#N/A</v>
      </c>
      <c r="BA151" s="3" t="e">
        <f t="shared" ca="1" si="69"/>
        <v>#N/A</v>
      </c>
      <c r="BB151" s="3" t="e">
        <f t="shared" ca="1" si="75"/>
        <v>#N/A</v>
      </c>
      <c r="BC151" s="3" t="e">
        <f t="shared" ca="1" si="76"/>
        <v>#N/A</v>
      </c>
      <c r="BD151" s="3" t="e">
        <f t="shared" ca="1" si="70"/>
        <v>#N/A</v>
      </c>
      <c r="BE151" s="3" t="e">
        <f t="shared" ca="1" si="77"/>
        <v>#N/A</v>
      </c>
      <c r="BF151" s="3" t="e">
        <f t="shared" ca="1" si="78"/>
        <v>#N/A</v>
      </c>
    </row>
    <row r="152" spans="1:58" ht="15" x14ac:dyDescent="0.25">
      <c r="A152" s="72">
        <v>86</v>
      </c>
      <c r="B152" s="72">
        <v>1498730164.779</v>
      </c>
      <c r="C152" s="73">
        <v>2.4664791799212102E-4</v>
      </c>
      <c r="D152" s="73">
        <v>-1.02279482330948E-4</v>
      </c>
      <c r="E152" s="73">
        <v>8.3331516020977204E-4</v>
      </c>
      <c r="F152" s="73">
        <v>7.8921752077667394E-5</v>
      </c>
      <c r="G152" s="73">
        <v>1.0120080527137099E-3</v>
      </c>
      <c r="H152" s="73">
        <v>1.7616433575558501E-5</v>
      </c>
      <c r="I152" s="73">
        <v>4.9526471779723596E-4</v>
      </c>
      <c r="J152" s="73">
        <v>6.8877415783028702E-3</v>
      </c>
      <c r="K152" s="73"/>
      <c r="L152" s="73"/>
      <c r="M152" s="73"/>
      <c r="O152" s="13">
        <f t="shared" ca="1" si="40"/>
        <v>-1.8039311279440559E-5</v>
      </c>
      <c r="P152" s="13">
        <f t="shared" ca="1" si="41"/>
        <v>-1.1356695771578817E-4</v>
      </c>
      <c r="Q152" s="13">
        <f t="shared" ca="1" si="42"/>
        <v>-7.4244577629133113E-6</v>
      </c>
      <c r="R152" s="13">
        <f t="shared" ca="1" si="43"/>
        <v>6.9145473186986274E-5</v>
      </c>
      <c r="S152" s="13">
        <f t="shared" ca="1" si="44"/>
        <v>-1.2307058052766356E-4</v>
      </c>
      <c r="T152" s="13">
        <f t="shared" ca="1" si="45"/>
        <v>1.7266612064534415E-5</v>
      </c>
      <c r="U152" s="13">
        <f t="shared" ca="1" si="46"/>
        <v>-1.5857927699128522E-4</v>
      </c>
      <c r="V152" s="13">
        <f t="shared" ca="1" si="47"/>
        <v>-2.5103934415129404E-4</v>
      </c>
      <c r="X152" s="3">
        <f t="shared" ca="1" si="48"/>
        <v>-1.8039311279440559E-5</v>
      </c>
      <c r="Y152" s="3">
        <f t="shared" ca="1" si="49"/>
        <v>-1.1356695771578817E-4</v>
      </c>
      <c r="Z152" s="3">
        <f t="shared" ca="1" si="50"/>
        <v>-7.5565602659469472E-6</v>
      </c>
      <c r="AA152" s="3">
        <f t="shared" ca="1" si="51"/>
        <v>6.5947992147649407E-5</v>
      </c>
      <c r="AB152" s="3">
        <f t="shared" ca="1" si="52"/>
        <v>-1.4632362339119789E-4</v>
      </c>
      <c r="AC152" s="3">
        <f t="shared" ca="1" si="53"/>
        <v>1.7266612064534415E-5</v>
      </c>
      <c r="AD152" s="3">
        <f t="shared" ca="1" si="54"/>
        <v>-1.9291842195599454E-4</v>
      </c>
      <c r="AE152" s="3">
        <f t="shared" ca="1" si="55"/>
        <v>-2.6497337034384354E-4</v>
      </c>
      <c r="AG152" s="3">
        <f t="shared" ca="1" si="56"/>
        <v>-1.8039311279440559E-5</v>
      </c>
      <c r="AH152" s="3">
        <f t="shared" ca="1" si="57"/>
        <v>-1.1356695771578817E-4</v>
      </c>
      <c r="AI152" s="3">
        <f t="shared" ca="1" si="58"/>
        <v>-7.5565602659469472E-6</v>
      </c>
      <c r="AJ152" s="3">
        <f t="shared" ca="1" si="59"/>
        <v>6.5947992147649407E-5</v>
      </c>
      <c r="AK152" s="3">
        <f t="shared" ca="1" si="60"/>
        <v>-1.4632362339119789E-4</v>
      </c>
      <c r="AL152" s="3">
        <f t="shared" ca="1" si="61"/>
        <v>1.7266612064534415E-5</v>
      </c>
      <c r="AM152" s="3">
        <f t="shared" ca="1" si="62"/>
        <v>-1.9291842195599454E-4</v>
      </c>
      <c r="AN152" s="3">
        <f t="shared" ca="1" si="63"/>
        <v>-2.6497337034384354E-4</v>
      </c>
      <c r="AP152" s="3" t="e">
        <f t="shared" ca="1" si="64"/>
        <v>#N/A</v>
      </c>
      <c r="AQ152" s="3" t="e">
        <f t="shared" ca="1" si="71"/>
        <v>#N/A</v>
      </c>
      <c r="AR152" s="3" t="e">
        <f t="shared" ca="1" si="65"/>
        <v>#N/A</v>
      </c>
      <c r="AS152" s="3" t="e">
        <f t="shared" ca="1" si="66"/>
        <v>#N/A</v>
      </c>
      <c r="AT152" s="3" t="e">
        <f t="shared" ca="1" si="67"/>
        <v>#N/A</v>
      </c>
      <c r="AU152" s="3" t="e">
        <f t="shared" ca="1" si="68"/>
        <v>#N/A</v>
      </c>
      <c r="AV152" s="10" t="e">
        <f t="shared" ca="1" si="72"/>
        <v>#N/A</v>
      </c>
      <c r="AW152" s="10" t="e">
        <f t="shared" ca="1" si="73"/>
        <v>#N/A</v>
      </c>
      <c r="AY152" s="3" t="e">
        <f t="shared" ca="1" si="79"/>
        <v>#N/A</v>
      </c>
      <c r="AZ152" s="3" t="e">
        <f t="shared" ca="1" si="74"/>
        <v>#N/A</v>
      </c>
      <c r="BA152" s="3" t="e">
        <f t="shared" ca="1" si="69"/>
        <v>#N/A</v>
      </c>
      <c r="BB152" s="3" t="e">
        <f t="shared" ca="1" si="75"/>
        <v>#N/A</v>
      </c>
      <c r="BC152" s="3" t="e">
        <f t="shared" ca="1" si="76"/>
        <v>#N/A</v>
      </c>
      <c r="BD152" s="3" t="e">
        <f t="shared" ca="1" si="70"/>
        <v>#N/A</v>
      </c>
      <c r="BE152" s="3" t="e">
        <f t="shared" ca="1" si="77"/>
        <v>#N/A</v>
      </c>
      <c r="BF152" s="3" t="e">
        <f t="shared" ca="1" si="78"/>
        <v>#N/A</v>
      </c>
    </row>
    <row r="153" spans="1:58" ht="15" x14ac:dyDescent="0.25">
      <c r="A153" s="72">
        <v>87</v>
      </c>
      <c r="B153" s="72">
        <v>1498730165.306</v>
      </c>
      <c r="C153" s="73">
        <v>3.0207957187066299E-4</v>
      </c>
      <c r="D153" s="73">
        <v>3.0235630619960701E-5</v>
      </c>
      <c r="E153" s="73">
        <v>7.9332685531285398E-4</v>
      </c>
      <c r="F153" s="73">
        <v>8.72778265525644E-6</v>
      </c>
      <c r="G153" s="73">
        <v>1.0599273078183201E-3</v>
      </c>
      <c r="H153" s="73">
        <v>-1.46745638829664E-5</v>
      </c>
      <c r="I153" s="73">
        <v>6.4938730139769995E-4</v>
      </c>
      <c r="J153" s="73">
        <v>7.01213691864717E-3</v>
      </c>
      <c r="K153" s="73"/>
      <c r="L153" s="73"/>
      <c r="M153" s="73"/>
      <c r="O153" s="13">
        <f t="shared" ca="1" si="40"/>
        <v>3.7392342599101402E-5</v>
      </c>
      <c r="P153" s="13">
        <f t="shared" ca="1" si="41"/>
        <v>1.894815523512053E-5</v>
      </c>
      <c r="Q153" s="13">
        <f t="shared" ca="1" si="42"/>
        <v>-4.7412762659831379E-5</v>
      </c>
      <c r="R153" s="13">
        <f t="shared" ca="1" si="43"/>
        <v>-1.0484962354246856E-6</v>
      </c>
      <c r="S153" s="13">
        <f t="shared" ca="1" si="44"/>
        <v>-7.5151325423053385E-5</v>
      </c>
      <c r="T153" s="13">
        <f t="shared" ca="1" si="45"/>
        <v>-1.5024385393990486E-5</v>
      </c>
      <c r="U153" s="13">
        <f t="shared" ca="1" si="46"/>
        <v>-4.4566933908212272E-6</v>
      </c>
      <c r="V153" s="13">
        <f t="shared" ca="1" si="47"/>
        <v>-1.2664400380699419E-4</v>
      </c>
      <c r="X153" s="3">
        <f t="shared" ca="1" si="48"/>
        <v>3.7392342599101402E-5</v>
      </c>
      <c r="Y153" s="3">
        <f t="shared" ca="1" si="49"/>
        <v>1.894815523512053E-5</v>
      </c>
      <c r="Z153" s="3">
        <f t="shared" ca="1" si="50"/>
        <v>-4.7412762659831379E-5</v>
      </c>
      <c r="AA153" s="3">
        <f t="shared" ca="1" si="51"/>
        <v>-1.0484962354246856E-6</v>
      </c>
      <c r="AB153" s="3">
        <f t="shared" ca="1" si="52"/>
        <v>-7.5151325423053385E-5</v>
      </c>
      <c r="AC153" s="3">
        <f t="shared" ca="1" si="53"/>
        <v>-1.5024385393990486E-5</v>
      </c>
      <c r="AD153" s="3">
        <f t="shared" ca="1" si="54"/>
        <v>-4.4566933908212272E-6</v>
      </c>
      <c r="AE153" s="3">
        <f t="shared" ca="1" si="55"/>
        <v>-1.2664400380699419E-4</v>
      </c>
      <c r="AG153" s="3">
        <f t="shared" ca="1" si="56"/>
        <v>3.7392342599101402E-5</v>
      </c>
      <c r="AH153" s="3">
        <f t="shared" ca="1" si="57"/>
        <v>1.894815523512053E-5</v>
      </c>
      <c r="AI153" s="3">
        <f t="shared" ca="1" si="58"/>
        <v>-6.2675401195855975E-5</v>
      </c>
      <c r="AJ153" s="3">
        <f t="shared" ca="1" si="59"/>
        <v>-9.4765662744410131E-6</v>
      </c>
      <c r="AK153" s="3">
        <f t="shared" ca="1" si="60"/>
        <v>-7.5151325423053385E-5</v>
      </c>
      <c r="AL153" s="3">
        <f t="shared" ca="1" si="61"/>
        <v>-1.5024385393990486E-5</v>
      </c>
      <c r="AM153" s="3">
        <f t="shared" ca="1" si="62"/>
        <v>-4.4566933908212272E-6</v>
      </c>
      <c r="AN153" s="3">
        <f t="shared" ca="1" si="63"/>
        <v>-1.2664400380699419E-4</v>
      </c>
      <c r="AP153" s="3" t="e">
        <f t="shared" ca="1" si="64"/>
        <v>#N/A</v>
      </c>
      <c r="AQ153" s="3" t="e">
        <f t="shared" ca="1" si="71"/>
        <v>#N/A</v>
      </c>
      <c r="AR153" s="3" t="e">
        <f t="shared" ca="1" si="65"/>
        <v>#N/A</v>
      </c>
      <c r="AS153" s="3" t="e">
        <f t="shared" ca="1" si="66"/>
        <v>#N/A</v>
      </c>
      <c r="AT153" s="3" t="e">
        <f t="shared" ca="1" si="67"/>
        <v>#N/A</v>
      </c>
      <c r="AU153" s="3" t="e">
        <f t="shared" ca="1" si="68"/>
        <v>#N/A</v>
      </c>
      <c r="AV153" s="10" t="e">
        <f t="shared" ca="1" si="72"/>
        <v>#N/A</v>
      </c>
      <c r="AW153" s="10" t="e">
        <f t="shared" ca="1" si="73"/>
        <v>#N/A</v>
      </c>
      <c r="AY153" s="3" t="e">
        <f t="shared" ca="1" si="79"/>
        <v>#N/A</v>
      </c>
      <c r="AZ153" s="3" t="e">
        <f t="shared" ca="1" si="74"/>
        <v>#N/A</v>
      </c>
      <c r="BA153" s="3" t="e">
        <f t="shared" ca="1" si="69"/>
        <v>#N/A</v>
      </c>
      <c r="BB153" s="3" t="e">
        <f t="shared" ca="1" si="75"/>
        <v>#N/A</v>
      </c>
      <c r="BC153" s="3" t="e">
        <f t="shared" ca="1" si="76"/>
        <v>#N/A</v>
      </c>
      <c r="BD153" s="3" t="e">
        <f t="shared" ca="1" si="70"/>
        <v>#N/A</v>
      </c>
      <c r="BE153" s="3" t="e">
        <f t="shared" ca="1" si="77"/>
        <v>#N/A</v>
      </c>
      <c r="BF153" s="3" t="e">
        <f t="shared" ca="1" si="78"/>
        <v>#N/A</v>
      </c>
    </row>
    <row r="154" spans="1:58" ht="15" x14ac:dyDescent="0.25">
      <c r="A154" s="72">
        <v>88</v>
      </c>
      <c r="B154" s="72">
        <v>1498730165.8329999</v>
      </c>
      <c r="C154" s="73">
        <v>2.2666472871619501E-4</v>
      </c>
      <c r="D154" s="73">
        <v>4.7952896136762599E-5</v>
      </c>
      <c r="E154" s="73">
        <v>6.8869432559927801E-4</v>
      </c>
      <c r="F154" s="73">
        <v>7.7969936444919694E-5</v>
      </c>
      <c r="G154" s="73">
        <v>1.11595521860871E-3</v>
      </c>
      <c r="H154" s="73">
        <v>-3.3118469579565299E-5</v>
      </c>
      <c r="I154" s="73">
        <v>6.2183822007004204E-4</v>
      </c>
      <c r="J154" s="73">
        <v>6.8602859522561696E-3</v>
      </c>
      <c r="K154" s="73"/>
      <c r="L154" s="73"/>
      <c r="M154" s="73"/>
      <c r="O154" s="13">
        <f t="shared" ca="1" si="40"/>
        <v>-3.8022500555366575E-5</v>
      </c>
      <c r="P154" s="13">
        <f t="shared" ca="1" si="41"/>
        <v>3.6665420751922427E-5</v>
      </c>
      <c r="Q154" s="13">
        <f t="shared" ca="1" si="42"/>
        <v>-1.5204529237340734E-4</v>
      </c>
      <c r="R154" s="13">
        <f t="shared" ca="1" si="43"/>
        <v>6.8193657554238573E-5</v>
      </c>
      <c r="S154" s="13">
        <f t="shared" ca="1" si="44"/>
        <v>-1.9123414632663503E-5</v>
      </c>
      <c r="T154" s="13">
        <f t="shared" ca="1" si="45"/>
        <v>-3.3468291090589389E-5</v>
      </c>
      <c r="U154" s="13">
        <f t="shared" ca="1" si="46"/>
        <v>-3.2005774718479136E-5</v>
      </c>
      <c r="V154" s="13">
        <f t="shared" ca="1" si="47"/>
        <v>-2.7849497019799465E-4</v>
      </c>
      <c r="X154" s="3">
        <f t="shared" ca="1" si="48"/>
        <v>-3.8022500555366575E-5</v>
      </c>
      <c r="Y154" s="3">
        <f t="shared" ca="1" si="49"/>
        <v>3.6665420751922427E-5</v>
      </c>
      <c r="Z154" s="3">
        <f t="shared" ca="1" si="50"/>
        <v>-1.5204529237340734E-4</v>
      </c>
      <c r="AA154" s="3">
        <f t="shared" ca="1" si="51"/>
        <v>6.8193657554238573E-5</v>
      </c>
      <c r="AB154" s="3">
        <f t="shared" ca="1" si="52"/>
        <v>-1.9123414632663503E-5</v>
      </c>
      <c r="AC154" s="3">
        <f t="shared" ca="1" si="53"/>
        <v>-3.3468291090589389E-5</v>
      </c>
      <c r="AD154" s="3">
        <f t="shared" ca="1" si="54"/>
        <v>-3.2005774718479136E-5</v>
      </c>
      <c r="AE154" s="3">
        <f t="shared" ca="1" si="55"/>
        <v>-2.7849497019799465E-4</v>
      </c>
      <c r="AG154" s="3">
        <f t="shared" ca="1" si="56"/>
        <v>-3.8022500555366575E-5</v>
      </c>
      <c r="AH154" s="3">
        <f t="shared" ca="1" si="57"/>
        <v>3.6665420751922427E-5</v>
      </c>
      <c r="AI154" s="3">
        <f t="shared" ca="1" si="58"/>
        <v>-1.81579094306305E-4</v>
      </c>
      <c r="AJ154" s="3">
        <f t="shared" ca="1" si="59"/>
        <v>5.1885012714004378E-5</v>
      </c>
      <c r="AK154" s="3">
        <f t="shared" ca="1" si="60"/>
        <v>-1.9123414632663503E-5</v>
      </c>
      <c r="AL154" s="3">
        <f t="shared" ca="1" si="61"/>
        <v>-3.3468291090589389E-5</v>
      </c>
      <c r="AM154" s="3">
        <f t="shared" ca="1" si="62"/>
        <v>-3.2005774718479136E-5</v>
      </c>
      <c r="AN154" s="3">
        <f t="shared" ca="1" si="63"/>
        <v>-2.7849497019799465E-4</v>
      </c>
      <c r="AP154" s="3" t="e">
        <f t="shared" ca="1" si="64"/>
        <v>#N/A</v>
      </c>
      <c r="AQ154" s="3" t="e">
        <f t="shared" ca="1" si="71"/>
        <v>#N/A</v>
      </c>
      <c r="AR154" s="3" t="e">
        <f t="shared" ca="1" si="65"/>
        <v>#N/A</v>
      </c>
      <c r="AS154" s="3" t="e">
        <f t="shared" ca="1" si="66"/>
        <v>#N/A</v>
      </c>
      <c r="AT154" s="3" t="e">
        <f t="shared" ca="1" si="67"/>
        <v>#N/A</v>
      </c>
      <c r="AU154" s="3" t="e">
        <f t="shared" ca="1" si="68"/>
        <v>#N/A</v>
      </c>
      <c r="AV154" s="10" t="e">
        <f t="shared" ca="1" si="72"/>
        <v>#N/A</v>
      </c>
      <c r="AW154" s="10" t="e">
        <f t="shared" ca="1" si="73"/>
        <v>#N/A</v>
      </c>
      <c r="AY154" s="3" t="e">
        <f t="shared" ca="1" si="79"/>
        <v>#N/A</v>
      </c>
      <c r="AZ154" s="3" t="e">
        <f t="shared" ca="1" si="74"/>
        <v>#N/A</v>
      </c>
      <c r="BA154" s="3" t="e">
        <f t="shared" ca="1" si="69"/>
        <v>#N/A</v>
      </c>
      <c r="BB154" s="3" t="e">
        <f t="shared" ca="1" si="75"/>
        <v>#N/A</v>
      </c>
      <c r="BC154" s="3" t="e">
        <f t="shared" ca="1" si="76"/>
        <v>#N/A</v>
      </c>
      <c r="BD154" s="3" t="e">
        <f t="shared" ca="1" si="70"/>
        <v>#N/A</v>
      </c>
      <c r="BE154" s="3" t="e">
        <f t="shared" ca="1" si="77"/>
        <v>#N/A</v>
      </c>
      <c r="BF154" s="3" t="e">
        <f t="shared" ca="1" si="78"/>
        <v>#N/A</v>
      </c>
    </row>
    <row r="155" spans="1:58" ht="15" x14ac:dyDescent="0.25">
      <c r="A155" s="72">
        <v>89</v>
      </c>
      <c r="B155" s="72">
        <v>1498730166.3599999</v>
      </c>
      <c r="C155" s="73">
        <v>3.82258695581823E-4</v>
      </c>
      <c r="D155" s="73">
        <v>3.2361685777444797E-5</v>
      </c>
      <c r="E155" s="73">
        <v>7.87819608582172E-4</v>
      </c>
      <c r="F155" s="73">
        <v>1.6339900254369599E-4</v>
      </c>
      <c r="G155" s="73">
        <v>1.14599700786964E-3</v>
      </c>
      <c r="H155" s="73">
        <v>1.7309300686255801E-5</v>
      </c>
      <c r="I155" s="73">
        <v>6.6696211275740704E-4</v>
      </c>
      <c r="J155" s="73">
        <v>6.9247481766460898E-3</v>
      </c>
      <c r="K155" s="73"/>
      <c r="L155" s="73"/>
      <c r="M155" s="73"/>
      <c r="O155" s="13">
        <f t="shared" ca="1" si="40"/>
        <v>1.1757146631026142E-4</v>
      </c>
      <c r="P155" s="13">
        <f t="shared" ca="1" si="41"/>
        <v>2.1074210392604626E-5</v>
      </c>
      <c r="Q155" s="13">
        <f t="shared" ca="1" si="42"/>
        <v>-5.2920009390513352E-5</v>
      </c>
      <c r="R155" s="13">
        <f t="shared" ca="1" si="43"/>
        <v>1.5362272365301486E-4</v>
      </c>
      <c r="S155" s="13">
        <f t="shared" ca="1" si="44"/>
        <v>1.0918374628266512E-5</v>
      </c>
      <c r="T155" s="13">
        <f t="shared" ca="1" si="45"/>
        <v>1.6959479175231715E-5</v>
      </c>
      <c r="U155" s="13">
        <f t="shared" ca="1" si="46"/>
        <v>1.3118117968885859E-5</v>
      </c>
      <c r="V155" s="13">
        <f t="shared" ca="1" si="47"/>
        <v>-2.1403274580807444E-4</v>
      </c>
      <c r="X155" s="3">
        <f t="shared" ca="1" si="48"/>
        <v>1.1757146631026142E-4</v>
      </c>
      <c r="Y155" s="3">
        <f t="shared" ca="1" si="49"/>
        <v>2.1074210392604626E-5</v>
      </c>
      <c r="Z155" s="3">
        <f t="shared" ca="1" si="50"/>
        <v>-5.3049762097113897E-5</v>
      </c>
      <c r="AA155" s="3">
        <f t="shared" ca="1" si="51"/>
        <v>1.5048211836825171E-4</v>
      </c>
      <c r="AB155" s="3">
        <f t="shared" ca="1" si="52"/>
        <v>-1.1921050658579101E-5</v>
      </c>
      <c r="AC155" s="3">
        <f t="shared" ca="1" si="53"/>
        <v>1.6959479175231715E-5</v>
      </c>
      <c r="AD155" s="3">
        <f t="shared" ca="1" si="54"/>
        <v>-2.0610213434380339E-5</v>
      </c>
      <c r="AE155" s="3">
        <f t="shared" ca="1" si="55"/>
        <v>-2.2771891806679245E-4</v>
      </c>
      <c r="AG155" s="3">
        <f t="shared" ca="1" si="56"/>
        <v>1.1757146631026142E-4</v>
      </c>
      <c r="AH155" s="3">
        <f t="shared" ca="1" si="57"/>
        <v>2.1074210392604626E-5</v>
      </c>
      <c r="AI155" s="3">
        <f t="shared" ca="1" si="58"/>
        <v>-7.0024926785351241E-5</v>
      </c>
      <c r="AJ155" s="3">
        <f t="shared" ca="1" si="59"/>
        <v>1.4110838678320394E-4</v>
      </c>
      <c r="AK155" s="3">
        <f t="shared" ca="1" si="60"/>
        <v>-1.1921050658579101E-5</v>
      </c>
      <c r="AL155" s="3">
        <f t="shared" ca="1" si="61"/>
        <v>1.6959479175231715E-5</v>
      </c>
      <c r="AM155" s="3">
        <f t="shared" ca="1" si="62"/>
        <v>-2.0610213434380339E-5</v>
      </c>
      <c r="AN155" s="3">
        <f t="shared" ca="1" si="63"/>
        <v>-2.2771891806679245E-4</v>
      </c>
      <c r="AP155" s="3" t="e">
        <f t="shared" ca="1" si="64"/>
        <v>#N/A</v>
      </c>
      <c r="AQ155" s="3" t="e">
        <f t="shared" ca="1" si="71"/>
        <v>#N/A</v>
      </c>
      <c r="AR155" s="3" t="e">
        <f t="shared" ca="1" si="65"/>
        <v>#N/A</v>
      </c>
      <c r="AS155" s="3" t="e">
        <f t="shared" ca="1" si="66"/>
        <v>#N/A</v>
      </c>
      <c r="AT155" s="3" t="e">
        <f t="shared" ca="1" si="67"/>
        <v>#N/A</v>
      </c>
      <c r="AU155" s="3" t="e">
        <f t="shared" ca="1" si="68"/>
        <v>#N/A</v>
      </c>
      <c r="AV155" s="10" t="e">
        <f t="shared" ca="1" si="72"/>
        <v>#N/A</v>
      </c>
      <c r="AW155" s="10" t="e">
        <f t="shared" ca="1" si="73"/>
        <v>#N/A</v>
      </c>
      <c r="AY155" s="3" t="e">
        <f t="shared" ca="1" si="79"/>
        <v>#N/A</v>
      </c>
      <c r="AZ155" s="3" t="e">
        <f t="shared" ca="1" si="74"/>
        <v>#N/A</v>
      </c>
      <c r="BA155" s="3" t="e">
        <f t="shared" ca="1" si="69"/>
        <v>#N/A</v>
      </c>
      <c r="BB155" s="3" t="e">
        <f t="shared" ca="1" si="75"/>
        <v>#N/A</v>
      </c>
      <c r="BC155" s="3" t="e">
        <f t="shared" ca="1" si="76"/>
        <v>#N/A</v>
      </c>
      <c r="BD155" s="3" t="e">
        <f t="shared" ca="1" si="70"/>
        <v>#N/A</v>
      </c>
      <c r="BE155" s="3" t="e">
        <f t="shared" ca="1" si="77"/>
        <v>#N/A</v>
      </c>
      <c r="BF155" s="3" t="e">
        <f t="shared" ca="1" si="78"/>
        <v>#N/A</v>
      </c>
    </row>
    <row r="156" spans="1:58" ht="15" x14ac:dyDescent="0.25">
      <c r="A156" s="72">
        <v>90</v>
      </c>
      <c r="B156" s="72">
        <v>1498730166.8859999</v>
      </c>
      <c r="C156" s="73">
        <v>4.4007731074344799E-4</v>
      </c>
      <c r="D156" s="73">
        <v>1.21896366287558E-4</v>
      </c>
      <c r="E156" s="73">
        <v>8.6348702976571899E-4</v>
      </c>
      <c r="F156" s="73">
        <v>1.0128968060156701E-4</v>
      </c>
      <c r="G156" s="73">
        <v>1.2575886960294899E-3</v>
      </c>
      <c r="H156" s="73">
        <v>8.2986497628638703E-5</v>
      </c>
      <c r="I156" s="73">
        <v>7.3417674716207398E-4</v>
      </c>
      <c r="J156" s="73">
        <v>6.9942287692302497E-3</v>
      </c>
      <c r="K156" s="73"/>
      <c r="L156" s="73"/>
      <c r="M156" s="73"/>
      <c r="O156" s="13">
        <f t="shared" ca="1" si="40"/>
        <v>1.7539008147188641E-4</v>
      </c>
      <c r="P156" s="13">
        <f t="shared" ca="1" si="41"/>
        <v>1.1060889090271782E-4</v>
      </c>
      <c r="Q156" s="13">
        <f t="shared" ca="1" si="42"/>
        <v>2.2747411793033637E-5</v>
      </c>
      <c r="R156" s="13">
        <f t="shared" ca="1" si="43"/>
        <v>9.1513401710885886E-5</v>
      </c>
      <c r="S156" s="13">
        <f t="shared" ca="1" si="44"/>
        <v>1.2251006278811644E-4</v>
      </c>
      <c r="T156" s="13">
        <f t="shared" ca="1" si="45"/>
        <v>8.2636676117614613E-5</v>
      </c>
      <c r="U156" s="13">
        <f t="shared" ca="1" si="46"/>
        <v>8.0332752373552798E-5</v>
      </c>
      <c r="V156" s="13">
        <f t="shared" ca="1" si="47"/>
        <v>-1.4455215322391451E-4</v>
      </c>
      <c r="X156" s="3">
        <f t="shared" ca="1" si="48"/>
        <v>1.7539008147188641E-4</v>
      </c>
      <c r="Y156" s="3">
        <f t="shared" ca="1" si="49"/>
        <v>1.1060889090271782E-4</v>
      </c>
      <c r="Z156" s="3">
        <f t="shared" ca="1" si="50"/>
        <v>2.2115179383067165E-5</v>
      </c>
      <c r="AA156" s="3">
        <f t="shared" ca="1" si="51"/>
        <v>7.6210503606015563E-5</v>
      </c>
      <c r="AB156" s="3">
        <f t="shared" ca="1" si="52"/>
        <v>1.122278971560882E-5</v>
      </c>
      <c r="AC156" s="3">
        <f t="shared" ca="1" si="53"/>
        <v>8.2636676117614613E-5</v>
      </c>
      <c r="AD156" s="3">
        <f t="shared" ca="1" si="54"/>
        <v>-8.4011751921709432E-5</v>
      </c>
      <c r="AE156" s="3">
        <f t="shared" ca="1" si="55"/>
        <v>-2.1123932990828399E-4</v>
      </c>
      <c r="AG156" s="3">
        <f t="shared" ca="1" si="56"/>
        <v>1.7539008147188641E-4</v>
      </c>
      <c r="AH156" s="3">
        <f t="shared" ca="1" si="57"/>
        <v>1.1060889090271782E-4</v>
      </c>
      <c r="AI156" s="3">
        <f t="shared" ca="1" si="58"/>
        <v>-6.6979695541205276E-5</v>
      </c>
      <c r="AJ156" s="3">
        <f t="shared" ca="1" si="59"/>
        <v>2.7012074107288067E-5</v>
      </c>
      <c r="AK156" s="3">
        <f t="shared" ca="1" si="60"/>
        <v>1.122278971560882E-5</v>
      </c>
      <c r="AL156" s="3">
        <f t="shared" ca="1" si="61"/>
        <v>8.2636676117614613E-5</v>
      </c>
      <c r="AM156" s="3">
        <f t="shared" ca="1" si="62"/>
        <v>-8.4011751921709432E-5</v>
      </c>
      <c r="AN156" s="3">
        <f t="shared" ca="1" si="63"/>
        <v>-2.1123932990828399E-4</v>
      </c>
      <c r="AP156" s="3" t="e">
        <f t="shared" ca="1" si="64"/>
        <v>#N/A</v>
      </c>
      <c r="AQ156" s="3" t="e">
        <f t="shared" ca="1" si="71"/>
        <v>#N/A</v>
      </c>
      <c r="AR156" s="3" t="e">
        <f t="shared" ca="1" si="65"/>
        <v>#N/A</v>
      </c>
      <c r="AS156" s="3" t="e">
        <f t="shared" ca="1" si="66"/>
        <v>#N/A</v>
      </c>
      <c r="AT156" s="3" t="e">
        <f t="shared" ca="1" si="67"/>
        <v>#N/A</v>
      </c>
      <c r="AU156" s="3" t="e">
        <f t="shared" ca="1" si="68"/>
        <v>#N/A</v>
      </c>
      <c r="AV156" s="10" t="e">
        <f t="shared" ca="1" si="72"/>
        <v>#N/A</v>
      </c>
      <c r="AW156" s="10" t="e">
        <f t="shared" ca="1" si="73"/>
        <v>#N/A</v>
      </c>
      <c r="AY156" s="3" t="e">
        <f t="shared" ca="1" si="79"/>
        <v>#N/A</v>
      </c>
      <c r="AZ156" s="3" t="e">
        <f t="shared" ca="1" si="74"/>
        <v>#N/A</v>
      </c>
      <c r="BA156" s="3" t="e">
        <f t="shared" ca="1" si="69"/>
        <v>#N/A</v>
      </c>
      <c r="BB156" s="3" t="e">
        <f t="shared" ca="1" si="75"/>
        <v>#N/A</v>
      </c>
      <c r="BC156" s="3" t="e">
        <f t="shared" ca="1" si="76"/>
        <v>#N/A</v>
      </c>
      <c r="BD156" s="3" t="e">
        <f t="shared" ca="1" si="70"/>
        <v>#N/A</v>
      </c>
      <c r="BE156" s="3" t="e">
        <f t="shared" ca="1" si="77"/>
        <v>#N/A</v>
      </c>
      <c r="BF156" s="3" t="e">
        <f t="shared" ca="1" si="78"/>
        <v>#N/A</v>
      </c>
    </row>
    <row r="157" spans="1:58" ht="15" x14ac:dyDescent="0.25">
      <c r="A157" s="72">
        <v>91</v>
      </c>
      <c r="B157" s="72">
        <v>1498730167.4130001</v>
      </c>
      <c r="C157" s="73">
        <v>3.8892075220509E-4</v>
      </c>
      <c r="D157" s="73">
        <v>9.9452877559919896E-5</v>
      </c>
      <c r="E157" s="73">
        <v>8.2900496704035496E-4</v>
      </c>
      <c r="F157" s="73">
        <v>-3.1958666257483897E-5</v>
      </c>
      <c r="G157" s="73">
        <v>1.1641178884108001E-3</v>
      </c>
      <c r="H157" s="73">
        <v>3.7794785389280403E-5</v>
      </c>
      <c r="I157" s="73">
        <v>6.2397562157486799E-4</v>
      </c>
      <c r="J157" s="73">
        <v>6.8547949172445503E-3</v>
      </c>
      <c r="K157" s="73"/>
      <c r="L157" s="73"/>
      <c r="M157" s="73"/>
      <c r="O157" s="13">
        <f t="shared" ca="1" si="40"/>
        <v>1.2423352293352842E-4</v>
      </c>
      <c r="P157" s="13">
        <f t="shared" ca="1" si="41"/>
        <v>8.8165402175079718E-5</v>
      </c>
      <c r="Q157" s="13">
        <f t="shared" ca="1" si="42"/>
        <v>-1.1734650932330396E-5</v>
      </c>
      <c r="R157" s="13">
        <f t="shared" ca="1" si="43"/>
        <v>-4.1734945148165025E-5</v>
      </c>
      <c r="S157" s="13">
        <f t="shared" ca="1" si="44"/>
        <v>2.9039255169426622E-5</v>
      </c>
      <c r="T157" s="13">
        <f t="shared" ca="1" si="45"/>
        <v>3.7444963878256313E-5</v>
      </c>
      <c r="U157" s="13">
        <f t="shared" ca="1" si="46"/>
        <v>-2.9868373213653185E-5</v>
      </c>
      <c r="V157" s="13">
        <f t="shared" ca="1" si="47"/>
        <v>-2.8398600520961395E-4</v>
      </c>
      <c r="X157" s="3">
        <f t="shared" ca="1" si="48"/>
        <v>1.2423352293352842E-4</v>
      </c>
      <c r="Y157" s="3">
        <f t="shared" ca="1" si="49"/>
        <v>8.8165402175079718E-5</v>
      </c>
      <c r="Z157" s="3">
        <f t="shared" ca="1" si="50"/>
        <v>-1.2021132926356427E-5</v>
      </c>
      <c r="AA157" s="3">
        <f t="shared" ca="1" si="51"/>
        <v>-4.8669111594476909E-5</v>
      </c>
      <c r="AB157" s="3">
        <f t="shared" ca="1" si="52"/>
        <v>-2.1388086733564516E-5</v>
      </c>
      <c r="AC157" s="3">
        <f t="shared" ca="1" si="53"/>
        <v>3.7444963878256313E-5</v>
      </c>
      <c r="AD157" s="3">
        <f t="shared" ca="1" si="54"/>
        <v>-1.0433741427439704E-4</v>
      </c>
      <c r="AE157" s="3">
        <f t="shared" ca="1" si="55"/>
        <v>-3.1420380969312265E-4</v>
      </c>
      <c r="AG157" s="3">
        <f t="shared" ca="1" si="56"/>
        <v>1.2423352293352842E-4</v>
      </c>
      <c r="AH157" s="3">
        <f t="shared" ca="1" si="57"/>
        <v>8.8165402175079718E-5</v>
      </c>
      <c r="AI157" s="3">
        <f t="shared" ca="1" si="58"/>
        <v>-8.303789672652482E-5</v>
      </c>
      <c r="AJ157" s="3">
        <f t="shared" ca="1" si="59"/>
        <v>-8.7884759520578972E-5</v>
      </c>
      <c r="AK157" s="3">
        <f t="shared" ca="1" si="60"/>
        <v>-2.1388086733564516E-5</v>
      </c>
      <c r="AL157" s="3">
        <f t="shared" ca="1" si="61"/>
        <v>3.7444963878256313E-5</v>
      </c>
      <c r="AM157" s="3">
        <f t="shared" ca="1" si="62"/>
        <v>-1.0433741427439704E-4</v>
      </c>
      <c r="AN157" s="3">
        <f t="shared" ca="1" si="63"/>
        <v>-3.1420380969312265E-4</v>
      </c>
      <c r="AP157" s="3" t="e">
        <f t="shared" ca="1" si="64"/>
        <v>#N/A</v>
      </c>
      <c r="AQ157" s="3" t="e">
        <f t="shared" ca="1" si="71"/>
        <v>#N/A</v>
      </c>
      <c r="AR157" s="3" t="e">
        <f t="shared" ca="1" si="65"/>
        <v>#N/A</v>
      </c>
      <c r="AS157" s="3" t="e">
        <f t="shared" ca="1" si="66"/>
        <v>#N/A</v>
      </c>
      <c r="AT157" s="3" t="e">
        <f t="shared" ca="1" si="67"/>
        <v>#N/A</v>
      </c>
      <c r="AU157" s="3" t="e">
        <f t="shared" ca="1" si="68"/>
        <v>#N/A</v>
      </c>
      <c r="AV157" s="10" t="e">
        <f t="shared" ca="1" si="72"/>
        <v>#N/A</v>
      </c>
      <c r="AW157" s="10" t="e">
        <f t="shared" ca="1" si="73"/>
        <v>#N/A</v>
      </c>
      <c r="AY157" s="3" t="e">
        <f t="shared" ca="1" si="79"/>
        <v>#N/A</v>
      </c>
      <c r="AZ157" s="3" t="e">
        <f t="shared" ca="1" si="74"/>
        <v>#N/A</v>
      </c>
      <c r="BA157" s="3" t="e">
        <f t="shared" ca="1" si="69"/>
        <v>#N/A</v>
      </c>
      <c r="BB157" s="3" t="e">
        <f t="shared" ca="1" si="75"/>
        <v>#N/A</v>
      </c>
      <c r="BC157" s="3" t="e">
        <f t="shared" ca="1" si="76"/>
        <v>#N/A</v>
      </c>
      <c r="BD157" s="3" t="e">
        <f t="shared" ca="1" si="70"/>
        <v>#N/A</v>
      </c>
      <c r="BE157" s="3" t="e">
        <f t="shared" ca="1" si="77"/>
        <v>#N/A</v>
      </c>
      <c r="BF157" s="3" t="e">
        <f t="shared" ca="1" si="78"/>
        <v>#N/A</v>
      </c>
    </row>
    <row r="158" spans="1:58" ht="15" x14ac:dyDescent="0.25">
      <c r="A158" s="72">
        <v>92</v>
      </c>
      <c r="B158" s="72">
        <v>1498730167.9400001</v>
      </c>
      <c r="C158" s="73">
        <v>3.29439676855161E-4</v>
      </c>
      <c r="D158" s="73">
        <v>3.0944315166230801E-5</v>
      </c>
      <c r="E158" s="73">
        <v>7.6531204421621899E-4</v>
      </c>
      <c r="F158" s="73">
        <v>3.0380311396348801E-5</v>
      </c>
      <c r="G158" s="73">
        <v>1.0701789888376101E-3</v>
      </c>
      <c r="H158" s="73">
        <v>2.24361819381341E-5</v>
      </c>
      <c r="I158" s="73">
        <v>6.8049967851608998E-4</v>
      </c>
      <c r="J158" s="73">
        <v>6.9039765629956701E-3</v>
      </c>
      <c r="K158" s="73"/>
      <c r="L158" s="73"/>
      <c r="M158" s="73"/>
      <c r="O158" s="13">
        <f t="shared" ca="1" si="40"/>
        <v>6.4752447583599421E-5</v>
      </c>
      <c r="P158" s="13">
        <f t="shared" ca="1" si="41"/>
        <v>1.9656839781390629E-5</v>
      </c>
      <c r="Q158" s="13">
        <f t="shared" ca="1" si="42"/>
        <v>-7.5427573756466364E-5</v>
      </c>
      <c r="R158" s="13">
        <f t="shared" ca="1" si="43"/>
        <v>2.0604032505667674E-5</v>
      </c>
      <c r="S158" s="13">
        <f t="shared" ca="1" si="44"/>
        <v>-6.4899644403763413E-5</v>
      </c>
      <c r="T158" s="13">
        <f t="shared" ca="1" si="45"/>
        <v>2.2086360427110014E-5</v>
      </c>
      <c r="U158" s="13">
        <f t="shared" ca="1" si="46"/>
        <v>2.6655683727568806E-5</v>
      </c>
      <c r="V158" s="13">
        <f t="shared" ca="1" si="47"/>
        <v>-2.3480435945849414E-4</v>
      </c>
      <c r="X158" s="3">
        <f t="shared" ca="1" si="48"/>
        <v>6.4752447583599421E-5</v>
      </c>
      <c r="Y158" s="3">
        <f t="shared" ca="1" si="49"/>
        <v>1.9656839781390629E-5</v>
      </c>
      <c r="Z158" s="3">
        <f t="shared" ca="1" si="50"/>
        <v>-7.5596550941128845E-5</v>
      </c>
      <c r="AA158" s="3">
        <f t="shared" ca="1" si="51"/>
        <v>1.65140165587235E-5</v>
      </c>
      <c r="AB158" s="3">
        <f t="shared" ca="1" si="52"/>
        <v>-9.4643469294920817E-5</v>
      </c>
      <c r="AC158" s="3">
        <f t="shared" ca="1" si="53"/>
        <v>2.2086360427110014E-5</v>
      </c>
      <c r="AD158" s="3">
        <f t="shared" ca="1" si="54"/>
        <v>-1.726878330827533E-5</v>
      </c>
      <c r="AE158" s="3">
        <f t="shared" ca="1" si="55"/>
        <v>-2.5262788636343697E-4</v>
      </c>
      <c r="AG158" s="3">
        <f t="shared" ca="1" si="56"/>
        <v>6.4752447583599421E-5</v>
      </c>
      <c r="AH158" s="3">
        <f t="shared" ca="1" si="57"/>
        <v>1.9656839781390629E-5</v>
      </c>
      <c r="AI158" s="3">
        <f t="shared" ca="1" si="58"/>
        <v>-9.1430031120129799E-5</v>
      </c>
      <c r="AJ158" s="3">
        <f t="shared" ca="1" si="59"/>
        <v>7.7707262295302055E-6</v>
      </c>
      <c r="AK158" s="3">
        <f t="shared" ca="1" si="60"/>
        <v>-9.4643469294920817E-5</v>
      </c>
      <c r="AL158" s="3">
        <f t="shared" ca="1" si="61"/>
        <v>2.2086360427110014E-5</v>
      </c>
      <c r="AM158" s="3">
        <f t="shared" ca="1" si="62"/>
        <v>-1.726878330827533E-5</v>
      </c>
      <c r="AN158" s="3">
        <f t="shared" ca="1" si="63"/>
        <v>-2.5262788636343697E-4</v>
      </c>
      <c r="AP158" s="3" t="e">
        <f t="shared" ca="1" si="64"/>
        <v>#N/A</v>
      </c>
      <c r="AQ158" s="3" t="e">
        <f t="shared" ca="1" si="71"/>
        <v>#N/A</v>
      </c>
      <c r="AR158" s="3" t="e">
        <f t="shared" ca="1" si="65"/>
        <v>#N/A</v>
      </c>
      <c r="AS158" s="3" t="e">
        <f t="shared" ca="1" si="66"/>
        <v>#N/A</v>
      </c>
      <c r="AT158" s="3" t="e">
        <f t="shared" ca="1" si="67"/>
        <v>#N/A</v>
      </c>
      <c r="AU158" s="3" t="e">
        <f t="shared" ca="1" si="68"/>
        <v>#N/A</v>
      </c>
      <c r="AV158" s="10" t="e">
        <f t="shared" ca="1" si="72"/>
        <v>#N/A</v>
      </c>
      <c r="AW158" s="10" t="e">
        <f t="shared" ca="1" si="73"/>
        <v>#N/A</v>
      </c>
      <c r="AY158" s="3" t="e">
        <f t="shared" ca="1" si="79"/>
        <v>#N/A</v>
      </c>
      <c r="AZ158" s="3" t="e">
        <f t="shared" ca="1" si="74"/>
        <v>#N/A</v>
      </c>
      <c r="BA158" s="3" t="e">
        <f t="shared" ca="1" si="69"/>
        <v>#N/A</v>
      </c>
      <c r="BB158" s="3" t="e">
        <f t="shared" ca="1" si="75"/>
        <v>#N/A</v>
      </c>
      <c r="BC158" s="3" t="e">
        <f t="shared" ca="1" si="76"/>
        <v>#N/A</v>
      </c>
      <c r="BD158" s="3" t="e">
        <f t="shared" ca="1" si="70"/>
        <v>#N/A</v>
      </c>
      <c r="BE158" s="3" t="e">
        <f t="shared" ca="1" si="77"/>
        <v>#N/A</v>
      </c>
      <c r="BF158" s="3" t="e">
        <f t="shared" ca="1" si="78"/>
        <v>#N/A</v>
      </c>
    </row>
    <row r="159" spans="1:58" ht="15" x14ac:dyDescent="0.25">
      <c r="A159" s="72">
        <v>93</v>
      </c>
      <c r="B159" s="72">
        <v>1498730168.467</v>
      </c>
      <c r="C159" s="73">
        <v>1.6766907449468899E-4</v>
      </c>
      <c r="D159" s="73">
        <v>4.4871020747653903E-6</v>
      </c>
      <c r="E159" s="73">
        <v>8.1128547813429498E-4</v>
      </c>
      <c r="F159" s="73">
        <v>2.27661818379189E-5</v>
      </c>
      <c r="G159" s="73">
        <v>9.9388992747273096E-4</v>
      </c>
      <c r="H159" s="73">
        <v>-2.6317531004841801E-5</v>
      </c>
      <c r="I159" s="73">
        <v>7.0543778047000498E-4</v>
      </c>
      <c r="J159" s="73">
        <v>6.9252256900645404E-3</v>
      </c>
      <c r="K159" s="73"/>
      <c r="L159" s="73"/>
      <c r="M159" s="73"/>
      <c r="O159" s="13">
        <f t="shared" ca="1" si="40"/>
        <v>-9.7018154776872591E-5</v>
      </c>
      <c r="P159" s="13">
        <f t="shared" ca="1" si="41"/>
        <v>-6.8003733100747829E-6</v>
      </c>
      <c r="Q159" s="13">
        <f t="shared" ca="1" si="42"/>
        <v>-2.9454139838390372E-5</v>
      </c>
      <c r="R159" s="13">
        <f t="shared" ca="1" si="43"/>
        <v>1.2989902947237775E-5</v>
      </c>
      <c r="S159" s="13">
        <f t="shared" ca="1" si="44"/>
        <v>-1.4118870576864252E-4</v>
      </c>
      <c r="T159" s="13">
        <f t="shared" ca="1" si="45"/>
        <v>-2.6667352515865888E-5</v>
      </c>
      <c r="U159" s="13">
        <f t="shared" ca="1" si="46"/>
        <v>5.15937856814838E-5</v>
      </c>
      <c r="V159" s="13">
        <f t="shared" ca="1" si="47"/>
        <v>-2.1355523238962386E-4</v>
      </c>
      <c r="X159" s="3">
        <f t="shared" ca="1" si="48"/>
        <v>-9.7018154776872591E-5</v>
      </c>
      <c r="Y159" s="3">
        <f t="shared" ca="1" si="49"/>
        <v>-6.8003733100747829E-6</v>
      </c>
      <c r="Z159" s="3">
        <f t="shared" ca="1" si="50"/>
        <v>-2.9454139838390372E-5</v>
      </c>
      <c r="AA159" s="3">
        <f t="shared" ca="1" si="51"/>
        <v>1.2989902947237775E-5</v>
      </c>
      <c r="AB159" s="3">
        <f t="shared" ca="1" si="52"/>
        <v>-1.4118870576864252E-4</v>
      </c>
      <c r="AC159" s="3">
        <f t="shared" ca="1" si="53"/>
        <v>-2.6667352515865888E-5</v>
      </c>
      <c r="AD159" s="3">
        <f t="shared" ca="1" si="54"/>
        <v>5.15937856814838E-5</v>
      </c>
      <c r="AE159" s="3">
        <f t="shared" ca="1" si="55"/>
        <v>-2.1355523238962386E-4</v>
      </c>
      <c r="AG159" s="3">
        <f t="shared" ca="1" si="56"/>
        <v>-9.7018154776872591E-5</v>
      </c>
      <c r="AH159" s="3">
        <f t="shared" ca="1" si="57"/>
        <v>-6.8003733100747829E-6</v>
      </c>
      <c r="AI159" s="3">
        <f t="shared" ca="1" si="58"/>
        <v>-2.9454139838390372E-5</v>
      </c>
      <c r="AJ159" s="3">
        <f t="shared" ca="1" si="59"/>
        <v>1.2989902947237775E-5</v>
      </c>
      <c r="AK159" s="3">
        <f t="shared" ca="1" si="60"/>
        <v>-1.4118870576864252E-4</v>
      </c>
      <c r="AL159" s="3">
        <f t="shared" ca="1" si="61"/>
        <v>-2.6667352515865888E-5</v>
      </c>
      <c r="AM159" s="3">
        <f t="shared" ca="1" si="62"/>
        <v>5.15937856814838E-5</v>
      </c>
      <c r="AN159" s="3">
        <f t="shared" ca="1" si="63"/>
        <v>-2.1355523238962386E-4</v>
      </c>
      <c r="AP159" s="3" t="e">
        <f t="shared" ca="1" si="64"/>
        <v>#N/A</v>
      </c>
      <c r="AQ159" s="3" t="e">
        <f t="shared" ca="1" si="71"/>
        <v>#N/A</v>
      </c>
      <c r="AR159" s="3" t="e">
        <f t="shared" ca="1" si="65"/>
        <v>#N/A</v>
      </c>
      <c r="AS159" s="3" t="e">
        <f t="shared" ca="1" si="66"/>
        <v>#N/A</v>
      </c>
      <c r="AT159" s="3" t="e">
        <f t="shared" ca="1" si="67"/>
        <v>#N/A</v>
      </c>
      <c r="AU159" s="3" t="e">
        <f t="shared" ca="1" si="68"/>
        <v>#N/A</v>
      </c>
      <c r="AV159" s="10" t="e">
        <f t="shared" ca="1" si="72"/>
        <v>#N/A</v>
      </c>
      <c r="AW159" s="10" t="e">
        <f t="shared" ca="1" si="73"/>
        <v>#N/A</v>
      </c>
      <c r="AY159" s="3" t="e">
        <f t="shared" ca="1" si="79"/>
        <v>#N/A</v>
      </c>
      <c r="AZ159" s="3" t="e">
        <f t="shared" ca="1" si="74"/>
        <v>#N/A</v>
      </c>
      <c r="BA159" s="3" t="e">
        <f t="shared" ca="1" si="69"/>
        <v>#N/A</v>
      </c>
      <c r="BB159" s="3" t="e">
        <f t="shared" ca="1" si="75"/>
        <v>#N/A</v>
      </c>
      <c r="BC159" s="3" t="e">
        <f t="shared" ca="1" si="76"/>
        <v>#N/A</v>
      </c>
      <c r="BD159" s="3" t="e">
        <f t="shared" ca="1" si="70"/>
        <v>#N/A</v>
      </c>
      <c r="BE159" s="3" t="e">
        <f t="shared" ca="1" si="77"/>
        <v>#N/A</v>
      </c>
      <c r="BF159" s="3" t="e">
        <f t="shared" ca="1" si="78"/>
        <v>#N/A</v>
      </c>
    </row>
    <row r="160" spans="1:58" ht="15" x14ac:dyDescent="0.25">
      <c r="A160" s="72">
        <v>94</v>
      </c>
      <c r="B160" s="72">
        <v>1498730168.994</v>
      </c>
      <c r="C160" s="73">
        <v>3.2277801703615701E-4</v>
      </c>
      <c r="D160" s="73">
        <v>-1.02279482330948E-4</v>
      </c>
      <c r="E160" s="73">
        <v>8.2756824008996905E-4</v>
      </c>
      <c r="F160" s="73">
        <v>1.1532938101149301E-4</v>
      </c>
      <c r="G160" s="73">
        <v>1.1703172123754501E-3</v>
      </c>
      <c r="H160" s="73">
        <v>-4.6034245864625297E-5</v>
      </c>
      <c r="I160" s="73">
        <v>5.9428989938870101E-4</v>
      </c>
      <c r="J160" s="73">
        <v>6.8268627263499198E-3</v>
      </c>
      <c r="K160" s="73"/>
      <c r="L160" s="73"/>
      <c r="M160" s="73"/>
      <c r="O160" s="13">
        <f t="shared" ca="1" si="40"/>
        <v>5.8090787764595426E-5</v>
      </c>
      <c r="P160" s="13">
        <f t="shared" ca="1" si="41"/>
        <v>-1.1356695771578817E-4</v>
      </c>
      <c r="Q160" s="13">
        <f t="shared" ca="1" si="42"/>
        <v>-1.3171377882716302E-5</v>
      </c>
      <c r="R160" s="13">
        <f t="shared" ca="1" si="43"/>
        <v>1.0555310212081189E-4</v>
      </c>
      <c r="S160" s="13">
        <f t="shared" ca="1" si="44"/>
        <v>3.5238579134076568E-5</v>
      </c>
      <c r="T160" s="13">
        <f t="shared" ca="1" si="45"/>
        <v>-4.6384067375649387E-5</v>
      </c>
      <c r="U160" s="13">
        <f t="shared" ca="1" si="46"/>
        <v>-5.955409539982017E-5</v>
      </c>
      <c r="V160" s="13">
        <f t="shared" ca="1" si="47"/>
        <v>-3.1191819610424439E-4</v>
      </c>
      <c r="X160" s="3">
        <f t="shared" ca="1" si="48"/>
        <v>5.8090787764595426E-5</v>
      </c>
      <c r="Y160" s="3">
        <f t="shared" ca="1" si="49"/>
        <v>-1.1356695771578817E-4</v>
      </c>
      <c r="Z160" s="3">
        <f t="shared" ca="1" si="50"/>
        <v>-1.3171377882716302E-5</v>
      </c>
      <c r="AA160" s="3">
        <f t="shared" ca="1" si="51"/>
        <v>1.0555310212081189E-4</v>
      </c>
      <c r="AB160" s="3">
        <f t="shared" ca="1" si="52"/>
        <v>3.5238579134076568E-5</v>
      </c>
      <c r="AC160" s="3">
        <f t="shared" ca="1" si="53"/>
        <v>-4.6384067375649387E-5</v>
      </c>
      <c r="AD160" s="3">
        <f t="shared" ca="1" si="54"/>
        <v>-5.955409539982017E-5</v>
      </c>
      <c r="AE160" s="3">
        <f t="shared" ca="1" si="55"/>
        <v>-3.1191819610424439E-4</v>
      </c>
      <c r="AG160" s="3">
        <f t="shared" ca="1" si="56"/>
        <v>5.8090787764595426E-5</v>
      </c>
      <c r="AH160" s="3">
        <f t="shared" ca="1" si="57"/>
        <v>-1.1356695771578817E-4</v>
      </c>
      <c r="AI160" s="3">
        <f t="shared" ca="1" si="58"/>
        <v>-1.3171377882716302E-5</v>
      </c>
      <c r="AJ160" s="3">
        <f t="shared" ca="1" si="59"/>
        <v>1.0555310212081189E-4</v>
      </c>
      <c r="AK160" s="3">
        <f t="shared" ca="1" si="60"/>
        <v>3.5238579134076568E-5</v>
      </c>
      <c r="AL160" s="3">
        <f t="shared" ca="1" si="61"/>
        <v>-4.6384067375649387E-5</v>
      </c>
      <c r="AM160" s="3">
        <f t="shared" ca="1" si="62"/>
        <v>-5.955409539982017E-5</v>
      </c>
      <c r="AN160" s="3">
        <f t="shared" ca="1" si="63"/>
        <v>-3.1191819610424439E-4</v>
      </c>
      <c r="AP160" s="3" t="e">
        <f t="shared" ca="1" si="64"/>
        <v>#N/A</v>
      </c>
      <c r="AQ160" s="3" t="e">
        <f t="shared" ca="1" si="71"/>
        <v>#N/A</v>
      </c>
      <c r="AR160" s="3" t="e">
        <f t="shared" ca="1" si="65"/>
        <v>#N/A</v>
      </c>
      <c r="AS160" s="3" t="e">
        <f t="shared" ca="1" si="66"/>
        <v>#N/A</v>
      </c>
      <c r="AT160" s="3" t="e">
        <f t="shared" ca="1" si="67"/>
        <v>#N/A</v>
      </c>
      <c r="AU160" s="3" t="e">
        <f t="shared" ca="1" si="68"/>
        <v>#N/A</v>
      </c>
      <c r="AV160" s="10" t="e">
        <f t="shared" ca="1" si="72"/>
        <v>#N/A</v>
      </c>
      <c r="AW160" s="10" t="e">
        <f t="shared" ca="1" si="73"/>
        <v>#N/A</v>
      </c>
      <c r="AY160" s="3" t="e">
        <f t="shared" ca="1" si="79"/>
        <v>#N/A</v>
      </c>
      <c r="AZ160" s="3" t="e">
        <f t="shared" ca="1" si="74"/>
        <v>#N/A</v>
      </c>
      <c r="BA160" s="3" t="e">
        <f t="shared" ca="1" si="69"/>
        <v>#N/A</v>
      </c>
      <c r="BB160" s="3" t="e">
        <f t="shared" ca="1" si="75"/>
        <v>#N/A</v>
      </c>
      <c r="BC160" s="3" t="e">
        <f t="shared" ca="1" si="76"/>
        <v>#N/A</v>
      </c>
      <c r="BD160" s="3" t="e">
        <f t="shared" ca="1" si="70"/>
        <v>#N/A</v>
      </c>
      <c r="BE160" s="3" t="e">
        <f t="shared" ca="1" si="77"/>
        <v>#N/A</v>
      </c>
      <c r="BF160" s="3" t="e">
        <f t="shared" ca="1" si="78"/>
        <v>#N/A</v>
      </c>
    </row>
    <row r="161" spans="1:58" ht="15" x14ac:dyDescent="0.25">
      <c r="A161" s="72">
        <v>95</v>
      </c>
      <c r="B161" s="72">
        <v>1498730169.5209999</v>
      </c>
      <c r="C161" s="73">
        <v>1.52207080323037E-4</v>
      </c>
      <c r="D161" s="73">
        <v>3.44877454907294E-5</v>
      </c>
      <c r="E161" s="73">
        <v>8.1679285340168504E-4</v>
      </c>
      <c r="F161" s="73">
        <v>4.9415889279337702E-5</v>
      </c>
      <c r="G161" s="73">
        <v>1.14456642601774E-3</v>
      </c>
      <c r="H161" s="73">
        <v>-3.8218867428757701E-5</v>
      </c>
      <c r="I161" s="73">
        <v>5.7410411279984897E-4</v>
      </c>
      <c r="J161" s="73">
        <v>6.8046607706048999E-3</v>
      </c>
      <c r="K161" s="73"/>
      <c r="L161" s="73"/>
      <c r="M161" s="73"/>
      <c r="O161" s="13">
        <f t="shared" ca="1" si="40"/>
        <v>-1.1248014894852458E-4</v>
      </c>
      <c r="P161" s="13">
        <f t="shared" ca="1" si="41"/>
        <v>2.3200270105889229E-5</v>
      </c>
      <c r="Q161" s="13">
        <f t="shared" ca="1" si="42"/>
        <v>-2.394676457100032E-5</v>
      </c>
      <c r="R161" s="13">
        <f t="shared" ca="1" si="43"/>
        <v>3.9639610388656575E-5</v>
      </c>
      <c r="S161" s="13">
        <f t="shared" ca="1" si="44"/>
        <v>9.4877927763665527E-6</v>
      </c>
      <c r="T161" s="13">
        <f t="shared" ca="1" si="45"/>
        <v>-3.8568688939781791E-5</v>
      </c>
      <c r="U161" s="13">
        <f t="shared" ca="1" si="46"/>
        <v>-7.9739881988672204E-5</v>
      </c>
      <c r="V161" s="13">
        <f t="shared" ca="1" si="47"/>
        <v>-3.3412015184926432E-4</v>
      </c>
      <c r="X161" s="3">
        <f t="shared" ca="1" si="48"/>
        <v>-1.1248014894852458E-4</v>
      </c>
      <c r="Y161" s="3">
        <f t="shared" ca="1" si="49"/>
        <v>2.3200270105889229E-5</v>
      </c>
      <c r="Z161" s="3">
        <f t="shared" ca="1" si="50"/>
        <v>-2.394676457100032E-5</v>
      </c>
      <c r="AA161" s="3">
        <f t="shared" ca="1" si="51"/>
        <v>3.9639610388656575E-5</v>
      </c>
      <c r="AB161" s="3">
        <f t="shared" ca="1" si="52"/>
        <v>9.4877927763665527E-6</v>
      </c>
      <c r="AC161" s="3">
        <f t="shared" ca="1" si="53"/>
        <v>-3.8568688939781791E-5</v>
      </c>
      <c r="AD161" s="3">
        <f t="shared" ca="1" si="54"/>
        <v>-7.9739881988672204E-5</v>
      </c>
      <c r="AE161" s="3">
        <f t="shared" ca="1" si="55"/>
        <v>-3.3412015184926432E-4</v>
      </c>
      <c r="AG161" s="3">
        <f t="shared" ca="1" si="56"/>
        <v>-1.1248014894852458E-4</v>
      </c>
      <c r="AH161" s="3">
        <f t="shared" ca="1" si="57"/>
        <v>2.3200270105889229E-5</v>
      </c>
      <c r="AI161" s="3">
        <f t="shared" ca="1" si="58"/>
        <v>-4.2634459081123538E-5</v>
      </c>
      <c r="AJ161" s="3">
        <f t="shared" ca="1" si="59"/>
        <v>2.9320215231173986E-5</v>
      </c>
      <c r="AK161" s="3">
        <f t="shared" ca="1" si="60"/>
        <v>9.4877927763665527E-6</v>
      </c>
      <c r="AL161" s="3">
        <f t="shared" ca="1" si="61"/>
        <v>-3.8568688939781791E-5</v>
      </c>
      <c r="AM161" s="3">
        <f t="shared" ca="1" si="62"/>
        <v>-7.9739881988672204E-5</v>
      </c>
      <c r="AN161" s="3">
        <f t="shared" ca="1" si="63"/>
        <v>-3.3412015184926432E-4</v>
      </c>
      <c r="AP161" s="3" t="e">
        <f t="shared" ca="1" si="64"/>
        <v>#N/A</v>
      </c>
      <c r="AQ161" s="3" t="e">
        <f t="shared" ca="1" si="71"/>
        <v>#N/A</v>
      </c>
      <c r="AR161" s="3" t="e">
        <f t="shared" ca="1" si="65"/>
        <v>#N/A</v>
      </c>
      <c r="AS161" s="3" t="e">
        <f t="shared" ca="1" si="66"/>
        <v>#N/A</v>
      </c>
      <c r="AT161" s="3" t="e">
        <f t="shared" ca="1" si="67"/>
        <v>#N/A</v>
      </c>
      <c r="AU161" s="3" t="e">
        <f t="shared" ca="1" si="68"/>
        <v>#N/A</v>
      </c>
      <c r="AV161" s="10" t="e">
        <f t="shared" ca="1" si="72"/>
        <v>#N/A</v>
      </c>
      <c r="AW161" s="10" t="e">
        <f t="shared" ca="1" si="73"/>
        <v>#N/A</v>
      </c>
      <c r="AY161" s="3" t="e">
        <f t="shared" ca="1" si="79"/>
        <v>#N/A</v>
      </c>
      <c r="AZ161" s="3" t="e">
        <f t="shared" ca="1" si="74"/>
        <v>#N/A</v>
      </c>
      <c r="BA161" s="3" t="e">
        <f t="shared" ca="1" si="69"/>
        <v>#N/A</v>
      </c>
      <c r="BB161" s="3" t="e">
        <f t="shared" ca="1" si="75"/>
        <v>#N/A</v>
      </c>
      <c r="BC161" s="3" t="e">
        <f t="shared" ca="1" si="76"/>
        <v>#N/A</v>
      </c>
      <c r="BD161" s="3" t="e">
        <f t="shared" ca="1" si="70"/>
        <v>#N/A</v>
      </c>
      <c r="BE161" s="3" t="e">
        <f t="shared" ca="1" si="77"/>
        <v>#N/A</v>
      </c>
      <c r="BF161" s="3" t="e">
        <f t="shared" ca="1" si="78"/>
        <v>#N/A</v>
      </c>
    </row>
    <row r="162" spans="1:58" ht="15" x14ac:dyDescent="0.25">
      <c r="A162" s="72">
        <v>96</v>
      </c>
      <c r="B162" s="72">
        <v>1498730170.0480001</v>
      </c>
      <c r="C162" s="73">
        <v>3.2634675784113602E-4</v>
      </c>
      <c r="D162" s="73">
        <v>8.97532960571026E-6</v>
      </c>
      <c r="E162" s="73">
        <v>8.2158189989521297E-4</v>
      </c>
      <c r="F162" s="73">
        <v>3.6804778367467501E-5</v>
      </c>
      <c r="G162" s="73">
        <v>1.08615274772856E-3</v>
      </c>
      <c r="H162" s="73">
        <v>-9.6201932324315995E-6</v>
      </c>
      <c r="I162" s="73">
        <v>7.0021260273018496E-4</v>
      </c>
      <c r="J162" s="73">
        <v>6.9428938463860102E-3</v>
      </c>
      <c r="K162" s="73"/>
      <c r="L162" s="73"/>
      <c r="M162" s="73"/>
      <c r="O162" s="13">
        <f t="shared" ca="1" si="40"/>
        <v>6.1659528569574435E-5</v>
      </c>
      <c r="P162" s="13">
        <f t="shared" ca="1" si="41"/>
        <v>-2.3121457791299133E-6</v>
      </c>
      <c r="Q162" s="13">
        <f t="shared" ca="1" si="42"/>
        <v>-1.9157718077472382E-5</v>
      </c>
      <c r="R162" s="13">
        <f t="shared" ca="1" si="43"/>
        <v>2.7028499476786373E-5</v>
      </c>
      <c r="S162" s="13">
        <f t="shared" ca="1" si="44"/>
        <v>-4.8925885512813476E-5</v>
      </c>
      <c r="T162" s="13">
        <f t="shared" ca="1" si="45"/>
        <v>-9.970014743455686E-6</v>
      </c>
      <c r="U162" s="13">
        <f t="shared" ca="1" si="46"/>
        <v>4.6368607941663781E-5</v>
      </c>
      <c r="V162" s="13">
        <f t="shared" ca="1" si="47"/>
        <v>-1.95887076068154E-4</v>
      </c>
      <c r="X162" s="3">
        <f t="shared" ca="1" si="48"/>
        <v>6.1659528569574435E-5</v>
      </c>
      <c r="Y162" s="3">
        <f t="shared" ca="1" si="49"/>
        <v>-2.3121457791299133E-6</v>
      </c>
      <c r="Z162" s="3">
        <f t="shared" ca="1" si="50"/>
        <v>-1.9157718077472382E-5</v>
      </c>
      <c r="AA162" s="3">
        <f t="shared" ca="1" si="51"/>
        <v>2.7028499476786373E-5</v>
      </c>
      <c r="AB162" s="3">
        <f t="shared" ca="1" si="52"/>
        <v>-4.8925885512813476E-5</v>
      </c>
      <c r="AC162" s="3">
        <f t="shared" ca="1" si="53"/>
        <v>-9.970014743455686E-6</v>
      </c>
      <c r="AD162" s="3">
        <f t="shared" ca="1" si="54"/>
        <v>4.6368607941663781E-5</v>
      </c>
      <c r="AE162" s="3">
        <f t="shared" ca="1" si="55"/>
        <v>-1.95887076068154E-4</v>
      </c>
      <c r="AG162" s="3">
        <f t="shared" ca="1" si="56"/>
        <v>6.1659528569574435E-5</v>
      </c>
      <c r="AH162" s="3">
        <f t="shared" ca="1" si="57"/>
        <v>-2.3121457791299133E-6</v>
      </c>
      <c r="AI162" s="3">
        <f t="shared" ca="1" si="58"/>
        <v>-1.9157718077472382E-5</v>
      </c>
      <c r="AJ162" s="3">
        <f t="shared" ca="1" si="59"/>
        <v>2.7028499476786373E-5</v>
      </c>
      <c r="AK162" s="3">
        <f t="shared" ca="1" si="60"/>
        <v>-4.8925885512813476E-5</v>
      </c>
      <c r="AL162" s="3">
        <f t="shared" ca="1" si="61"/>
        <v>-9.970014743455686E-6</v>
      </c>
      <c r="AM162" s="3">
        <f t="shared" ca="1" si="62"/>
        <v>4.6368607941663781E-5</v>
      </c>
      <c r="AN162" s="3">
        <f t="shared" ca="1" si="63"/>
        <v>-1.95887076068154E-4</v>
      </c>
      <c r="AP162" s="3" t="e">
        <f t="shared" ca="1" si="64"/>
        <v>#N/A</v>
      </c>
      <c r="AQ162" s="3" t="e">
        <f t="shared" ca="1" si="71"/>
        <v>#N/A</v>
      </c>
      <c r="AR162" s="3" t="e">
        <f t="shared" ca="1" si="65"/>
        <v>#N/A</v>
      </c>
      <c r="AS162" s="3" t="e">
        <f t="shared" ca="1" si="66"/>
        <v>#N/A</v>
      </c>
      <c r="AT162" s="3" t="e">
        <f t="shared" ca="1" si="67"/>
        <v>#N/A</v>
      </c>
      <c r="AU162" s="3" t="e">
        <f t="shared" ca="1" si="68"/>
        <v>#N/A</v>
      </c>
      <c r="AV162" s="10" t="e">
        <f t="shared" ca="1" si="72"/>
        <v>#N/A</v>
      </c>
      <c r="AW162" s="10" t="e">
        <f t="shared" ca="1" si="73"/>
        <v>#N/A</v>
      </c>
      <c r="AY162" s="3" t="e">
        <f t="shared" ca="1" si="79"/>
        <v>#N/A</v>
      </c>
      <c r="AZ162" s="3" t="e">
        <f t="shared" ca="1" si="74"/>
        <v>#N/A</v>
      </c>
      <c r="BA162" s="3" t="e">
        <f t="shared" ca="1" si="69"/>
        <v>#N/A</v>
      </c>
      <c r="BB162" s="3" t="e">
        <f t="shared" ca="1" si="75"/>
        <v>#N/A</v>
      </c>
      <c r="BC162" s="3" t="e">
        <f t="shared" ca="1" si="76"/>
        <v>#N/A</v>
      </c>
      <c r="BD162" s="3" t="e">
        <f t="shared" ca="1" si="70"/>
        <v>#N/A</v>
      </c>
      <c r="BE162" s="3" t="e">
        <f t="shared" ca="1" si="77"/>
        <v>#N/A</v>
      </c>
      <c r="BF162" s="3" t="e">
        <f t="shared" ca="1" si="78"/>
        <v>#N/A</v>
      </c>
    </row>
    <row r="163" spans="1:58" ht="15" x14ac:dyDescent="0.25">
      <c r="A163" s="72">
        <v>97</v>
      </c>
      <c r="B163" s="72">
        <v>1498730170.576</v>
      </c>
      <c r="C163" s="73">
        <v>2.2428580424937601E-4</v>
      </c>
      <c r="D163" s="73">
        <v>-4.3228587925013002E-5</v>
      </c>
      <c r="E163" s="73">
        <v>8.0314419604130298E-4</v>
      </c>
      <c r="F163" s="73">
        <v>-4.2427425910269698E-5</v>
      </c>
      <c r="G163" s="73">
        <v>1.05825843945681E-3</v>
      </c>
      <c r="H163" s="73">
        <v>-2.9765287324851402E-5</v>
      </c>
      <c r="I163" s="73">
        <v>6.13526146633304E-4</v>
      </c>
      <c r="J163" s="73">
        <v>6.8022734928031396E-3</v>
      </c>
      <c r="K163" s="73"/>
      <c r="L163" s="73"/>
      <c r="M163" s="73"/>
      <c r="O163" s="13">
        <f t="shared" ca="1" si="40"/>
        <v>-4.0401425022185573E-5</v>
      </c>
      <c r="P163" s="13">
        <f t="shared" ca="1" si="41"/>
        <v>-5.4516063309853173E-5</v>
      </c>
      <c r="Q163" s="13">
        <f t="shared" ca="1" si="42"/>
        <v>-3.7595421931382379E-5</v>
      </c>
      <c r="R163" s="13">
        <f t="shared" ca="1" si="43"/>
        <v>-5.2203704800950825E-5</v>
      </c>
      <c r="S163" s="13">
        <f t="shared" ca="1" si="44"/>
        <v>-7.6820193784563496E-5</v>
      </c>
      <c r="T163" s="13">
        <f t="shared" ca="1" si="45"/>
        <v>-3.0115108835875488E-5</v>
      </c>
      <c r="U163" s="13">
        <f t="shared" ca="1" si="46"/>
        <v>-4.0317848155217175E-5</v>
      </c>
      <c r="V163" s="13">
        <f t="shared" ca="1" si="47"/>
        <v>-3.3650742965102461E-4</v>
      </c>
      <c r="X163" s="3">
        <f t="shared" ca="1" si="48"/>
        <v>-4.0401425022185573E-5</v>
      </c>
      <c r="Y163" s="3">
        <f t="shared" ca="1" si="49"/>
        <v>-5.4516063309853173E-5</v>
      </c>
      <c r="Z163" s="3">
        <f t="shared" ca="1" si="50"/>
        <v>-3.7595421931382379E-5</v>
      </c>
      <c r="AA163" s="3">
        <f t="shared" ca="1" si="51"/>
        <v>-5.2203704800950825E-5</v>
      </c>
      <c r="AB163" s="3">
        <f t="shared" ca="1" si="52"/>
        <v>-7.6820193784563496E-5</v>
      </c>
      <c r="AC163" s="3">
        <f t="shared" ca="1" si="53"/>
        <v>-3.0115108835875488E-5</v>
      </c>
      <c r="AD163" s="3">
        <f t="shared" ca="1" si="54"/>
        <v>-4.0317848155217175E-5</v>
      </c>
      <c r="AE163" s="3">
        <f t="shared" ca="1" si="55"/>
        <v>-3.3650742965102461E-4</v>
      </c>
      <c r="AG163" s="3">
        <f t="shared" ca="1" si="56"/>
        <v>-4.0401425022185573E-5</v>
      </c>
      <c r="AH163" s="3">
        <f t="shared" ca="1" si="57"/>
        <v>-5.4516063309853173E-5</v>
      </c>
      <c r="AI163" s="3">
        <f t="shared" ca="1" si="58"/>
        <v>-3.7595421931382379E-5</v>
      </c>
      <c r="AJ163" s="3">
        <f t="shared" ca="1" si="59"/>
        <v>-5.2203704800950825E-5</v>
      </c>
      <c r="AK163" s="3">
        <f t="shared" ca="1" si="60"/>
        <v>-7.6820193784563496E-5</v>
      </c>
      <c r="AL163" s="3">
        <f t="shared" ca="1" si="61"/>
        <v>-3.0115108835875488E-5</v>
      </c>
      <c r="AM163" s="3">
        <f t="shared" ca="1" si="62"/>
        <v>-4.0317848155217175E-5</v>
      </c>
      <c r="AN163" s="3">
        <f t="shared" ca="1" si="63"/>
        <v>-3.3650742965102461E-4</v>
      </c>
      <c r="AP163" s="3" t="e">
        <f t="shared" ca="1" si="64"/>
        <v>#N/A</v>
      </c>
      <c r="AQ163" s="3" t="e">
        <f t="shared" ca="1" si="71"/>
        <v>#N/A</v>
      </c>
      <c r="AR163" s="3" t="e">
        <f t="shared" ca="1" si="65"/>
        <v>#N/A</v>
      </c>
      <c r="AS163" s="3" t="e">
        <f t="shared" ca="1" si="66"/>
        <v>#N/A</v>
      </c>
      <c r="AT163" s="3" t="e">
        <f t="shared" ca="1" si="67"/>
        <v>#N/A</v>
      </c>
      <c r="AU163" s="3" t="e">
        <f t="shared" ca="1" si="68"/>
        <v>#N/A</v>
      </c>
      <c r="AV163" s="10" t="e">
        <f t="shared" ca="1" si="72"/>
        <v>#N/A</v>
      </c>
      <c r="AW163" s="10" t="e">
        <f t="shared" ca="1" si="73"/>
        <v>#N/A</v>
      </c>
      <c r="AY163" s="3" t="e">
        <f t="shared" ca="1" si="79"/>
        <v>#N/A</v>
      </c>
      <c r="AZ163" s="3" t="e">
        <f t="shared" ca="1" si="74"/>
        <v>#N/A</v>
      </c>
      <c r="BA163" s="3" t="e">
        <f t="shared" ca="1" si="69"/>
        <v>#N/A</v>
      </c>
      <c r="BB163" s="3" t="e">
        <f t="shared" ca="1" si="75"/>
        <v>#N/A</v>
      </c>
      <c r="BC163" s="3" t="e">
        <f t="shared" ca="1" si="76"/>
        <v>#N/A</v>
      </c>
      <c r="BD163" s="3" t="e">
        <f t="shared" ca="1" si="70"/>
        <v>#N/A</v>
      </c>
      <c r="BE163" s="3" t="e">
        <f t="shared" ca="1" si="77"/>
        <v>#N/A</v>
      </c>
      <c r="BF163" s="3" t="e">
        <f t="shared" ca="1" si="78"/>
        <v>#N/A</v>
      </c>
    </row>
    <row r="164" spans="1:58" ht="15" x14ac:dyDescent="0.25">
      <c r="A164" s="72">
        <v>98</v>
      </c>
      <c r="B164" s="72">
        <v>1498730171.1029999</v>
      </c>
      <c r="C164" s="73">
        <v>3.3990808921542702E-4</v>
      </c>
      <c r="D164" s="73">
        <v>-2.4803989500646499E-5</v>
      </c>
      <c r="E164" s="73">
        <v>8.8312317726542205E-4</v>
      </c>
      <c r="F164" s="73">
        <v>-8.6680515564340599E-5</v>
      </c>
      <c r="G164" s="73">
        <v>1.12263109380885E-3</v>
      </c>
      <c r="H164" s="73">
        <v>-2.7923350232006299E-5</v>
      </c>
      <c r="I164" s="73">
        <v>5.0666279930270102E-4</v>
      </c>
      <c r="J164" s="73">
        <v>6.8247141285053201E-3</v>
      </c>
      <c r="K164" s="73"/>
      <c r="L164" s="73"/>
      <c r="M164" s="73"/>
      <c r="O164" s="13">
        <f t="shared" ca="1" si="40"/>
        <v>7.522085994386544E-5</v>
      </c>
      <c r="P164" s="13">
        <f t="shared" ca="1" si="41"/>
        <v>-3.6091464885486671E-5</v>
      </c>
      <c r="Q164" s="13">
        <f t="shared" ca="1" si="42"/>
        <v>4.2383559292736694E-5</v>
      </c>
      <c r="R164" s="13">
        <f t="shared" ca="1" si="43"/>
        <v>-9.645679445502172E-5</v>
      </c>
      <c r="S164" s="13">
        <f t="shared" ca="1" si="44"/>
        <v>-1.2447539432523455E-5</v>
      </c>
      <c r="T164" s="13">
        <f t="shared" ca="1" si="45"/>
        <v>-2.8273171743030386E-5</v>
      </c>
      <c r="U164" s="13">
        <f t="shared" ca="1" si="46"/>
        <v>-1.4718119548582016E-4</v>
      </c>
      <c r="V164" s="13">
        <f t="shared" ca="1" si="47"/>
        <v>-3.1406679394884417E-4</v>
      </c>
      <c r="X164" s="3">
        <f t="shared" ca="1" si="48"/>
        <v>7.522085994386544E-5</v>
      </c>
      <c r="Y164" s="3">
        <f t="shared" ca="1" si="49"/>
        <v>-3.6091464885486671E-5</v>
      </c>
      <c r="Z164" s="3">
        <f t="shared" ca="1" si="50"/>
        <v>4.2383559292736694E-5</v>
      </c>
      <c r="AA164" s="3">
        <f t="shared" ca="1" si="51"/>
        <v>-9.645679445502172E-5</v>
      </c>
      <c r="AB164" s="3">
        <f t="shared" ca="1" si="52"/>
        <v>-1.2447539432523455E-5</v>
      </c>
      <c r="AC164" s="3">
        <f t="shared" ca="1" si="53"/>
        <v>-2.8273171743030386E-5</v>
      </c>
      <c r="AD164" s="3">
        <f t="shared" ca="1" si="54"/>
        <v>-1.4718119548582016E-4</v>
      </c>
      <c r="AE164" s="3">
        <f t="shared" ca="1" si="55"/>
        <v>-3.1406679394884417E-4</v>
      </c>
      <c r="AG164" s="3">
        <f t="shared" ca="1" si="56"/>
        <v>7.522085994386544E-5</v>
      </c>
      <c r="AH164" s="3">
        <f t="shared" ca="1" si="57"/>
        <v>-3.6091464885486671E-5</v>
      </c>
      <c r="AI164" s="3">
        <f t="shared" ca="1" si="58"/>
        <v>4.2383559292736694E-5</v>
      </c>
      <c r="AJ164" s="3">
        <f t="shared" ca="1" si="59"/>
        <v>-9.645679445502172E-5</v>
      </c>
      <c r="AK164" s="3">
        <f t="shared" ca="1" si="60"/>
        <v>-1.2447539432523455E-5</v>
      </c>
      <c r="AL164" s="3">
        <f t="shared" ca="1" si="61"/>
        <v>-2.8273171743030386E-5</v>
      </c>
      <c r="AM164" s="3">
        <f t="shared" ca="1" si="62"/>
        <v>-1.4718119548582016E-4</v>
      </c>
      <c r="AN164" s="3">
        <f t="shared" ca="1" si="63"/>
        <v>-3.1406679394884417E-4</v>
      </c>
      <c r="AP164" s="3" t="e">
        <f t="shared" ca="1" si="64"/>
        <v>#N/A</v>
      </c>
      <c r="AQ164" s="3" t="e">
        <f t="shared" ca="1" si="71"/>
        <v>#N/A</v>
      </c>
      <c r="AR164" s="3" t="e">
        <f t="shared" ca="1" si="65"/>
        <v>#N/A</v>
      </c>
      <c r="AS164" s="3" t="e">
        <f t="shared" ca="1" si="66"/>
        <v>#N/A</v>
      </c>
      <c r="AT164" s="3" t="e">
        <f t="shared" ca="1" si="67"/>
        <v>#N/A</v>
      </c>
      <c r="AU164" s="3" t="e">
        <f t="shared" ca="1" si="68"/>
        <v>#N/A</v>
      </c>
      <c r="AV164" s="10" t="e">
        <f t="shared" ca="1" si="72"/>
        <v>#N/A</v>
      </c>
      <c r="AW164" s="10" t="e">
        <f t="shared" ca="1" si="73"/>
        <v>#N/A</v>
      </c>
      <c r="AY164" s="3" t="e">
        <f t="shared" ca="1" si="79"/>
        <v>#N/A</v>
      </c>
      <c r="AZ164" s="3" t="e">
        <f t="shared" ca="1" si="74"/>
        <v>#N/A</v>
      </c>
      <c r="BA164" s="3" t="e">
        <f t="shared" ca="1" si="69"/>
        <v>#N/A</v>
      </c>
      <c r="BB164" s="3" t="e">
        <f t="shared" ca="1" si="75"/>
        <v>#N/A</v>
      </c>
      <c r="BC164" s="3" t="e">
        <f t="shared" ca="1" si="76"/>
        <v>#N/A</v>
      </c>
      <c r="BD164" s="3" t="e">
        <f t="shared" ca="1" si="70"/>
        <v>#N/A</v>
      </c>
      <c r="BE164" s="3" t="e">
        <f t="shared" ca="1" si="77"/>
        <v>#N/A</v>
      </c>
      <c r="BF164" s="3" t="e">
        <f t="shared" ca="1" si="78"/>
        <v>#N/A</v>
      </c>
    </row>
    <row r="165" spans="1:58" ht="15" x14ac:dyDescent="0.25">
      <c r="A165" s="72">
        <v>99</v>
      </c>
      <c r="B165" s="72">
        <v>1498730171.6300001</v>
      </c>
      <c r="C165" s="73">
        <v>3.3110509875364398E-4</v>
      </c>
      <c r="D165" s="73">
        <v>-2.7874779665242701E-5</v>
      </c>
      <c r="E165" s="73">
        <v>8.24455338740439E-4</v>
      </c>
      <c r="F165" s="73">
        <v>-2.2172730181832599E-6</v>
      </c>
      <c r="G165" s="73">
        <v>1.1977377599131499E-3</v>
      </c>
      <c r="H165" s="73">
        <v>5.2872158262308699E-5</v>
      </c>
      <c r="I165" s="73">
        <v>6.04501688163377E-4</v>
      </c>
      <c r="J165" s="73">
        <v>6.7760138120587197E-3</v>
      </c>
      <c r="K165" s="73"/>
      <c r="L165" s="73"/>
      <c r="M165" s="73"/>
      <c r="O165" s="13">
        <f t="shared" ca="1" si="40"/>
        <v>6.64178694820824E-5</v>
      </c>
      <c r="P165" s="13">
        <f t="shared" ca="1" si="41"/>
        <v>-3.9162255050082876E-5</v>
      </c>
      <c r="Q165" s="13">
        <f t="shared" ca="1" si="42"/>
        <v>-1.6284279232246356E-5</v>
      </c>
      <c r="R165" s="13">
        <f t="shared" ca="1" si="43"/>
        <v>-1.1993551908864386E-5</v>
      </c>
      <c r="S165" s="13">
        <f t="shared" ca="1" si="44"/>
        <v>6.2659126671776432E-5</v>
      </c>
      <c r="T165" s="13">
        <f t="shared" ca="1" si="45"/>
        <v>5.2522336751284609E-5</v>
      </c>
      <c r="U165" s="13">
        <f t="shared" ca="1" si="46"/>
        <v>-4.9342306625144183E-5</v>
      </c>
      <c r="V165" s="13">
        <f t="shared" ca="1" si="47"/>
        <v>-3.6276711039544447E-4</v>
      </c>
      <c r="X165" s="3">
        <f t="shared" ca="1" si="48"/>
        <v>6.64178694820824E-5</v>
      </c>
      <c r="Y165" s="3">
        <f t="shared" ca="1" si="49"/>
        <v>-3.9162255050082876E-5</v>
      </c>
      <c r="Z165" s="3">
        <f t="shared" ca="1" si="50"/>
        <v>-1.6686114411266308E-5</v>
      </c>
      <c r="AA165" s="3">
        <f t="shared" ca="1" si="51"/>
        <v>-2.171978976468819E-5</v>
      </c>
      <c r="AB165" s="3">
        <f t="shared" ca="1" si="52"/>
        <v>-8.0729974534398579E-6</v>
      </c>
      <c r="AC165" s="3">
        <f t="shared" ca="1" si="53"/>
        <v>5.2522336751284609E-5</v>
      </c>
      <c r="AD165" s="3">
        <f t="shared" ca="1" si="54"/>
        <v>-1.5379662162606881E-4</v>
      </c>
      <c r="AE165" s="3">
        <f t="shared" ca="1" si="55"/>
        <v>-4.0515224149418032E-4</v>
      </c>
      <c r="AG165" s="3">
        <f t="shared" ca="1" si="56"/>
        <v>6.64178694820824E-5</v>
      </c>
      <c r="AH165" s="3">
        <f t="shared" ca="1" si="57"/>
        <v>-3.9162255050082876E-5</v>
      </c>
      <c r="AI165" s="3">
        <f t="shared" ca="1" si="58"/>
        <v>-1.6686114411266308E-5</v>
      </c>
      <c r="AJ165" s="3">
        <f t="shared" ca="1" si="59"/>
        <v>-2.171978976468819E-5</v>
      </c>
      <c r="AK165" s="3">
        <f t="shared" ca="1" si="60"/>
        <v>-8.0729974534398579E-6</v>
      </c>
      <c r="AL165" s="3">
        <f t="shared" ca="1" si="61"/>
        <v>5.2522336751284609E-5</v>
      </c>
      <c r="AM165" s="3">
        <f t="shared" ca="1" si="62"/>
        <v>-1.5379662162606881E-4</v>
      </c>
      <c r="AN165" s="3">
        <f t="shared" ca="1" si="63"/>
        <v>-4.0515224149418032E-4</v>
      </c>
      <c r="AP165" s="3" t="e">
        <f t="shared" ca="1" si="64"/>
        <v>#N/A</v>
      </c>
      <c r="AQ165" s="3" t="e">
        <f t="shared" ca="1" si="71"/>
        <v>#N/A</v>
      </c>
      <c r="AR165" s="3" t="e">
        <f t="shared" ca="1" si="65"/>
        <v>#N/A</v>
      </c>
      <c r="AS165" s="3" t="e">
        <f t="shared" ca="1" si="66"/>
        <v>#N/A</v>
      </c>
      <c r="AT165" s="3" t="e">
        <f t="shared" ca="1" si="67"/>
        <v>#N/A</v>
      </c>
      <c r="AU165" s="3" t="e">
        <f t="shared" ca="1" si="68"/>
        <v>#N/A</v>
      </c>
      <c r="AV165" s="10" t="e">
        <f t="shared" ca="1" si="72"/>
        <v>#N/A</v>
      </c>
      <c r="AW165" s="10" t="e">
        <f t="shared" ca="1" si="73"/>
        <v>#N/A</v>
      </c>
      <c r="AY165" s="3" t="e">
        <f t="shared" ca="1" si="79"/>
        <v>#N/A</v>
      </c>
      <c r="AZ165" s="3" t="e">
        <f t="shared" ca="1" si="74"/>
        <v>#N/A</v>
      </c>
      <c r="BA165" s="3" t="e">
        <f t="shared" ca="1" si="69"/>
        <v>#N/A</v>
      </c>
      <c r="BB165" s="3" t="e">
        <f t="shared" ca="1" si="75"/>
        <v>#N/A</v>
      </c>
      <c r="BC165" s="3" t="e">
        <f t="shared" ca="1" si="76"/>
        <v>#N/A</v>
      </c>
      <c r="BD165" s="3" t="e">
        <f t="shared" ca="1" si="70"/>
        <v>#N/A</v>
      </c>
      <c r="BE165" s="3" t="e">
        <f t="shared" ca="1" si="77"/>
        <v>#N/A</v>
      </c>
      <c r="BF165" s="3" t="e">
        <f t="shared" ca="1" si="78"/>
        <v>#N/A</v>
      </c>
    </row>
    <row r="166" spans="1:58" ht="15" x14ac:dyDescent="0.25">
      <c r="A166" s="72">
        <v>100</v>
      </c>
      <c r="B166" s="72">
        <v>1498730172.1570001</v>
      </c>
      <c r="C166" s="73">
        <v>2.5188167650643699E-4</v>
      </c>
      <c r="D166" s="73">
        <v>-1.3938040294217699E-5</v>
      </c>
      <c r="E166" s="73">
        <v>8.5199287746030199E-4</v>
      </c>
      <c r="F166" s="73">
        <v>-1.0782885087271801E-5</v>
      </c>
      <c r="G166" s="73">
        <v>1.0728015287656599E-3</v>
      </c>
      <c r="H166" s="73">
        <v>-1.8122725012681899E-5</v>
      </c>
      <c r="I166" s="73">
        <v>5.6531748621401802E-4</v>
      </c>
      <c r="J166" s="73">
        <v>6.7958278711254304E-3</v>
      </c>
      <c r="K166" s="73"/>
      <c r="L166" s="73"/>
      <c r="M166" s="73"/>
      <c r="O166" s="13">
        <f t="shared" ca="1" si="40"/>
        <v>-1.280555276512459E-5</v>
      </c>
      <c r="P166" s="13">
        <f t="shared" ca="1" si="41"/>
        <v>-2.5225515679057873E-5</v>
      </c>
      <c r="Q166" s="13">
        <f t="shared" ca="1" si="42"/>
        <v>1.1253259487616638E-5</v>
      </c>
      <c r="R166" s="13">
        <f t="shared" ca="1" si="43"/>
        <v>-2.0559163977952924E-5</v>
      </c>
      <c r="S166" s="13">
        <f t="shared" ca="1" si="44"/>
        <v>-6.2277104475713576E-5</v>
      </c>
      <c r="T166" s="13">
        <f t="shared" ca="1" si="45"/>
        <v>-1.8472546523705986E-5</v>
      </c>
      <c r="U166" s="13">
        <f t="shared" ca="1" si="46"/>
        <v>-8.8526508574503161E-5</v>
      </c>
      <c r="V166" s="13">
        <f t="shared" ca="1" si="47"/>
        <v>-3.4295305132873381E-4</v>
      </c>
      <c r="X166" s="3">
        <f t="shared" ca="1" si="48"/>
        <v>-1.280555276512459E-5</v>
      </c>
      <c r="Y166" s="3">
        <f t="shared" ca="1" si="49"/>
        <v>-2.5225515679057873E-5</v>
      </c>
      <c r="Z166" s="3">
        <f t="shared" ca="1" si="50"/>
        <v>1.1253259487616638E-5</v>
      </c>
      <c r="AA166" s="3">
        <f t="shared" ca="1" si="51"/>
        <v>-2.0559163977952924E-5</v>
      </c>
      <c r="AB166" s="3">
        <f t="shared" ca="1" si="52"/>
        <v>-6.2277104475713576E-5</v>
      </c>
      <c r="AC166" s="3">
        <f t="shared" ca="1" si="53"/>
        <v>-1.8472546523705986E-5</v>
      </c>
      <c r="AD166" s="3">
        <f t="shared" ca="1" si="54"/>
        <v>-8.8526508574503161E-5</v>
      </c>
      <c r="AE166" s="3">
        <f t="shared" ca="1" si="55"/>
        <v>-3.4295305132873381E-4</v>
      </c>
      <c r="AG166" s="3">
        <f t="shared" ca="1" si="56"/>
        <v>-1.280555276512459E-5</v>
      </c>
      <c r="AH166" s="3">
        <f t="shared" ca="1" si="57"/>
        <v>-2.5225515679057873E-5</v>
      </c>
      <c r="AI166" s="3">
        <f t="shared" ca="1" si="58"/>
        <v>1.1253259487616638E-5</v>
      </c>
      <c r="AJ166" s="3">
        <f t="shared" ca="1" si="59"/>
        <v>-2.0559163977952924E-5</v>
      </c>
      <c r="AK166" s="3">
        <f t="shared" ca="1" si="60"/>
        <v>-6.2277104475713576E-5</v>
      </c>
      <c r="AL166" s="3">
        <f t="shared" ca="1" si="61"/>
        <v>-1.8472546523705986E-5</v>
      </c>
      <c r="AM166" s="3">
        <f t="shared" ca="1" si="62"/>
        <v>-8.8526508574503161E-5</v>
      </c>
      <c r="AN166" s="3">
        <f t="shared" ca="1" si="63"/>
        <v>-3.4295305132873381E-4</v>
      </c>
      <c r="AP166" s="3" t="e">
        <f t="shared" ca="1" si="64"/>
        <v>#N/A</v>
      </c>
      <c r="AQ166" s="3" t="e">
        <f t="shared" ca="1" si="71"/>
        <v>#N/A</v>
      </c>
      <c r="AR166" s="3" t="e">
        <f t="shared" ca="1" si="65"/>
        <v>#N/A</v>
      </c>
      <c r="AS166" s="3" t="e">
        <f t="shared" ca="1" si="66"/>
        <v>#N/A</v>
      </c>
      <c r="AT166" s="3" t="e">
        <f t="shared" ca="1" si="67"/>
        <v>#N/A</v>
      </c>
      <c r="AU166" s="3" t="e">
        <f t="shared" ca="1" si="68"/>
        <v>#N/A</v>
      </c>
      <c r="AV166" s="10" t="e">
        <f t="shared" ca="1" si="72"/>
        <v>#N/A</v>
      </c>
      <c r="AW166" s="10" t="e">
        <f t="shared" ca="1" si="73"/>
        <v>#N/A</v>
      </c>
      <c r="AY166" s="3" t="e">
        <f t="shared" ca="1" si="79"/>
        <v>#N/A</v>
      </c>
      <c r="AZ166" s="3" t="e">
        <f t="shared" ca="1" si="74"/>
        <v>#N/A</v>
      </c>
      <c r="BA166" s="3" t="e">
        <f t="shared" ca="1" si="69"/>
        <v>#N/A</v>
      </c>
      <c r="BB166" s="3" t="e">
        <f t="shared" ca="1" si="75"/>
        <v>#N/A</v>
      </c>
      <c r="BC166" s="3" t="e">
        <f t="shared" ca="1" si="76"/>
        <v>#N/A</v>
      </c>
      <c r="BD166" s="3" t="e">
        <f t="shared" ca="1" si="70"/>
        <v>#N/A</v>
      </c>
      <c r="BE166" s="3" t="e">
        <f t="shared" ca="1" si="77"/>
        <v>#N/A</v>
      </c>
      <c r="BF166" s="3" t="e">
        <f t="shared" ca="1" si="78"/>
        <v>#N/A</v>
      </c>
    </row>
    <row r="167" spans="1:58" ht="15" x14ac:dyDescent="0.25">
      <c r="A167" s="72">
        <v>101</v>
      </c>
      <c r="B167" s="72">
        <v>1498730172.684</v>
      </c>
      <c r="C167" s="73">
        <v>3.2087469382181198E-4</v>
      </c>
      <c r="D167" s="73">
        <v>1.65244251589724E-6</v>
      </c>
      <c r="E167" s="73">
        <v>8.5989509305504301E-4</v>
      </c>
      <c r="F167" s="73">
        <v>-6.1937094237425806E-5</v>
      </c>
      <c r="G167" s="73">
        <v>1.06541075203833E-3</v>
      </c>
      <c r="H167" s="73">
        <v>9.7976161224528003E-5</v>
      </c>
      <c r="I167" s="73">
        <v>7.1945089222825098E-4</v>
      </c>
      <c r="J167" s="73">
        <v>6.90875160851105E-3</v>
      </c>
      <c r="K167" s="73"/>
      <c r="L167" s="73"/>
      <c r="M167" s="73"/>
      <c r="O167" s="13">
        <f t="shared" ca="1" si="40"/>
        <v>5.6187464550250395E-5</v>
      </c>
      <c r="P167" s="13">
        <f t="shared" ca="1" si="41"/>
        <v>-9.6350328689429326E-6</v>
      </c>
      <c r="Q167" s="13">
        <f t="shared" ca="1" si="42"/>
        <v>1.9155475082357652E-5</v>
      </c>
      <c r="R167" s="13">
        <f t="shared" ca="1" si="43"/>
        <v>-7.1713373128106926E-5</v>
      </c>
      <c r="S167" s="13">
        <f t="shared" ca="1" si="44"/>
        <v>-6.9667881203043514E-5</v>
      </c>
      <c r="T167" s="13">
        <f t="shared" ca="1" si="45"/>
        <v>9.7626339713503913E-5</v>
      </c>
      <c r="U167" s="13">
        <f t="shared" ca="1" si="46"/>
        <v>6.5606897439729798E-5</v>
      </c>
      <c r="V167" s="13">
        <f t="shared" ca="1" si="47"/>
        <v>-2.3002931394311421E-4</v>
      </c>
      <c r="X167" s="3">
        <f t="shared" ca="1" si="48"/>
        <v>5.6187464550250395E-5</v>
      </c>
      <c r="Y167" s="3">
        <f t="shared" ca="1" si="49"/>
        <v>-9.6350328689429326E-6</v>
      </c>
      <c r="Z167" s="3">
        <f t="shared" ca="1" si="50"/>
        <v>1.8408560529000904E-5</v>
      </c>
      <c r="AA167" s="3">
        <f t="shared" ca="1" si="51"/>
        <v>-8.97921003854918E-5</v>
      </c>
      <c r="AB167" s="3">
        <f t="shared" ca="1" si="52"/>
        <v>-2.011418179245889E-4</v>
      </c>
      <c r="AC167" s="3">
        <f t="shared" ca="1" si="53"/>
        <v>9.7626339713503913E-5</v>
      </c>
      <c r="AD167" s="3">
        <f t="shared" ca="1" si="54"/>
        <v>-1.2854844810612889E-4</v>
      </c>
      <c r="AE167" s="3">
        <f t="shared" ca="1" si="55"/>
        <v>-3.0881303651511842E-4</v>
      </c>
      <c r="AG167" s="3">
        <f t="shared" ca="1" si="56"/>
        <v>5.6187464550250395E-5</v>
      </c>
      <c r="AH167" s="3">
        <f t="shared" ca="1" si="57"/>
        <v>-9.6350328689429326E-6</v>
      </c>
      <c r="AI167" s="3">
        <f t="shared" ca="1" si="58"/>
        <v>1.8408560529000904E-5</v>
      </c>
      <c r="AJ167" s="3">
        <f t="shared" ca="1" si="59"/>
        <v>-8.97921003854918E-5</v>
      </c>
      <c r="AK167" s="3">
        <f t="shared" ca="1" si="60"/>
        <v>-2.011418179245889E-4</v>
      </c>
      <c r="AL167" s="3">
        <f t="shared" ca="1" si="61"/>
        <v>9.7626339713503913E-5</v>
      </c>
      <c r="AM167" s="3">
        <f t="shared" ca="1" si="62"/>
        <v>-1.2854844810612889E-4</v>
      </c>
      <c r="AN167" s="3">
        <f t="shared" ca="1" si="63"/>
        <v>-3.0881303651511842E-4</v>
      </c>
      <c r="AP167" s="3" t="e">
        <f t="shared" ca="1" si="64"/>
        <v>#N/A</v>
      </c>
      <c r="AQ167" s="3" t="e">
        <f t="shared" ca="1" si="71"/>
        <v>#N/A</v>
      </c>
      <c r="AR167" s="3" t="e">
        <f t="shared" ca="1" si="65"/>
        <v>#N/A</v>
      </c>
      <c r="AS167" s="3" t="e">
        <f t="shared" ca="1" si="66"/>
        <v>#N/A</v>
      </c>
      <c r="AT167" s="3" t="e">
        <f t="shared" ca="1" si="67"/>
        <v>#N/A</v>
      </c>
      <c r="AU167" s="3" t="e">
        <f t="shared" ca="1" si="68"/>
        <v>#N/A</v>
      </c>
      <c r="AV167" s="10" t="e">
        <f t="shared" ca="1" si="72"/>
        <v>#N/A</v>
      </c>
      <c r="AW167" s="10" t="e">
        <f t="shared" ca="1" si="73"/>
        <v>#N/A</v>
      </c>
      <c r="AY167" s="3" t="e">
        <f t="shared" ca="1" si="79"/>
        <v>#N/A</v>
      </c>
      <c r="AZ167" s="3" t="e">
        <f t="shared" ca="1" si="74"/>
        <v>#N/A</v>
      </c>
      <c r="BA167" s="3" t="e">
        <f t="shared" ca="1" si="69"/>
        <v>#N/A</v>
      </c>
      <c r="BB167" s="3" t="e">
        <f t="shared" ca="1" si="75"/>
        <v>#N/A</v>
      </c>
      <c r="BC167" s="3" t="e">
        <f t="shared" ca="1" si="76"/>
        <v>#N/A</v>
      </c>
      <c r="BD167" s="3" t="e">
        <f t="shared" ca="1" si="70"/>
        <v>#N/A</v>
      </c>
      <c r="BE167" s="3" t="e">
        <f t="shared" ca="1" si="77"/>
        <v>#N/A</v>
      </c>
      <c r="BF167" s="3" t="e">
        <f t="shared" ca="1" si="78"/>
        <v>#N/A</v>
      </c>
    </row>
    <row r="168" spans="1:58" ht="15" x14ac:dyDescent="0.25">
      <c r="A168" s="72">
        <v>102</v>
      </c>
      <c r="B168" s="72">
        <v>1498730173.211</v>
      </c>
      <c r="C168" s="73">
        <v>1.2556543668149601E-4</v>
      </c>
      <c r="D168" s="73">
        <v>4.2508801354142498E-6</v>
      </c>
      <c r="E168" s="73">
        <v>8.0721482884753802E-4</v>
      </c>
      <c r="F168" s="73">
        <v>-5.1706462036289798E-5</v>
      </c>
      <c r="G168" s="73">
        <v>1.1862925704222401E-3</v>
      </c>
      <c r="H168" s="73">
        <v>1.8121373253286E-6</v>
      </c>
      <c r="I168" s="73">
        <v>4.8267948740441698E-4</v>
      </c>
      <c r="J168" s="73">
        <v>6.7853239838252402E-3</v>
      </c>
      <c r="K168" s="73"/>
      <c r="L168" s="73"/>
      <c r="M168" s="73"/>
      <c r="O168" s="13">
        <f t="shared" ca="1" si="40"/>
        <v>-1.3912179259006557E-4</v>
      </c>
      <c r="P168" s="13">
        <f t="shared" ca="1" si="41"/>
        <v>-7.0365952494259234E-6</v>
      </c>
      <c r="Q168" s="13">
        <f t="shared" ca="1" si="42"/>
        <v>-3.3524789125147334E-5</v>
      </c>
      <c r="R168" s="13">
        <f t="shared" ca="1" si="43"/>
        <v>-6.1482740926970919E-5</v>
      </c>
      <c r="S168" s="13">
        <f t="shared" ca="1" si="44"/>
        <v>5.1213937180866588E-5</v>
      </c>
      <c r="T168" s="13">
        <f t="shared" ca="1" si="45"/>
        <v>1.4623158143045134E-6</v>
      </c>
      <c r="U168" s="13">
        <f t="shared" ca="1" si="46"/>
        <v>-1.711645073841042E-4</v>
      </c>
      <c r="V168" s="13">
        <f t="shared" ca="1" si="47"/>
        <v>-3.5345693862892397E-4</v>
      </c>
      <c r="X168" s="3">
        <f t="shared" ca="1" si="48"/>
        <v>-1.3912179259006557E-4</v>
      </c>
      <c r="Y168" s="3">
        <f t="shared" ca="1" si="49"/>
        <v>-7.0365952494259234E-6</v>
      </c>
      <c r="Z168" s="3">
        <f t="shared" ca="1" si="50"/>
        <v>-3.3535976935389048E-5</v>
      </c>
      <c r="AA168" s="3">
        <f t="shared" ca="1" si="51"/>
        <v>-6.1753536788503312E-5</v>
      </c>
      <c r="AB168" s="3">
        <f t="shared" ca="1" si="52"/>
        <v>4.9244628309910391E-5</v>
      </c>
      <c r="AC168" s="3">
        <f t="shared" ca="1" si="53"/>
        <v>1.4623158143045134E-6</v>
      </c>
      <c r="AD168" s="3">
        <f t="shared" ca="1" si="54"/>
        <v>-1.7407270237591331E-4</v>
      </c>
      <c r="AE168" s="3">
        <f t="shared" ca="1" si="55"/>
        <v>-3.5463701650303981E-4</v>
      </c>
      <c r="AG168" s="3">
        <f t="shared" ca="1" si="56"/>
        <v>-1.3912179259006557E-4</v>
      </c>
      <c r="AH168" s="3">
        <f t="shared" ca="1" si="57"/>
        <v>-7.0365952494259234E-6</v>
      </c>
      <c r="AI168" s="3">
        <f t="shared" ca="1" si="58"/>
        <v>-3.3535976935389048E-5</v>
      </c>
      <c r="AJ168" s="3">
        <f t="shared" ca="1" si="59"/>
        <v>-6.1753536788503312E-5</v>
      </c>
      <c r="AK168" s="3">
        <f t="shared" ca="1" si="60"/>
        <v>4.9244628309910391E-5</v>
      </c>
      <c r="AL168" s="3">
        <f t="shared" ca="1" si="61"/>
        <v>1.4623158143045134E-6</v>
      </c>
      <c r="AM168" s="3">
        <f t="shared" ca="1" si="62"/>
        <v>-1.7407270237591331E-4</v>
      </c>
      <c r="AN168" s="3">
        <f t="shared" ca="1" si="63"/>
        <v>-3.5463701650303981E-4</v>
      </c>
      <c r="AP168" s="3" t="e">
        <f t="shared" ca="1" si="64"/>
        <v>#N/A</v>
      </c>
      <c r="AQ168" s="3" t="e">
        <f t="shared" ca="1" si="71"/>
        <v>#N/A</v>
      </c>
      <c r="AR168" s="3" t="e">
        <f t="shared" ca="1" si="65"/>
        <v>#N/A</v>
      </c>
      <c r="AS168" s="3" t="e">
        <f t="shared" ca="1" si="66"/>
        <v>#N/A</v>
      </c>
      <c r="AT168" s="3" t="e">
        <f t="shared" ca="1" si="67"/>
        <v>#N/A</v>
      </c>
      <c r="AU168" s="3" t="e">
        <f t="shared" ca="1" si="68"/>
        <v>#N/A</v>
      </c>
      <c r="AV168" s="10" t="e">
        <f t="shared" ca="1" si="72"/>
        <v>#N/A</v>
      </c>
      <c r="AW168" s="10" t="e">
        <f t="shared" ca="1" si="73"/>
        <v>#N/A</v>
      </c>
      <c r="AY168" s="3" t="e">
        <f t="shared" ca="1" si="79"/>
        <v>#N/A</v>
      </c>
      <c r="AZ168" s="3" t="e">
        <f t="shared" ca="1" si="74"/>
        <v>#N/A</v>
      </c>
      <c r="BA168" s="3" t="e">
        <f t="shared" ca="1" si="69"/>
        <v>#N/A</v>
      </c>
      <c r="BB168" s="3" t="e">
        <f t="shared" ca="1" si="75"/>
        <v>#N/A</v>
      </c>
      <c r="BC168" s="3" t="e">
        <f t="shared" ca="1" si="76"/>
        <v>#N/A</v>
      </c>
      <c r="BD168" s="3" t="e">
        <f t="shared" ca="1" si="70"/>
        <v>#N/A</v>
      </c>
      <c r="BE168" s="3" t="e">
        <f t="shared" ca="1" si="77"/>
        <v>#N/A</v>
      </c>
      <c r="BF168" s="3" t="e">
        <f t="shared" ca="1" si="78"/>
        <v>#N/A</v>
      </c>
    </row>
    <row r="169" spans="1:58" ht="15" x14ac:dyDescent="0.25">
      <c r="A169" s="72">
        <v>103</v>
      </c>
      <c r="B169" s="72">
        <v>1498730173.7379999</v>
      </c>
      <c r="C169" s="73">
        <v>3.4752154895175801E-4</v>
      </c>
      <c r="D169" s="73">
        <v>3.18892286822359E-5</v>
      </c>
      <c r="E169" s="73">
        <v>8.6779737075674704E-4</v>
      </c>
      <c r="F169" s="73">
        <v>-4.0999874238020401E-5</v>
      </c>
      <c r="G169" s="73">
        <v>1.0940205137788201E-3</v>
      </c>
      <c r="H169" s="73">
        <v>7.4106806889311301E-6</v>
      </c>
      <c r="I169" s="73">
        <v>7.55553374916085E-4</v>
      </c>
      <c r="J169" s="73">
        <v>6.8953815383610197E-3</v>
      </c>
      <c r="K169" s="73"/>
      <c r="L169" s="73"/>
      <c r="M169" s="73"/>
      <c r="O169" s="13">
        <f t="shared" ca="1" si="40"/>
        <v>8.2834319680196431E-5</v>
      </c>
      <c r="P169" s="13">
        <f t="shared" ca="1" si="41"/>
        <v>2.0601753297395729E-5</v>
      </c>
      <c r="Q169" s="13">
        <f t="shared" ca="1" si="42"/>
        <v>2.7057752784061685E-5</v>
      </c>
      <c r="R169" s="13">
        <f t="shared" ca="1" si="43"/>
        <v>-5.0776153128701528E-5</v>
      </c>
      <c r="S169" s="13">
        <f t="shared" ca="1" si="44"/>
        <v>-4.1058119462553415E-5</v>
      </c>
      <c r="T169" s="13">
        <f t="shared" ca="1" si="45"/>
        <v>7.0608591779070436E-6</v>
      </c>
      <c r="U169" s="13">
        <f t="shared" ca="1" si="46"/>
        <v>1.0170938012756382E-4</v>
      </c>
      <c r="V169" s="13">
        <f t="shared" ca="1" si="47"/>
        <v>-2.4339938409314449E-4</v>
      </c>
      <c r="X169" s="3">
        <f t="shared" ca="1" si="48"/>
        <v>8.2834319680196431E-5</v>
      </c>
      <c r="Y169" s="3">
        <f t="shared" ca="1" si="49"/>
        <v>2.0601753297395729E-5</v>
      </c>
      <c r="Z169" s="3">
        <f t="shared" ca="1" si="50"/>
        <v>2.7003731927654917E-5</v>
      </c>
      <c r="AA169" s="3">
        <f t="shared" ca="1" si="51"/>
        <v>-5.2083703403092563E-5</v>
      </c>
      <c r="AB169" s="3">
        <f t="shared" ca="1" si="52"/>
        <v>-5.0567017936880692E-5</v>
      </c>
      <c r="AC169" s="3">
        <f t="shared" ca="1" si="53"/>
        <v>7.0608591779070436E-6</v>
      </c>
      <c r="AD169" s="3">
        <f t="shared" ca="1" si="54"/>
        <v>8.7667026828646034E-5</v>
      </c>
      <c r="AE169" s="3">
        <f t="shared" ca="1" si="55"/>
        <v>-2.490974443935172E-4</v>
      </c>
      <c r="AG169" s="3">
        <f t="shared" ca="1" si="56"/>
        <v>8.2834319680196431E-5</v>
      </c>
      <c r="AH169" s="3">
        <f t="shared" ca="1" si="57"/>
        <v>2.0601753297395729E-5</v>
      </c>
      <c r="AI169" s="3">
        <f t="shared" ca="1" si="58"/>
        <v>1.040912892357499E-5</v>
      </c>
      <c r="AJ169" s="3">
        <f t="shared" ca="1" si="59"/>
        <v>-6.1247287802863415E-5</v>
      </c>
      <c r="AK169" s="3">
        <f t="shared" ca="1" si="60"/>
        <v>-5.0567017936880692E-5</v>
      </c>
      <c r="AL169" s="3">
        <f t="shared" ca="1" si="61"/>
        <v>7.0608591779070436E-6</v>
      </c>
      <c r="AM169" s="3">
        <f t="shared" ca="1" si="62"/>
        <v>8.7667026828646034E-5</v>
      </c>
      <c r="AN169" s="3">
        <f t="shared" ca="1" si="63"/>
        <v>-2.490974443935172E-4</v>
      </c>
      <c r="AP169" s="3" t="e">
        <f t="shared" ca="1" si="64"/>
        <v>#N/A</v>
      </c>
      <c r="AQ169" s="3" t="e">
        <f t="shared" ca="1" si="71"/>
        <v>#N/A</v>
      </c>
      <c r="AR169" s="3" t="e">
        <f t="shared" ca="1" si="65"/>
        <v>#N/A</v>
      </c>
      <c r="AS169" s="3" t="e">
        <f t="shared" ca="1" si="66"/>
        <v>#N/A</v>
      </c>
      <c r="AT169" s="3" t="e">
        <f t="shared" ca="1" si="67"/>
        <v>#N/A</v>
      </c>
      <c r="AU169" s="3" t="e">
        <f t="shared" ca="1" si="68"/>
        <v>#N/A</v>
      </c>
      <c r="AV169" s="10" t="e">
        <f t="shared" ca="1" si="72"/>
        <v>#N/A</v>
      </c>
      <c r="AW169" s="10" t="e">
        <f t="shared" ca="1" si="73"/>
        <v>#N/A</v>
      </c>
      <c r="AY169" s="3" t="e">
        <f t="shared" ca="1" si="79"/>
        <v>#N/A</v>
      </c>
      <c r="AZ169" s="3" t="e">
        <f t="shared" ca="1" si="74"/>
        <v>#N/A</v>
      </c>
      <c r="BA169" s="3" t="e">
        <f t="shared" ca="1" si="69"/>
        <v>#N/A</v>
      </c>
      <c r="BB169" s="3" t="e">
        <f t="shared" ca="1" si="75"/>
        <v>#N/A</v>
      </c>
      <c r="BC169" s="3" t="e">
        <f t="shared" ca="1" si="76"/>
        <v>#N/A</v>
      </c>
      <c r="BD169" s="3" t="e">
        <f t="shared" ca="1" si="70"/>
        <v>#N/A</v>
      </c>
      <c r="BE169" s="3" t="e">
        <f t="shared" ca="1" si="77"/>
        <v>#N/A</v>
      </c>
      <c r="BF169" s="3" t="e">
        <f t="shared" ca="1" si="78"/>
        <v>#N/A</v>
      </c>
    </row>
    <row r="170" spans="1:58" ht="15" x14ac:dyDescent="0.25">
      <c r="A170" s="72">
        <v>104</v>
      </c>
      <c r="B170" s="72">
        <v>1498730174.2650001</v>
      </c>
      <c r="C170" s="73">
        <v>2.60208167042453E-4</v>
      </c>
      <c r="D170" s="73">
        <v>6.6142951211850597E-5</v>
      </c>
      <c r="E170" s="73">
        <v>8.2397643169594703E-4</v>
      </c>
      <c r="F170" s="73">
        <v>4.6798475805077902E-5</v>
      </c>
      <c r="G170" s="73">
        <v>9.9508189931128699E-4</v>
      </c>
      <c r="H170" s="73">
        <v>-6.1710368452440098E-5</v>
      </c>
      <c r="I170" s="73">
        <v>5.7362915803320402E-4</v>
      </c>
      <c r="J170" s="73">
        <v>6.8213718743413698E-3</v>
      </c>
      <c r="K170" s="73"/>
      <c r="L170" s="73"/>
      <c r="M170" s="73"/>
      <c r="O170" s="13">
        <f t="shared" ca="1" si="40"/>
        <v>-4.4790622291085804E-6</v>
      </c>
      <c r="P170" s="13">
        <f t="shared" ca="1" si="41"/>
        <v>5.4855475827010425E-5</v>
      </c>
      <c r="Q170" s="13">
        <f t="shared" ca="1" si="42"/>
        <v>-1.6763186276738326E-5</v>
      </c>
      <c r="R170" s="13">
        <f t="shared" ca="1" si="43"/>
        <v>3.7022196914396775E-5</v>
      </c>
      <c r="S170" s="13">
        <f t="shared" ca="1" si="44"/>
        <v>-1.399967339300865E-4</v>
      </c>
      <c r="T170" s="13">
        <f t="shared" ca="1" si="45"/>
        <v>-6.2060189963464188E-5</v>
      </c>
      <c r="U170" s="13">
        <f t="shared" ca="1" si="46"/>
        <v>-8.0214836755317163E-5</v>
      </c>
      <c r="V170" s="13">
        <f t="shared" ca="1" si="47"/>
        <v>-3.174090481127944E-4</v>
      </c>
      <c r="X170" s="3">
        <f t="shared" ca="1" si="48"/>
        <v>-4.4790622291085804E-6</v>
      </c>
      <c r="Y170" s="3">
        <f t="shared" ca="1" si="49"/>
        <v>5.4855475827010425E-5</v>
      </c>
      <c r="Z170" s="3">
        <f t="shared" ca="1" si="50"/>
        <v>-1.6763186276738326E-5</v>
      </c>
      <c r="AA170" s="3">
        <f t="shared" ca="1" si="51"/>
        <v>3.7022196914396775E-5</v>
      </c>
      <c r="AB170" s="3">
        <f t="shared" ca="1" si="52"/>
        <v>-1.399967339300865E-4</v>
      </c>
      <c r="AC170" s="3">
        <f t="shared" ca="1" si="53"/>
        <v>-6.2060189963464188E-5</v>
      </c>
      <c r="AD170" s="3">
        <f t="shared" ca="1" si="54"/>
        <v>-8.0214836755317163E-5</v>
      </c>
      <c r="AE170" s="3">
        <f t="shared" ca="1" si="55"/>
        <v>-3.174090481127944E-4</v>
      </c>
      <c r="AG170" s="3">
        <f t="shared" ca="1" si="56"/>
        <v>-4.4790622291085804E-6</v>
      </c>
      <c r="AH170" s="3">
        <f t="shared" ca="1" si="57"/>
        <v>5.4855475827010425E-5</v>
      </c>
      <c r="AI170" s="3">
        <f t="shared" ca="1" si="58"/>
        <v>-6.0948981087911642E-5</v>
      </c>
      <c r="AJ170" s="3">
        <f t="shared" ca="1" si="59"/>
        <v>1.262268220930891E-5</v>
      </c>
      <c r="AK170" s="3">
        <f t="shared" ca="1" si="60"/>
        <v>-1.399967339300865E-4</v>
      </c>
      <c r="AL170" s="3">
        <f t="shared" ca="1" si="61"/>
        <v>-6.2060189963464188E-5</v>
      </c>
      <c r="AM170" s="3">
        <f t="shared" ca="1" si="62"/>
        <v>-8.0214836755317163E-5</v>
      </c>
      <c r="AN170" s="3">
        <f t="shared" ca="1" si="63"/>
        <v>-3.174090481127944E-4</v>
      </c>
      <c r="AP170" s="3" t="e">
        <f t="shared" ca="1" si="64"/>
        <v>#N/A</v>
      </c>
      <c r="AQ170" s="3" t="e">
        <f t="shared" ca="1" si="71"/>
        <v>#N/A</v>
      </c>
      <c r="AR170" s="3" t="e">
        <f t="shared" ca="1" si="65"/>
        <v>#N/A</v>
      </c>
      <c r="AS170" s="3" t="e">
        <f t="shared" ca="1" si="66"/>
        <v>#N/A</v>
      </c>
      <c r="AT170" s="3" t="e">
        <f t="shared" ca="1" si="67"/>
        <v>#N/A</v>
      </c>
      <c r="AU170" s="3" t="e">
        <f t="shared" ca="1" si="68"/>
        <v>#N/A</v>
      </c>
      <c r="AV170" s="10" t="e">
        <f t="shared" ca="1" si="72"/>
        <v>#N/A</v>
      </c>
      <c r="AW170" s="10" t="e">
        <f t="shared" ca="1" si="73"/>
        <v>#N/A</v>
      </c>
      <c r="AY170" s="3" t="e">
        <f t="shared" ca="1" si="79"/>
        <v>#N/A</v>
      </c>
      <c r="AZ170" s="3" t="e">
        <f t="shared" ca="1" si="74"/>
        <v>#N/A</v>
      </c>
      <c r="BA170" s="3" t="e">
        <f t="shared" ca="1" si="69"/>
        <v>#N/A</v>
      </c>
      <c r="BB170" s="3" t="e">
        <f t="shared" ca="1" si="75"/>
        <v>#N/A</v>
      </c>
      <c r="BC170" s="3" t="e">
        <f t="shared" ca="1" si="76"/>
        <v>#N/A</v>
      </c>
      <c r="BD170" s="3" t="e">
        <f t="shared" ca="1" si="70"/>
        <v>#N/A</v>
      </c>
      <c r="BE170" s="3" t="e">
        <f t="shared" ca="1" si="77"/>
        <v>#N/A</v>
      </c>
      <c r="BF170" s="3" t="e">
        <f t="shared" ca="1" si="78"/>
        <v>#N/A</v>
      </c>
    </row>
    <row r="171" spans="1:58" ht="15" x14ac:dyDescent="0.25">
      <c r="A171" s="72">
        <v>105</v>
      </c>
      <c r="B171" s="72">
        <v>1498730174.7920001</v>
      </c>
      <c r="C171" s="73">
        <v>2.9946255763136802E-4</v>
      </c>
      <c r="D171" s="73">
        <v>1.01342835982937E-4</v>
      </c>
      <c r="E171" s="73">
        <v>8.2900496704035496E-4</v>
      </c>
      <c r="F171" s="73">
        <v>4.4449204969696802E-6</v>
      </c>
      <c r="G171" s="73">
        <v>1.1145246797192199E-3</v>
      </c>
      <c r="H171" s="73">
        <v>-1.3588132113237501E-5</v>
      </c>
      <c r="I171" s="73">
        <v>7.1351310898072802E-4</v>
      </c>
      <c r="J171" s="73">
        <v>6.9562645499657303E-3</v>
      </c>
      <c r="K171" s="73"/>
      <c r="L171" s="73"/>
      <c r="M171" s="73"/>
      <c r="O171" s="13">
        <f t="shared" ca="1" si="40"/>
        <v>3.4775328359806432E-5</v>
      </c>
      <c r="P171" s="13">
        <f t="shared" ca="1" si="41"/>
        <v>9.0055360598096824E-5</v>
      </c>
      <c r="Q171" s="13">
        <f t="shared" ca="1" si="42"/>
        <v>-1.1734650932330396E-5</v>
      </c>
      <c r="R171" s="13">
        <f t="shared" ca="1" si="43"/>
        <v>-5.3313583937114455E-6</v>
      </c>
      <c r="S171" s="13">
        <f t="shared" ca="1" si="44"/>
        <v>-2.0553953522153574E-5</v>
      </c>
      <c r="T171" s="13">
        <f t="shared" ca="1" si="45"/>
        <v>-1.3937953624261587E-5</v>
      </c>
      <c r="U171" s="13">
        <f t="shared" ca="1" si="46"/>
        <v>5.9669114192206839E-5</v>
      </c>
      <c r="V171" s="13">
        <f t="shared" ca="1" si="47"/>
        <v>-1.8251637248843395E-4</v>
      </c>
      <c r="X171" s="3">
        <f t="shared" ca="1" si="48"/>
        <v>3.4775328359806432E-5</v>
      </c>
      <c r="Y171" s="3">
        <f t="shared" ca="1" si="49"/>
        <v>9.0055360598096824E-5</v>
      </c>
      <c r="Z171" s="3">
        <f t="shared" ca="1" si="50"/>
        <v>-1.1734650932330396E-5</v>
      </c>
      <c r="AA171" s="3">
        <f t="shared" ca="1" si="51"/>
        <v>-5.3313583937114455E-6</v>
      </c>
      <c r="AB171" s="3">
        <f t="shared" ca="1" si="52"/>
        <v>-2.0553953522153574E-5</v>
      </c>
      <c r="AC171" s="3">
        <f t="shared" ca="1" si="53"/>
        <v>-1.3937953624261587E-5</v>
      </c>
      <c r="AD171" s="3">
        <f t="shared" ca="1" si="54"/>
        <v>5.9669114192206839E-5</v>
      </c>
      <c r="AE171" s="3">
        <f t="shared" ca="1" si="55"/>
        <v>-1.8251637248843395E-4</v>
      </c>
      <c r="AG171" s="3">
        <f t="shared" ca="1" si="56"/>
        <v>3.4775328359806432E-5</v>
      </c>
      <c r="AH171" s="3">
        <f t="shared" ca="1" si="57"/>
        <v>9.0055360598096824E-5</v>
      </c>
      <c r="AI171" s="3">
        <f t="shared" ca="1" si="58"/>
        <v>-8.4273766217415875E-5</v>
      </c>
      <c r="AJ171" s="3">
        <f t="shared" ca="1" si="59"/>
        <v>-4.5387652903207177E-5</v>
      </c>
      <c r="AK171" s="3">
        <f t="shared" ca="1" si="60"/>
        <v>-2.0553953522153574E-5</v>
      </c>
      <c r="AL171" s="3">
        <f t="shared" ca="1" si="61"/>
        <v>-1.3937953624261587E-5</v>
      </c>
      <c r="AM171" s="3">
        <f t="shared" ca="1" si="62"/>
        <v>5.9669114192206839E-5</v>
      </c>
      <c r="AN171" s="3">
        <f t="shared" ca="1" si="63"/>
        <v>-1.8251637248843395E-4</v>
      </c>
      <c r="AP171" s="3" t="e">
        <f t="shared" ca="1" si="64"/>
        <v>#N/A</v>
      </c>
      <c r="AQ171" s="3" t="e">
        <f t="shared" ca="1" si="71"/>
        <v>#N/A</v>
      </c>
      <c r="AR171" s="3" t="e">
        <f t="shared" ca="1" si="65"/>
        <v>#N/A</v>
      </c>
      <c r="AS171" s="3" t="e">
        <f t="shared" ca="1" si="66"/>
        <v>#N/A</v>
      </c>
      <c r="AT171" s="3" t="e">
        <f t="shared" ca="1" si="67"/>
        <v>#N/A</v>
      </c>
      <c r="AU171" s="3" t="e">
        <f t="shared" ca="1" si="68"/>
        <v>#N/A</v>
      </c>
      <c r="AV171" s="10" t="e">
        <f t="shared" ca="1" si="72"/>
        <v>#N/A</v>
      </c>
      <c r="AW171" s="10" t="e">
        <f t="shared" ca="1" si="73"/>
        <v>#N/A</v>
      </c>
      <c r="AY171" s="3" t="e">
        <f t="shared" ca="1" si="79"/>
        <v>#N/A</v>
      </c>
      <c r="AZ171" s="3" t="e">
        <f t="shared" ca="1" si="74"/>
        <v>#N/A</v>
      </c>
      <c r="BA171" s="3" t="e">
        <f t="shared" ca="1" si="69"/>
        <v>#N/A</v>
      </c>
      <c r="BB171" s="3" t="e">
        <f t="shared" ca="1" si="75"/>
        <v>#N/A</v>
      </c>
      <c r="BC171" s="3" t="e">
        <f t="shared" ca="1" si="76"/>
        <v>#N/A</v>
      </c>
      <c r="BD171" s="3" t="e">
        <f t="shared" ca="1" si="70"/>
        <v>#N/A</v>
      </c>
      <c r="BE171" s="3" t="e">
        <f t="shared" ca="1" si="77"/>
        <v>#N/A</v>
      </c>
      <c r="BF171" s="3" t="e">
        <f t="shared" ca="1" si="78"/>
        <v>#N/A</v>
      </c>
    </row>
    <row r="172" spans="1:58" ht="15" x14ac:dyDescent="0.25">
      <c r="A172" s="72">
        <v>106</v>
      </c>
      <c r="B172" s="72">
        <v>1498730175.319</v>
      </c>
      <c r="C172" s="73">
        <v>3.6036939388128298E-4</v>
      </c>
      <c r="D172" s="73">
        <v>3.89761087352204E-5</v>
      </c>
      <c r="E172" s="73">
        <v>1.02633497153615E-3</v>
      </c>
      <c r="F172" s="73">
        <v>-2.6010458470676699E-5</v>
      </c>
      <c r="G172" s="73">
        <v>3.26202151077445E-3</v>
      </c>
      <c r="H172" s="73">
        <v>-4.8962494633796404E-6</v>
      </c>
      <c r="I172" s="73">
        <v>2.1491092807585399E-3</v>
      </c>
      <c r="J172" s="73">
        <v>2.4336663843899198E-2</v>
      </c>
      <c r="K172" s="73"/>
      <c r="L172" s="73"/>
      <c r="M172" s="73"/>
      <c r="O172" s="13">
        <f t="shared" ca="1" si="40"/>
        <v>9.5682164609721398E-5</v>
      </c>
      <c r="P172" s="13">
        <f t="shared" ca="1" si="41"/>
        <v>2.7688633350380228E-5</v>
      </c>
      <c r="Q172" s="13">
        <f t="shared" ca="1" si="42"/>
        <v>1.8559535356346463E-4</v>
      </c>
      <c r="R172" s="13">
        <f t="shared" ca="1" si="43"/>
        <v>-3.5786737361357823E-5</v>
      </c>
      <c r="S172" s="13">
        <f t="shared" ca="1" si="44"/>
        <v>2.1269428775330763E-3</v>
      </c>
      <c r="T172" s="13">
        <f t="shared" ca="1" si="45"/>
        <v>-5.2460709744037268E-6</v>
      </c>
      <c r="U172" s="13">
        <f t="shared" ca="1" si="46"/>
        <v>1.4952652859700187E-3</v>
      </c>
      <c r="V172" s="13">
        <f t="shared" ca="1" si="47"/>
        <v>1.7197882921445036E-2</v>
      </c>
      <c r="X172" s="3">
        <f t="shared" ca="1" si="48"/>
        <v>9.5682164609721398E-5</v>
      </c>
      <c r="Y172" s="3">
        <f t="shared" ca="1" si="49"/>
        <v>2.7688633350380228E-5</v>
      </c>
      <c r="Z172" s="3">
        <f t="shared" ca="1" si="50"/>
        <v>1.8559535356346463E-4</v>
      </c>
      <c r="AA172" s="3">
        <f t="shared" ca="1" si="51"/>
        <v>-3.5786737361357823E-5</v>
      </c>
      <c r="AB172" s="3">
        <f t="shared" ca="1" si="52"/>
        <v>2.1269428775330763E-3</v>
      </c>
      <c r="AC172" s="3">
        <f t="shared" ca="1" si="53"/>
        <v>-5.2460709744037268E-6</v>
      </c>
      <c r="AD172" s="3">
        <f t="shared" ca="1" si="54"/>
        <v>1.4952652859700187E-3</v>
      </c>
      <c r="AE172" s="3">
        <f t="shared" ca="1" si="55"/>
        <v>1.7197882921445036E-2</v>
      </c>
      <c r="AG172" s="3">
        <f t="shared" ca="1" si="56"/>
        <v>9.5682164609721398E-5</v>
      </c>
      <c r="AH172" s="3">
        <f t="shared" ca="1" si="57"/>
        <v>2.7688633350380228E-5</v>
      </c>
      <c r="AI172" s="3">
        <f t="shared" ca="1" si="58"/>
        <v>1.6329230626733131E-4</v>
      </c>
      <c r="AJ172" s="3">
        <f t="shared" ca="1" si="59"/>
        <v>-4.8102540048529735E-5</v>
      </c>
      <c r="AK172" s="3">
        <f t="shared" ca="1" si="60"/>
        <v>2.1269428775330763E-3</v>
      </c>
      <c r="AL172" s="3">
        <f t="shared" ca="1" si="61"/>
        <v>-5.2460709744037268E-6</v>
      </c>
      <c r="AM172" s="3">
        <f t="shared" ca="1" si="62"/>
        <v>1.4952652859700187E-3</v>
      </c>
      <c r="AN172" s="3">
        <f t="shared" ca="1" si="63"/>
        <v>1.7197882921445036E-2</v>
      </c>
      <c r="AP172" s="3">
        <f t="shared" ca="1" si="64"/>
        <v>8.0857286310349394</v>
      </c>
      <c r="AQ172" s="3">
        <f t="shared" ca="1" si="71"/>
        <v>0.37217663531341488</v>
      </c>
      <c r="AR172" s="3">
        <f t="shared" ca="1" si="65"/>
        <v>-1.3318987499995029E-5</v>
      </c>
      <c r="AS172" s="3">
        <f t="shared" ca="1" si="66"/>
        <v>1.5085842734700137E-3</v>
      </c>
      <c r="AT172" s="3">
        <f t="shared" ca="1" si="67"/>
        <v>0.72194961386811551</v>
      </c>
      <c r="AU172" s="3">
        <f t="shared" ca="1" si="68"/>
        <v>8.4174315911777889E-2</v>
      </c>
      <c r="AV172" s="10" t="str">
        <f t="shared" ca="1" si="72"/>
        <v>rejected</v>
      </c>
      <c r="AW172" s="10" t="e">
        <f t="shared" ca="1" si="73"/>
        <v>#N/A</v>
      </c>
      <c r="AY172" s="3">
        <f t="shared" ca="1" si="79"/>
        <v>8.0857286310349394</v>
      </c>
      <c r="AZ172" s="3">
        <f t="shared" ca="1" si="74"/>
        <v>0.37217663531341488</v>
      </c>
      <c r="BA172" s="3">
        <f t="shared" ca="1" si="69"/>
        <v>-1.7902641505290585E-5</v>
      </c>
      <c r="BB172" s="3">
        <f t="shared" ca="1" si="75"/>
        <v>1.5131679274753092E-3</v>
      </c>
      <c r="BC172" s="3">
        <f t="shared" ca="1" si="76"/>
        <v>0.72414317195924982</v>
      </c>
      <c r="BD172" s="3">
        <f t="shared" ca="1" si="70"/>
        <v>7.4059064032597141E-2</v>
      </c>
      <c r="BE172" s="3" t="str">
        <f t="shared" ca="1" si="77"/>
        <v>rejected</v>
      </c>
      <c r="BF172" s="3" t="e">
        <f t="shared" ca="1" si="78"/>
        <v>#N/A</v>
      </c>
    </row>
    <row r="173" spans="1:58" ht="15" x14ac:dyDescent="0.25">
      <c r="A173" s="72">
        <v>107</v>
      </c>
      <c r="B173" s="72">
        <v>1498730175.846</v>
      </c>
      <c r="C173" s="73">
        <v>3.0826526915466498E-4</v>
      </c>
      <c r="D173" s="73">
        <v>6.47255323424968E-5</v>
      </c>
      <c r="E173" s="73">
        <v>1.4012249423298699E-3</v>
      </c>
      <c r="F173" s="73">
        <v>-9.8311540410493994E-6</v>
      </c>
      <c r="G173" s="73">
        <v>1.16033930259419E-2</v>
      </c>
      <c r="H173" s="73">
        <v>5.3982964448837801E-5</v>
      </c>
      <c r="I173" s="73">
        <v>8.2728121348200102E-3</v>
      </c>
      <c r="J173" s="73">
        <v>9.66136893123343E-2</v>
      </c>
      <c r="K173" s="73"/>
      <c r="L173" s="73"/>
      <c r="M173" s="73"/>
      <c r="O173" s="13">
        <f t="shared" ca="1" si="40"/>
        <v>4.3578039883103393E-5</v>
      </c>
      <c r="P173" s="13">
        <f t="shared" ca="1" si="41"/>
        <v>5.3438056957656628E-5</v>
      </c>
      <c r="Q173" s="13">
        <f t="shared" ca="1" si="42"/>
        <v>5.6048532435718456E-4</v>
      </c>
      <c r="R173" s="13">
        <f t="shared" ca="1" si="43"/>
        <v>-1.9607432931730525E-5</v>
      </c>
      <c r="S173" s="13">
        <f t="shared" ca="1" si="44"/>
        <v>1.0468314392700526E-2</v>
      </c>
      <c r="T173" s="13">
        <f t="shared" ca="1" si="45"/>
        <v>5.3633142937813712E-5</v>
      </c>
      <c r="U173" s="13">
        <f t="shared" ca="1" si="46"/>
        <v>7.6189681400314893E-3</v>
      </c>
      <c r="V173" s="13">
        <f t="shared" ca="1" si="47"/>
        <v>8.9474908389880134E-2</v>
      </c>
      <c r="X173" s="3">
        <f t="shared" ca="1" si="48"/>
        <v>4.3578039883103393E-5</v>
      </c>
      <c r="Y173" s="3">
        <f t="shared" ca="1" si="49"/>
        <v>5.3438056957656628E-5</v>
      </c>
      <c r="Z173" s="3">
        <f t="shared" ca="1" si="50"/>
        <v>5.6007499067961281E-4</v>
      </c>
      <c r="AA173" s="3">
        <f t="shared" ca="1" si="51"/>
        <v>-2.9539373082047887E-5</v>
      </c>
      <c r="AB173" s="3">
        <f t="shared" ca="1" si="52"/>
        <v>1.0396086339682491E-2</v>
      </c>
      <c r="AC173" s="3">
        <f t="shared" ca="1" si="53"/>
        <v>5.3633142937813712E-5</v>
      </c>
      <c r="AD173" s="3">
        <f t="shared" ca="1" si="54"/>
        <v>7.5123046982763205E-3</v>
      </c>
      <c r="AE173" s="3">
        <f t="shared" ca="1" si="55"/>
        <v>8.9431626846535606E-2</v>
      </c>
      <c r="AG173" s="3">
        <f t="shared" ca="1" si="56"/>
        <v>4.3578039883103393E-5</v>
      </c>
      <c r="AH173" s="3">
        <f t="shared" ca="1" si="57"/>
        <v>5.3438056957656628E-5</v>
      </c>
      <c r="AI173" s="3">
        <f t="shared" ca="1" si="58"/>
        <v>5.1703091924935147E-4</v>
      </c>
      <c r="AJ173" s="3">
        <f t="shared" ca="1" si="59"/>
        <v>-5.3308425066237469E-5</v>
      </c>
      <c r="AK173" s="3">
        <f t="shared" ca="1" si="60"/>
        <v>1.0396086339682491E-2</v>
      </c>
      <c r="AL173" s="3">
        <f t="shared" ca="1" si="61"/>
        <v>5.3633142937813712E-5</v>
      </c>
      <c r="AM173" s="3">
        <f t="shared" ca="1" si="62"/>
        <v>7.5123046982763205E-3</v>
      </c>
      <c r="AN173" s="3">
        <f t="shared" ca="1" si="63"/>
        <v>8.9431626846535606E-2</v>
      </c>
      <c r="AP173" s="3">
        <f t="shared" ca="1" si="64"/>
        <v>8.5472125724720573</v>
      </c>
      <c r="AQ173" s="3">
        <f t="shared" ca="1" si="71"/>
        <v>0.39368314126669307</v>
      </c>
      <c r="AR173" s="3">
        <f t="shared" ca="1" si="65"/>
        <v>-7.7191157887396787E-6</v>
      </c>
      <c r="AS173" s="3">
        <f t="shared" ca="1" si="66"/>
        <v>7.6266872558202288E-3</v>
      </c>
      <c r="AT173" s="3">
        <f t="shared" ca="1" si="67"/>
        <v>0.72112911483826558</v>
      </c>
      <c r="AU173" s="3">
        <f t="shared" ca="1" si="68"/>
        <v>5.4666543515596543E-2</v>
      </c>
      <c r="AV173" s="10" t="str">
        <f t="shared" ca="1" si="72"/>
        <v>rejected</v>
      </c>
      <c r="AW173" s="10" t="e">
        <f t="shared" ca="1" si="73"/>
        <v>#N/A</v>
      </c>
      <c r="AY173" s="3">
        <f t="shared" ca="1" si="79"/>
        <v>8.6024321003539264</v>
      </c>
      <c r="AZ173" s="3">
        <f t="shared" ca="1" si="74"/>
        <v>0.39625749224788681</v>
      </c>
      <c r="BA173" s="3">
        <f t="shared" ca="1" si="69"/>
        <v>-2.112386283243165E-5</v>
      </c>
      <c r="BB173" s="3">
        <f t="shared" ca="1" si="75"/>
        <v>7.5334285611087523E-3</v>
      </c>
      <c r="BC173" s="3">
        <f t="shared" ca="1" si="76"/>
        <v>0.71493773887024736</v>
      </c>
      <c r="BD173" s="3">
        <f t="shared" ca="1" si="70"/>
        <v>5.1114314197104452E-2</v>
      </c>
      <c r="BE173" s="3" t="str">
        <f t="shared" ca="1" si="77"/>
        <v>rejected</v>
      </c>
      <c r="BF173" s="3" t="e">
        <f t="shared" ca="1" si="78"/>
        <v>#N/A</v>
      </c>
    </row>
    <row r="174" spans="1:58" ht="15" x14ac:dyDescent="0.25">
      <c r="A174" s="72">
        <v>108</v>
      </c>
      <c r="B174" s="72">
        <v>1498730176.3729999</v>
      </c>
      <c r="C174" s="73">
        <v>1.8598590048409601E-4</v>
      </c>
      <c r="D174" s="73">
        <v>7.1812646937968605E-5</v>
      </c>
      <c r="E174" s="73">
        <v>1.5291746543106301E-3</v>
      </c>
      <c r="F174" s="73">
        <v>6.8242860951090903E-6</v>
      </c>
      <c r="G174" s="73">
        <v>1.61874247841132E-2</v>
      </c>
      <c r="H174" s="73">
        <v>1.0089966869829699E-6</v>
      </c>
      <c r="I174" s="73">
        <v>1.1516074347141501E-2</v>
      </c>
      <c r="J174" s="73">
        <v>0.13763983685638201</v>
      </c>
      <c r="K174" s="73"/>
      <c r="L174" s="73"/>
      <c r="M174" s="73"/>
      <c r="O174" s="13">
        <f t="shared" ca="1" si="40"/>
        <v>-7.8701328787465574E-5</v>
      </c>
      <c r="P174" s="13">
        <f t="shared" ca="1" si="41"/>
        <v>6.0525171553128434E-5</v>
      </c>
      <c r="Q174" s="13">
        <f t="shared" ca="1" si="42"/>
        <v>6.8843503633794474E-4</v>
      </c>
      <c r="R174" s="13">
        <f t="shared" ca="1" si="43"/>
        <v>-2.9519927955720353E-6</v>
      </c>
      <c r="S174" s="13">
        <f t="shared" ca="1" si="44"/>
        <v>1.5052346150871827E-2</v>
      </c>
      <c r="T174" s="13">
        <f t="shared" ca="1" si="45"/>
        <v>6.5917517595888325E-7</v>
      </c>
      <c r="U174" s="13">
        <f t="shared" ca="1" si="46"/>
        <v>1.0862230352352979E-2</v>
      </c>
      <c r="V174" s="13">
        <f t="shared" ca="1" si="47"/>
        <v>0.13050105593392786</v>
      </c>
      <c r="X174" s="3">
        <f t="shared" ca="1" si="48"/>
        <v>-7.8701328787465574E-5</v>
      </c>
      <c r="Y174" s="3">
        <f t="shared" ca="1" si="49"/>
        <v>6.0525171553128434E-5</v>
      </c>
      <c r="Z174" s="3">
        <f t="shared" ca="1" si="50"/>
        <v>6.8842999315458272E-4</v>
      </c>
      <c r="AA174" s="3">
        <f t="shared" ca="1" si="51"/>
        <v>-3.0740607564929438E-6</v>
      </c>
      <c r="AB174" s="3">
        <f t="shared" ca="1" si="52"/>
        <v>1.5051458435982313E-2</v>
      </c>
      <c r="AC174" s="3">
        <f t="shared" ca="1" si="53"/>
        <v>6.5917517595888325E-7</v>
      </c>
      <c r="AD174" s="3">
        <f t="shared" ca="1" si="54"/>
        <v>1.086091941122337E-2</v>
      </c>
      <c r="AE174" s="3">
        <f t="shared" ca="1" si="55"/>
        <v>0.13050052398451398</v>
      </c>
      <c r="AG174" s="3">
        <f t="shared" ca="1" si="56"/>
        <v>-7.8701328787465574E-5</v>
      </c>
      <c r="AH174" s="3">
        <f t="shared" ca="1" si="57"/>
        <v>6.0525171553128434E-5</v>
      </c>
      <c r="AI174" s="3">
        <f t="shared" ca="1" si="58"/>
        <v>6.3967728850953859E-4</v>
      </c>
      <c r="AJ174" s="3">
        <f t="shared" ca="1" si="59"/>
        <v>-2.9995435351722781E-5</v>
      </c>
      <c r="AK174" s="3">
        <f t="shared" ca="1" si="60"/>
        <v>1.5051458435982313E-2</v>
      </c>
      <c r="AL174" s="3">
        <f t="shared" ca="1" si="61"/>
        <v>6.5917517595888325E-7</v>
      </c>
      <c r="AM174" s="3">
        <f t="shared" ca="1" si="62"/>
        <v>1.086091941122337E-2</v>
      </c>
      <c r="AN174" s="3">
        <f t="shared" ca="1" si="63"/>
        <v>0.13050052398451398</v>
      </c>
      <c r="AP174" s="3">
        <f t="shared" ca="1" si="64"/>
        <v>8.669814966112062</v>
      </c>
      <c r="AQ174" s="3">
        <f t="shared" ca="1" si="71"/>
        <v>0.39939917309433492</v>
      </c>
      <c r="AR174" s="3">
        <f t="shared" ca="1" si="65"/>
        <v>-1.1790234815319049E-6</v>
      </c>
      <c r="AS174" s="3">
        <f t="shared" ca="1" si="66"/>
        <v>1.086340937583451E-2</v>
      </c>
      <c r="AT174" s="3">
        <f t="shared" ca="1" si="67"/>
        <v>0.70925255800452403</v>
      </c>
      <c r="AU174" s="3">
        <f t="shared" ca="1" si="68"/>
        <v>4.7382942761498216E-2</v>
      </c>
      <c r="AV174" s="10">
        <f t="shared" ca="1" si="72"/>
        <v>0.70925255800452403</v>
      </c>
      <c r="AW174" s="10">
        <f t="shared" ca="1" si="73"/>
        <v>0.70925255800452403</v>
      </c>
      <c r="AY174" s="3">
        <f t="shared" ca="1" si="79"/>
        <v>8.6702909581530552</v>
      </c>
      <c r="AZ174" s="3">
        <f t="shared" ca="1" si="74"/>
        <v>0.39942136695960717</v>
      </c>
      <c r="BA174" s="3">
        <f t="shared" ca="1" si="69"/>
        <v>-1.1980817790733639E-5</v>
      </c>
      <c r="BB174" s="3">
        <f t="shared" ca="1" si="75"/>
        <v>1.0872900229014104E-2</v>
      </c>
      <c r="BC174" s="3">
        <f t="shared" ca="1" si="76"/>
        <v>0.70989443896888504</v>
      </c>
      <c r="BD174" s="3">
        <f t="shared" ca="1" si="70"/>
        <v>4.4032161707362898E-2</v>
      </c>
      <c r="BE174" s="3" t="str">
        <f t="shared" ca="1" si="77"/>
        <v>rejected</v>
      </c>
      <c r="BF174" s="3" t="e">
        <f t="shared" ca="1" si="78"/>
        <v>#N/A</v>
      </c>
    </row>
    <row r="175" spans="1:58" ht="15" x14ac:dyDescent="0.25">
      <c r="A175" s="72">
        <v>109</v>
      </c>
      <c r="B175" s="72">
        <v>1498730176.9000001</v>
      </c>
      <c r="C175" s="73">
        <v>2.6092186946186698E-4</v>
      </c>
      <c r="D175" s="73">
        <v>-4.2756166598615798E-5</v>
      </c>
      <c r="E175" s="73">
        <v>3.3138871046099099E-3</v>
      </c>
      <c r="F175" s="73">
        <v>1.9409813976802999E-4</v>
      </c>
      <c r="G175" s="73">
        <v>5.0785312144872197E-2</v>
      </c>
      <c r="H175" s="73">
        <v>-5.0685402265564297E-5</v>
      </c>
      <c r="I175" s="73">
        <v>3.6351985146885202E-2</v>
      </c>
      <c r="J175" s="73">
        <v>0.43302679167533198</v>
      </c>
      <c r="K175" s="73"/>
      <c r="L175" s="73"/>
      <c r="M175" s="73"/>
      <c r="O175" s="13">
        <f t="shared" ca="1" si="40"/>
        <v>-3.7653598096946007E-6</v>
      </c>
      <c r="P175" s="13">
        <f t="shared" ca="1" si="41"/>
        <v>-5.404364198345597E-5</v>
      </c>
      <c r="Q175" s="13">
        <f t="shared" ca="1" si="42"/>
        <v>2.4731474866372246E-3</v>
      </c>
      <c r="R175" s="13">
        <f t="shared" ca="1" si="43"/>
        <v>1.8432186087734886E-4</v>
      </c>
      <c r="S175" s="13">
        <f t="shared" ca="1" si="44"/>
        <v>4.9650233511630823E-2</v>
      </c>
      <c r="T175" s="13">
        <f t="shared" ca="1" si="45"/>
        <v>-5.1035223776588387E-5</v>
      </c>
      <c r="U175" s="13">
        <f t="shared" ca="1" si="46"/>
        <v>3.5698141152096678E-2</v>
      </c>
      <c r="V175" s="13">
        <f t="shared" ca="1" si="47"/>
        <v>0.4258880107528778</v>
      </c>
      <c r="X175" s="3">
        <f t="shared" ca="1" si="48"/>
        <v>-3.7653598096946007E-6</v>
      </c>
      <c r="Y175" s="3">
        <f t="shared" ca="1" si="49"/>
        <v>-5.404364198345597E-5</v>
      </c>
      <c r="Z175" s="3">
        <f t="shared" ca="1" si="50"/>
        <v>2.4731474866372246E-3</v>
      </c>
      <c r="AA175" s="3">
        <f t="shared" ca="1" si="51"/>
        <v>1.8432186087734886E-4</v>
      </c>
      <c r="AB175" s="3">
        <f t="shared" ca="1" si="52"/>
        <v>4.9650233511630823E-2</v>
      </c>
      <c r="AC175" s="3">
        <f t="shared" ca="1" si="53"/>
        <v>-5.1035223776588387E-5</v>
      </c>
      <c r="AD175" s="3">
        <f t="shared" ca="1" si="54"/>
        <v>3.5698141152096678E-2</v>
      </c>
      <c r="AE175" s="3">
        <f t="shared" ca="1" si="55"/>
        <v>0.4258880107528778</v>
      </c>
      <c r="AG175" s="3">
        <f t="shared" ca="1" si="56"/>
        <v>-3.7653598096946007E-6</v>
      </c>
      <c r="AH175" s="3">
        <f t="shared" ca="1" si="57"/>
        <v>-5.404364198345597E-5</v>
      </c>
      <c r="AI175" s="3">
        <f t="shared" ca="1" si="58"/>
        <v>2.4731474866372246E-3</v>
      </c>
      <c r="AJ175" s="3">
        <f t="shared" ca="1" si="59"/>
        <v>1.8432186087734886E-4</v>
      </c>
      <c r="AK175" s="3">
        <f t="shared" ca="1" si="60"/>
        <v>4.9650233511630823E-2</v>
      </c>
      <c r="AL175" s="3">
        <f t="shared" ca="1" si="61"/>
        <v>-5.1035223776588387E-5</v>
      </c>
      <c r="AM175" s="3">
        <f t="shared" ca="1" si="62"/>
        <v>3.5698141152096678E-2</v>
      </c>
      <c r="AN175" s="3">
        <f t="shared" ca="1" si="63"/>
        <v>0.4258880107528778</v>
      </c>
      <c r="AP175" s="3">
        <f t="shared" ca="1" si="64"/>
        <v>8.577764506447112</v>
      </c>
      <c r="AQ175" s="3">
        <f t="shared" ca="1" si="71"/>
        <v>0.39510745676240405</v>
      </c>
      <c r="AR175" s="3">
        <f t="shared" ca="1" si="65"/>
        <v>7.2826941676962966E-5</v>
      </c>
      <c r="AS175" s="3">
        <f t="shared" ca="1" si="66"/>
        <v>3.5625314210419715E-2</v>
      </c>
      <c r="AT175" s="3">
        <f t="shared" ca="1" si="67"/>
        <v>0.70894228787283498</v>
      </c>
      <c r="AU175" s="3">
        <f t="shared" ca="1" si="68"/>
        <v>5.1044445528878324E-2</v>
      </c>
      <c r="AV175" s="10">
        <f t="shared" ca="1" si="72"/>
        <v>0.70894228787283498</v>
      </c>
      <c r="AW175" s="10">
        <f t="shared" ca="1" si="73"/>
        <v>0.70894228787283498</v>
      </c>
      <c r="AY175" s="3">
        <f t="shared" ca="1" si="79"/>
        <v>8.577764506447112</v>
      </c>
      <c r="AZ175" s="3">
        <f t="shared" ca="1" si="74"/>
        <v>0.39510745676240405</v>
      </c>
      <c r="BA175" s="3">
        <f t="shared" ca="1" si="69"/>
        <v>7.2826941676962966E-5</v>
      </c>
      <c r="BB175" s="3">
        <f t="shared" ca="1" si="75"/>
        <v>3.5625314210419715E-2</v>
      </c>
      <c r="BC175" s="3">
        <f t="shared" ca="1" si="76"/>
        <v>0.70894228787283498</v>
      </c>
      <c r="BD175" s="3">
        <f t="shared" ca="1" si="70"/>
        <v>5.1044445528878324E-2</v>
      </c>
      <c r="BE175" s="3">
        <f t="shared" ca="1" si="77"/>
        <v>0.70894228787283498</v>
      </c>
      <c r="BF175" s="3">
        <f t="shared" ca="1" si="78"/>
        <v>0.70894228787283498</v>
      </c>
    </row>
    <row r="176" spans="1:58" ht="15" x14ac:dyDescent="0.25">
      <c r="A176" s="72">
        <v>110</v>
      </c>
      <c r="B176" s="72">
        <v>1498730177.427</v>
      </c>
      <c r="C176" s="73">
        <v>2.2309634414135901E-4</v>
      </c>
      <c r="D176" s="73">
        <v>1.06776486502657E-4</v>
      </c>
      <c r="E176" s="73">
        <v>8.1981717139365303E-3</v>
      </c>
      <c r="F176" s="73">
        <v>3.9426060819565298E-4</v>
      </c>
      <c r="G176" s="73">
        <v>0.14615570785762899</v>
      </c>
      <c r="H176" s="73">
        <v>4.49787023231543E-5</v>
      </c>
      <c r="I176" s="73">
        <v>0.10494659988275699</v>
      </c>
      <c r="J176" s="73">
        <v>1.25258501022776</v>
      </c>
      <c r="K176" s="73"/>
      <c r="L176" s="73"/>
      <c r="M176" s="73"/>
      <c r="O176" s="13">
        <f t="shared" ca="1" si="40"/>
        <v>-4.1590885130202572E-5</v>
      </c>
      <c r="P176" s="13">
        <f t="shared" ca="1" si="41"/>
        <v>9.5489011117816825E-5</v>
      </c>
      <c r="Q176" s="13">
        <f t="shared" ca="1" si="42"/>
        <v>7.3574320959638451E-3</v>
      </c>
      <c r="R176" s="13">
        <f t="shared" ca="1" si="43"/>
        <v>3.8448432930497184E-4</v>
      </c>
      <c r="S176" s="13">
        <f t="shared" ca="1" si="44"/>
        <v>0.14502062922438763</v>
      </c>
      <c r="T176" s="13">
        <f t="shared" ca="1" si="45"/>
        <v>4.462888081213021E-5</v>
      </c>
      <c r="U176" s="13">
        <f t="shared" ca="1" si="46"/>
        <v>0.10429275588796848</v>
      </c>
      <c r="V176" s="13">
        <f t="shared" ca="1" si="47"/>
        <v>1.2454462293053059</v>
      </c>
      <c r="X176" s="3">
        <f t="shared" ca="1" si="48"/>
        <v>-4.1590885130202572E-5</v>
      </c>
      <c r="Y176" s="3">
        <f t="shared" ca="1" si="49"/>
        <v>9.5489011117816825E-5</v>
      </c>
      <c r="Z176" s="3">
        <f t="shared" ca="1" si="50"/>
        <v>7.3570906516294944E-3</v>
      </c>
      <c r="AA176" s="3">
        <f t="shared" ca="1" si="51"/>
        <v>3.7621982439397562E-4</v>
      </c>
      <c r="AB176" s="3">
        <f t="shared" ca="1" si="52"/>
        <v>0.14496052726144334</v>
      </c>
      <c r="AC176" s="3">
        <f t="shared" ca="1" si="53"/>
        <v>4.462888081213021E-5</v>
      </c>
      <c r="AD176" s="3">
        <f t="shared" ca="1" si="54"/>
        <v>0.10420399976128349</v>
      </c>
      <c r="AE176" s="3">
        <f t="shared" ca="1" si="55"/>
        <v>1.2454102141338377</v>
      </c>
      <c r="AG176" s="3">
        <f t="shared" ca="1" si="56"/>
        <v>-4.1590885130202572E-5</v>
      </c>
      <c r="AH176" s="3">
        <f t="shared" ca="1" si="57"/>
        <v>9.5489011117816825E-5</v>
      </c>
      <c r="AI176" s="3">
        <f t="shared" ca="1" si="58"/>
        <v>7.2801747596722474E-3</v>
      </c>
      <c r="AJ176" s="3">
        <f t="shared" ca="1" si="59"/>
        <v>3.3374666203747936E-4</v>
      </c>
      <c r="AK176" s="3">
        <f t="shared" ca="1" si="60"/>
        <v>0.14496052726144334</v>
      </c>
      <c r="AL176" s="3">
        <f t="shared" ca="1" si="61"/>
        <v>4.462888081213021E-5</v>
      </c>
      <c r="AM176" s="3">
        <f t="shared" ca="1" si="62"/>
        <v>0.10420399976128349</v>
      </c>
      <c r="AN176" s="3">
        <f t="shared" ca="1" si="63"/>
        <v>1.2454102141338377</v>
      </c>
      <c r="AP176" s="3">
        <f t="shared" ca="1" si="64"/>
        <v>8.5880625119771814</v>
      </c>
      <c r="AQ176" s="3">
        <f t="shared" ca="1" si="71"/>
        <v>0.39558755837595228</v>
      </c>
      <c r="AR176" s="3">
        <f t="shared" ca="1" si="65"/>
        <v>1.5209721706356939E-4</v>
      </c>
      <c r="AS176" s="3">
        <f t="shared" ca="1" si="66"/>
        <v>0.10414065867090491</v>
      </c>
      <c r="AT176" s="3">
        <f t="shared" ca="1" si="67"/>
        <v>0.70909038744848685</v>
      </c>
      <c r="AU176" s="3">
        <f t="shared" ca="1" si="68"/>
        <v>5.2053440579977815E-2</v>
      </c>
      <c r="AV176" s="10">
        <f t="shared" ca="1" si="72"/>
        <v>0.70909038744848685</v>
      </c>
      <c r="AW176" s="10">
        <f t="shared" ca="1" si="73"/>
        <v>0.70909038744848685</v>
      </c>
      <c r="AY176" s="3">
        <f t="shared" ca="1" si="79"/>
        <v>8.5913747532642457</v>
      </c>
      <c r="AZ176" s="3">
        <f t="shared" ca="1" si="74"/>
        <v>0.39574197931397848</v>
      </c>
      <c r="BA176" s="3">
        <f t="shared" ca="1" si="69"/>
        <v>1.3207756462414551E-4</v>
      </c>
      <c r="BB176" s="3">
        <f t="shared" ca="1" si="75"/>
        <v>0.10407192219665934</v>
      </c>
      <c r="BC176" s="3">
        <f t="shared" ca="1" si="76"/>
        <v>0.70877851450523999</v>
      </c>
      <c r="BD176" s="3">
        <f t="shared" ca="1" si="70"/>
        <v>5.1548539786708841E-2</v>
      </c>
      <c r="BE176" s="3">
        <f t="shared" ca="1" si="77"/>
        <v>0.70877851450523999</v>
      </c>
      <c r="BF176" s="3">
        <f t="shared" ca="1" si="78"/>
        <v>0.70877851450523999</v>
      </c>
    </row>
    <row r="177" spans="1:58" ht="15" x14ac:dyDescent="0.25">
      <c r="A177" s="72">
        <v>111</v>
      </c>
      <c r="B177" s="72">
        <v>1498730177.954</v>
      </c>
      <c r="C177" s="73">
        <v>3.6512789691407901E-4</v>
      </c>
      <c r="D177" s="73">
        <v>7.2048884962913902E-5</v>
      </c>
      <c r="E177" s="73">
        <v>1.26374464573461E-2</v>
      </c>
      <c r="F177" s="73">
        <v>6.9469858985536995E-4</v>
      </c>
      <c r="G177" s="73">
        <v>0.23235264745818801</v>
      </c>
      <c r="H177" s="73">
        <v>8.5185155143150393E-5</v>
      </c>
      <c r="I177" s="73">
        <v>0.167685252091026</v>
      </c>
      <c r="J177" s="73">
        <v>2.0075674523867701</v>
      </c>
      <c r="K177" s="73"/>
      <c r="L177" s="73"/>
      <c r="M177" s="73"/>
      <c r="O177" s="13">
        <f t="shared" ca="1" si="40"/>
        <v>1.0044066764251742E-4</v>
      </c>
      <c r="P177" s="13">
        <f t="shared" ca="1" si="41"/>
        <v>6.076140957807373E-5</v>
      </c>
      <c r="Q177" s="13">
        <f t="shared" ca="1" si="42"/>
        <v>1.1796706839373415E-2</v>
      </c>
      <c r="R177" s="13">
        <f t="shared" ca="1" si="43"/>
        <v>6.8492231096468881E-4</v>
      </c>
      <c r="S177" s="13">
        <f t="shared" ca="1" si="44"/>
        <v>0.23121756882494665</v>
      </c>
      <c r="T177" s="13">
        <f t="shared" ca="1" si="45"/>
        <v>8.4835333632126304E-5</v>
      </c>
      <c r="U177" s="13">
        <f t="shared" ca="1" si="46"/>
        <v>0.16703140809623748</v>
      </c>
      <c r="V177" s="13">
        <f t="shared" ca="1" si="47"/>
        <v>2.000428671464316</v>
      </c>
      <c r="X177" s="3">
        <f t="shared" ca="1" si="48"/>
        <v>1.0044066764251742E-4</v>
      </c>
      <c r="Y177" s="3">
        <f t="shared" ca="1" si="49"/>
        <v>6.076140957807373E-5</v>
      </c>
      <c r="Z177" s="3">
        <f t="shared" ca="1" si="50"/>
        <v>1.179605778558819E-2</v>
      </c>
      <c r="AA177" s="3">
        <f t="shared" ca="1" si="51"/>
        <v>6.6921225911776585E-4</v>
      </c>
      <c r="AB177" s="3">
        <f t="shared" ca="1" si="52"/>
        <v>0.23110332060752467</v>
      </c>
      <c r="AC177" s="3">
        <f t="shared" ca="1" si="53"/>
        <v>8.4835333632126304E-5</v>
      </c>
      <c r="AD177" s="3">
        <f t="shared" ca="1" si="54"/>
        <v>0.16686269099013495</v>
      </c>
      <c r="AE177" s="3">
        <f t="shared" ca="1" si="55"/>
        <v>2.0003602099875386</v>
      </c>
      <c r="AG177" s="3">
        <f t="shared" ca="1" si="56"/>
        <v>1.0044066764251742E-4</v>
      </c>
      <c r="AH177" s="3">
        <f t="shared" ca="1" si="57"/>
        <v>6.076140957807373E-5</v>
      </c>
      <c r="AI177" s="3">
        <f t="shared" ca="1" si="58"/>
        <v>1.1747114792467119E-2</v>
      </c>
      <c r="AJ177" s="3">
        <f t="shared" ca="1" si="59"/>
        <v>6.4218580671441107E-4</v>
      </c>
      <c r="AK177" s="3">
        <f t="shared" ca="1" si="60"/>
        <v>0.23110332060752467</v>
      </c>
      <c r="AL177" s="3">
        <f t="shared" ca="1" si="61"/>
        <v>8.4835333632126304E-5</v>
      </c>
      <c r="AM177" s="3">
        <f t="shared" ca="1" si="62"/>
        <v>0.16686269099013495</v>
      </c>
      <c r="AN177" s="3">
        <f t="shared" ca="1" si="63"/>
        <v>2.0003602099875386</v>
      </c>
      <c r="AP177" s="3">
        <f t="shared" ca="1" si="64"/>
        <v>8.6517157049550502</v>
      </c>
      <c r="AQ177" s="3">
        <f t="shared" ca="1" si="71"/>
        <v>0.39855527801556773</v>
      </c>
      <c r="AR177" s="3">
        <f t="shared" ca="1" si="65"/>
        <v>2.7297940206559671E-4</v>
      </c>
      <c r="AS177" s="3">
        <f t="shared" ca="1" si="66"/>
        <v>0.16675842869417187</v>
      </c>
      <c r="AT177" s="3">
        <f t="shared" ca="1" si="67"/>
        <v>0.70951728729130958</v>
      </c>
      <c r="AU177" s="3">
        <f t="shared" ca="1" si="68"/>
        <v>5.2744177930450345E-2</v>
      </c>
      <c r="AV177" s="10" t="str">
        <f t="shared" ca="1" si="72"/>
        <v>rejected</v>
      </c>
      <c r="AW177" s="10" t="e">
        <f t="shared" ca="1" si="73"/>
        <v>#N/A</v>
      </c>
      <c r="AY177" s="3">
        <f t="shared" ca="1" si="79"/>
        <v>8.6556965288468781</v>
      </c>
      <c r="AZ177" s="3">
        <f t="shared" ca="1" si="74"/>
        <v>0.39874088583930245</v>
      </c>
      <c r="BA177" s="3">
        <f t="shared" ca="1" si="69"/>
        <v>2.5606573744273132E-4</v>
      </c>
      <c r="BB177" s="3">
        <f t="shared" ca="1" si="75"/>
        <v>0.16660662525269224</v>
      </c>
      <c r="BC177" s="3">
        <f t="shared" ca="1" si="76"/>
        <v>0.70905755831204997</v>
      </c>
      <c r="BD177" s="3">
        <f t="shared" ca="1" si="70"/>
        <v>5.2573153098925463E-2</v>
      </c>
      <c r="BE177" s="3">
        <f t="shared" ca="1" si="77"/>
        <v>0.70905755831204997</v>
      </c>
      <c r="BF177" s="3">
        <f t="shared" ca="1" si="78"/>
        <v>0.70905755831204997</v>
      </c>
    </row>
    <row r="178" spans="1:58" ht="15" x14ac:dyDescent="0.25">
      <c r="A178" s="72">
        <v>112</v>
      </c>
      <c r="B178" s="72">
        <v>1498730178.4809999</v>
      </c>
      <c r="C178" s="73">
        <v>2.2714051428953001E-4</v>
      </c>
      <c r="D178" s="73">
        <v>-3.1181773828847502E-5</v>
      </c>
      <c r="E178" s="73">
        <v>1.42023123451319E-2</v>
      </c>
      <c r="F178" s="73">
        <v>5.4684895624115197E-4</v>
      </c>
      <c r="G178" s="73">
        <v>0.265127246931396</v>
      </c>
      <c r="H178" s="73">
        <v>-7.8776581312760995E-5</v>
      </c>
      <c r="I178" s="73">
        <v>0.19140972492895</v>
      </c>
      <c r="J178" s="73">
        <v>2.2979797942313001</v>
      </c>
      <c r="K178" s="73"/>
      <c r="L178" s="73"/>
      <c r="M178" s="73"/>
      <c r="O178" s="13">
        <f t="shared" ca="1" si="40"/>
        <v>-3.754671498203157E-5</v>
      </c>
      <c r="P178" s="13">
        <f t="shared" ca="1" si="41"/>
        <v>-4.2469249213687673E-5</v>
      </c>
      <c r="Q178" s="13">
        <f t="shared" ca="1" si="42"/>
        <v>1.3361572727159215E-2</v>
      </c>
      <c r="R178" s="13">
        <f t="shared" ca="1" si="43"/>
        <v>5.3707267735047083E-4</v>
      </c>
      <c r="S178" s="13">
        <f t="shared" ca="1" si="44"/>
        <v>0.26399216829815464</v>
      </c>
      <c r="T178" s="13">
        <f t="shared" ca="1" si="45"/>
        <v>-7.9126402823785085E-5</v>
      </c>
      <c r="U178" s="13">
        <f t="shared" ca="1" si="46"/>
        <v>0.19075588093416149</v>
      </c>
      <c r="V178" s="13">
        <f t="shared" ca="1" si="47"/>
        <v>2.2908410133088459</v>
      </c>
      <c r="X178" s="3">
        <f t="shared" ca="1" si="48"/>
        <v>-3.754671498203157E-5</v>
      </c>
      <c r="Y178" s="3">
        <f t="shared" ca="1" si="49"/>
        <v>-4.2469249213687673E-5</v>
      </c>
      <c r="Z178" s="3">
        <f t="shared" ca="1" si="50"/>
        <v>1.3361572727159215E-2</v>
      </c>
      <c r="AA178" s="3">
        <f t="shared" ca="1" si="51"/>
        <v>5.3707267735047083E-4</v>
      </c>
      <c r="AB178" s="3">
        <f t="shared" ca="1" si="52"/>
        <v>0.26399216829815464</v>
      </c>
      <c r="AC178" s="3">
        <f t="shared" ca="1" si="53"/>
        <v>-7.9126402823785085E-5</v>
      </c>
      <c r="AD178" s="3">
        <f t="shared" ca="1" si="54"/>
        <v>0.19075588093416149</v>
      </c>
      <c r="AE178" s="3">
        <f t="shared" ca="1" si="55"/>
        <v>2.2908410133088459</v>
      </c>
      <c r="AG178" s="3">
        <f t="shared" ca="1" si="56"/>
        <v>-3.754671498203157E-5</v>
      </c>
      <c r="AH178" s="3">
        <f t="shared" ca="1" si="57"/>
        <v>-4.2469249213687673E-5</v>
      </c>
      <c r="AI178" s="3">
        <f t="shared" ca="1" si="58"/>
        <v>1.3361572727159215E-2</v>
      </c>
      <c r="AJ178" s="3">
        <f t="shared" ca="1" si="59"/>
        <v>5.3707267735047083E-4</v>
      </c>
      <c r="AK178" s="3">
        <f t="shared" ca="1" si="60"/>
        <v>0.26399216829815464</v>
      </c>
      <c r="AL178" s="3">
        <f t="shared" ca="1" si="61"/>
        <v>-7.9126402823785085E-5</v>
      </c>
      <c r="AM178" s="3">
        <f t="shared" ca="1" si="62"/>
        <v>0.19075588093416149</v>
      </c>
      <c r="AN178" s="3">
        <f t="shared" ca="1" si="63"/>
        <v>2.2908410133088459</v>
      </c>
      <c r="AP178" s="3">
        <f t="shared" ca="1" si="64"/>
        <v>8.6776855089184082</v>
      </c>
      <c r="AQ178" s="3">
        <f t="shared" ca="1" si="71"/>
        <v>0.3997661512259662</v>
      </c>
      <c r="AR178" s="3">
        <f t="shared" ca="1" si="65"/>
        <v>2.1470347715302288E-4</v>
      </c>
      <c r="AS178" s="3">
        <f t="shared" ca="1" si="66"/>
        <v>0.19054117745700846</v>
      </c>
      <c r="AT178" s="3">
        <f t="shared" ca="1" si="67"/>
        <v>0.70898705966998166</v>
      </c>
      <c r="AU178" s="3">
        <f t="shared" ca="1" si="68"/>
        <v>5.2484738661658967E-2</v>
      </c>
      <c r="AV178" s="10">
        <f t="shared" ca="1" si="72"/>
        <v>0.70898705966998166</v>
      </c>
      <c r="AW178" s="10">
        <f t="shared" ca="1" si="73"/>
        <v>0.70898705966998166</v>
      </c>
      <c r="AY178" s="3">
        <f t="shared" ca="1" si="79"/>
        <v>8.6776855089184082</v>
      </c>
      <c r="AZ178" s="3">
        <f t="shared" ca="1" si="74"/>
        <v>0.3997661512259662</v>
      </c>
      <c r="BA178" s="3">
        <f t="shared" ca="1" si="69"/>
        <v>2.1470347715302288E-4</v>
      </c>
      <c r="BB178" s="3">
        <f t="shared" ca="1" si="75"/>
        <v>0.19054117745700846</v>
      </c>
      <c r="BC178" s="3">
        <f t="shared" ca="1" si="76"/>
        <v>0.70898705966998166</v>
      </c>
      <c r="BD178" s="3">
        <f t="shared" ca="1" si="70"/>
        <v>5.2484738661658967E-2</v>
      </c>
      <c r="BE178" s="3">
        <f t="shared" ca="1" si="77"/>
        <v>0.70898705966998166</v>
      </c>
      <c r="BF178" s="3">
        <f t="shared" ca="1" si="78"/>
        <v>0.70898705966998166</v>
      </c>
    </row>
    <row r="179" spans="1:58" ht="15" x14ac:dyDescent="0.25">
      <c r="A179" s="72">
        <v>113</v>
      </c>
      <c r="B179" s="72">
        <v>1498730179.0079999</v>
      </c>
      <c r="C179" s="73">
        <v>2.4070049843251699E-4</v>
      </c>
      <c r="D179" s="73">
        <v>1.8424296036316E-5</v>
      </c>
      <c r="E179" s="73">
        <v>1.5089454726421E-2</v>
      </c>
      <c r="F179" s="73">
        <v>7.6803631745817405E-4</v>
      </c>
      <c r="G179" s="73">
        <v>0.27946236455378098</v>
      </c>
      <c r="H179" s="73">
        <v>-3.5735048847897601E-6</v>
      </c>
      <c r="I179" s="73">
        <v>0.20185356163932</v>
      </c>
      <c r="J179" s="73">
        <v>2.4237531036446902</v>
      </c>
      <c r="K179" s="73"/>
      <c r="L179" s="73"/>
      <c r="M179" s="73"/>
      <c r="O179" s="13">
        <f t="shared" ca="1" si="40"/>
        <v>-2.3986730839044594E-5</v>
      </c>
      <c r="P179" s="13">
        <f t="shared" ca="1" si="41"/>
        <v>7.1368206514758272E-6</v>
      </c>
      <c r="Q179" s="13">
        <f t="shared" ca="1" si="42"/>
        <v>1.4248715108448315E-2</v>
      </c>
      <c r="R179" s="13">
        <f t="shared" ca="1" si="43"/>
        <v>7.5826003856749292E-4</v>
      </c>
      <c r="S179" s="13">
        <f t="shared" ca="1" si="44"/>
        <v>0.27832728592053962</v>
      </c>
      <c r="T179" s="13">
        <f t="shared" ca="1" si="45"/>
        <v>-3.9233263958138465E-6</v>
      </c>
      <c r="U179" s="13">
        <f t="shared" ca="1" si="46"/>
        <v>0.20119971764453148</v>
      </c>
      <c r="V179" s="13">
        <f t="shared" ca="1" si="47"/>
        <v>2.4166143227222361</v>
      </c>
      <c r="X179" s="3">
        <f t="shared" ca="1" si="48"/>
        <v>-2.3986730839044594E-5</v>
      </c>
      <c r="Y179" s="3">
        <f t="shared" ca="1" si="49"/>
        <v>7.1368206514758272E-6</v>
      </c>
      <c r="Z179" s="3">
        <f t="shared" ca="1" si="50"/>
        <v>1.4248715108448315E-2</v>
      </c>
      <c r="AA179" s="3">
        <f t="shared" ca="1" si="51"/>
        <v>7.5826003856749292E-4</v>
      </c>
      <c r="AB179" s="3">
        <f t="shared" ca="1" si="52"/>
        <v>0.27832728592053962</v>
      </c>
      <c r="AC179" s="3">
        <f t="shared" ca="1" si="53"/>
        <v>-3.9233263958138465E-6</v>
      </c>
      <c r="AD179" s="3">
        <f t="shared" ca="1" si="54"/>
        <v>0.20119971764453148</v>
      </c>
      <c r="AE179" s="3">
        <f t="shared" ca="1" si="55"/>
        <v>2.4166143227222361</v>
      </c>
      <c r="AG179" s="3">
        <f t="shared" ca="1" si="56"/>
        <v>-2.3986730839044594E-5</v>
      </c>
      <c r="AH179" s="3">
        <f t="shared" ca="1" si="57"/>
        <v>7.1368206514758272E-6</v>
      </c>
      <c r="AI179" s="3">
        <f t="shared" ca="1" si="58"/>
        <v>1.4242966437269074E-2</v>
      </c>
      <c r="AJ179" s="3">
        <f t="shared" ca="1" si="59"/>
        <v>7.5508560688482187E-4</v>
      </c>
      <c r="AK179" s="3">
        <f t="shared" ca="1" si="60"/>
        <v>0.27832728592053962</v>
      </c>
      <c r="AL179" s="3">
        <f t="shared" ca="1" si="61"/>
        <v>-3.9233263958138465E-6</v>
      </c>
      <c r="AM179" s="3">
        <f t="shared" ca="1" si="62"/>
        <v>0.20119971764453148</v>
      </c>
      <c r="AN179" s="3">
        <f t="shared" ca="1" si="63"/>
        <v>2.4166143227222361</v>
      </c>
      <c r="AP179" s="3">
        <f t="shared" ca="1" si="64"/>
        <v>8.6826353180915277</v>
      </c>
      <c r="AQ179" s="3">
        <f t="shared" ca="1" si="71"/>
        <v>0.3999969469974316</v>
      </c>
      <c r="AR179" s="3">
        <f t="shared" ca="1" si="65"/>
        <v>3.0330170045715193E-4</v>
      </c>
      <c r="AS179" s="3">
        <f t="shared" ca="1" si="66"/>
        <v>0.20089641594407434</v>
      </c>
      <c r="AT179" s="3">
        <f t="shared" ca="1" si="67"/>
        <v>0.70881384922249235</v>
      </c>
      <c r="AU179" s="3">
        <f t="shared" ca="1" si="68"/>
        <v>5.3117769826832896E-2</v>
      </c>
      <c r="AV179" s="10">
        <f t="shared" ca="1" si="72"/>
        <v>0.70881384922249235</v>
      </c>
      <c r="AW179" s="10">
        <f t="shared" ca="1" si="73"/>
        <v>0.70881384922249235</v>
      </c>
      <c r="AY179" s="3">
        <f t="shared" ca="1" si="79"/>
        <v>8.6826353180915277</v>
      </c>
      <c r="AZ179" s="3">
        <f t="shared" ca="1" si="74"/>
        <v>0.3999969469974316</v>
      </c>
      <c r="BA179" s="3">
        <f t="shared" ca="1" si="69"/>
        <v>3.0203193747563154E-4</v>
      </c>
      <c r="BB179" s="3">
        <f t="shared" ca="1" si="75"/>
        <v>0.20089768570705585</v>
      </c>
      <c r="BC179" s="3">
        <f t="shared" ca="1" si="76"/>
        <v>0.70881832927049271</v>
      </c>
      <c r="BD179" s="3">
        <f t="shared" ca="1" si="70"/>
        <v>5.3096339361686749E-2</v>
      </c>
      <c r="BE179" s="3">
        <f t="shared" ca="1" si="77"/>
        <v>0.70881832927049271</v>
      </c>
      <c r="BF179" s="3">
        <f t="shared" ca="1" si="78"/>
        <v>0.70881832927049271</v>
      </c>
    </row>
    <row r="180" spans="1:58" ht="15" x14ac:dyDescent="0.25">
      <c r="A180" s="72">
        <v>114</v>
      </c>
      <c r="B180" s="72">
        <v>1498730179.5350001</v>
      </c>
      <c r="C180" s="73">
        <v>2.4141418690945099E-4</v>
      </c>
      <c r="D180" s="73">
        <v>2.4802399248063101E-5</v>
      </c>
      <c r="E180" s="73">
        <v>1.63191777434454E-2</v>
      </c>
      <c r="F180" s="73">
        <v>6.0493863400615201E-4</v>
      </c>
      <c r="G180" s="73">
        <v>0.30451797395979602</v>
      </c>
      <c r="H180" s="73">
        <v>-1.35172774539543E-5</v>
      </c>
      <c r="I180" s="73">
        <v>0.21998181380515999</v>
      </c>
      <c r="J180" s="73">
        <v>2.6405922579020999</v>
      </c>
      <c r="K180" s="73"/>
      <c r="L180" s="73"/>
      <c r="M180" s="73"/>
      <c r="O180" s="13">
        <f t="shared" ca="1" si="40"/>
        <v>-2.3273042362110597E-5</v>
      </c>
      <c r="P180" s="13">
        <f t="shared" ca="1" si="41"/>
        <v>1.3514923863222928E-5</v>
      </c>
      <c r="Q180" s="13">
        <f t="shared" ca="1" si="42"/>
        <v>1.5478438125472714E-2</v>
      </c>
      <c r="R180" s="13">
        <f t="shared" ca="1" si="43"/>
        <v>5.9516235511547087E-4</v>
      </c>
      <c r="S180" s="13">
        <f t="shared" ca="1" si="44"/>
        <v>0.30338289532655466</v>
      </c>
      <c r="T180" s="13">
        <f t="shared" ca="1" si="45"/>
        <v>-1.3867098964978386E-5</v>
      </c>
      <c r="U180" s="13">
        <f t="shared" ca="1" si="46"/>
        <v>0.21932796981037148</v>
      </c>
      <c r="V180" s="13">
        <f t="shared" ca="1" si="47"/>
        <v>2.6334534769796458</v>
      </c>
      <c r="X180" s="3">
        <f t="shared" ca="1" si="48"/>
        <v>-2.3273042362110597E-5</v>
      </c>
      <c r="Y180" s="3">
        <f t="shared" ca="1" si="49"/>
        <v>1.3514923863222928E-5</v>
      </c>
      <c r="Z180" s="3">
        <f t="shared" ca="1" si="50"/>
        <v>1.5478438125472714E-2</v>
      </c>
      <c r="AA180" s="3">
        <f t="shared" ca="1" si="51"/>
        <v>5.9516235511547087E-4</v>
      </c>
      <c r="AB180" s="3">
        <f t="shared" ca="1" si="52"/>
        <v>0.30338289532655466</v>
      </c>
      <c r="AC180" s="3">
        <f t="shared" ca="1" si="53"/>
        <v>-1.3867098964978386E-5</v>
      </c>
      <c r="AD180" s="3">
        <f t="shared" ca="1" si="54"/>
        <v>0.21932796981037148</v>
      </c>
      <c r="AE180" s="3">
        <f t="shared" ca="1" si="55"/>
        <v>2.6334534769796458</v>
      </c>
      <c r="AG180" s="3">
        <f t="shared" ca="1" si="56"/>
        <v>-2.3273042362110597E-5</v>
      </c>
      <c r="AH180" s="3">
        <f t="shared" ca="1" si="57"/>
        <v>1.3514923863222928E-5</v>
      </c>
      <c r="AI180" s="3">
        <f t="shared" ca="1" si="58"/>
        <v>1.5467551925987503E-2</v>
      </c>
      <c r="AJ180" s="3">
        <f t="shared" ca="1" si="59"/>
        <v>5.891509664880391E-4</v>
      </c>
      <c r="AK180" s="3">
        <f t="shared" ca="1" si="60"/>
        <v>0.30338289532655466</v>
      </c>
      <c r="AL180" s="3">
        <f t="shared" ca="1" si="61"/>
        <v>-1.3867098964978386E-5</v>
      </c>
      <c r="AM180" s="3">
        <f t="shared" ca="1" si="62"/>
        <v>0.21932796981037148</v>
      </c>
      <c r="AN180" s="3">
        <f t="shared" ca="1" si="63"/>
        <v>2.6334534769796458</v>
      </c>
      <c r="AP180" s="3">
        <f t="shared" ca="1" si="64"/>
        <v>8.6802964753337672</v>
      </c>
      <c r="AQ180" s="3">
        <f t="shared" ca="1" si="71"/>
        <v>0.39988789309567557</v>
      </c>
      <c r="AR180" s="3">
        <f t="shared" ca="1" si="65"/>
        <v>2.3799822023698591E-4</v>
      </c>
      <c r="AS180" s="3">
        <f t="shared" ca="1" si="66"/>
        <v>0.21908997159013449</v>
      </c>
      <c r="AT180" s="3">
        <f t="shared" ca="1" si="67"/>
        <v>0.7092610634315869</v>
      </c>
      <c r="AU180" s="3">
        <f t="shared" ca="1" si="68"/>
        <v>5.2921998460669903E-2</v>
      </c>
      <c r="AV180" s="10">
        <f t="shared" ca="1" si="72"/>
        <v>0.7092610634315869</v>
      </c>
      <c r="AW180" s="10">
        <f t="shared" ca="1" si="73"/>
        <v>0.7092610634315869</v>
      </c>
      <c r="AY180" s="3">
        <f t="shared" ca="1" si="79"/>
        <v>8.6802964753337672</v>
      </c>
      <c r="AZ180" s="3">
        <f t="shared" ca="1" si="74"/>
        <v>0.39988789309567557</v>
      </c>
      <c r="BA180" s="3">
        <f t="shared" ca="1" si="69"/>
        <v>2.3559433870418291E-4</v>
      </c>
      <c r="BB180" s="3">
        <f t="shared" ca="1" si="75"/>
        <v>0.21909237547166729</v>
      </c>
      <c r="BC180" s="3">
        <f t="shared" ca="1" si="76"/>
        <v>0.7092688455293249</v>
      </c>
      <c r="BD180" s="3">
        <f t="shared" ca="1" si="70"/>
        <v>5.2884777687635262E-2</v>
      </c>
      <c r="BE180" s="3">
        <f t="shared" ca="1" si="77"/>
        <v>0.7092688455293249</v>
      </c>
      <c r="BF180" s="3">
        <f t="shared" ca="1" si="78"/>
        <v>0.7092688455293249</v>
      </c>
    </row>
    <row r="181" spans="1:58" ht="15" x14ac:dyDescent="0.25">
      <c r="A181" s="72">
        <v>115</v>
      </c>
      <c r="B181" s="72">
        <v>1498730180.062</v>
      </c>
      <c r="C181" s="73">
        <v>2.3142259465206899E-4</v>
      </c>
      <c r="D181" s="73">
        <v>-3.4252544254061798E-5</v>
      </c>
      <c r="E181" s="73">
        <v>1.6154613669706198E-2</v>
      </c>
      <c r="F181" s="73">
        <v>7.7589425045705002E-4</v>
      </c>
      <c r="G181" s="73">
        <v>0.300976705205936</v>
      </c>
      <c r="H181" s="73">
        <v>6.0742880672245599E-7</v>
      </c>
      <c r="I181" s="73">
        <v>0.21763174497336499</v>
      </c>
      <c r="J181" s="73">
        <v>2.6145485909523898</v>
      </c>
      <c r="K181" s="73"/>
      <c r="L181" s="73"/>
      <c r="M181" s="73"/>
      <c r="O181" s="13">
        <f t="shared" ca="1" si="40"/>
        <v>-3.3264634619492589E-5</v>
      </c>
      <c r="P181" s="13">
        <f t="shared" ca="1" si="41"/>
        <v>-4.5540019638901969E-5</v>
      </c>
      <c r="Q181" s="13">
        <f t="shared" ca="1" si="42"/>
        <v>1.5313874051733513E-2</v>
      </c>
      <c r="R181" s="13">
        <f t="shared" ca="1" si="43"/>
        <v>7.6611797156636888E-4</v>
      </c>
      <c r="S181" s="13">
        <f t="shared" ca="1" si="44"/>
        <v>0.29984162657269464</v>
      </c>
      <c r="T181" s="13">
        <f t="shared" ca="1" si="45"/>
        <v>2.5760729569836937E-7</v>
      </c>
      <c r="U181" s="13">
        <f t="shared" ca="1" si="46"/>
        <v>0.21697790097857647</v>
      </c>
      <c r="V181" s="13">
        <f t="shared" ca="1" si="47"/>
        <v>2.6074098100299357</v>
      </c>
      <c r="X181" s="3">
        <f t="shared" ca="1" si="48"/>
        <v>-3.3264634619492589E-5</v>
      </c>
      <c r="Y181" s="3">
        <f t="shared" ca="1" si="49"/>
        <v>-4.5540019638901969E-5</v>
      </c>
      <c r="Z181" s="3">
        <f t="shared" ca="1" si="50"/>
        <v>1.5313872080844932E-2</v>
      </c>
      <c r="AA181" s="3">
        <f t="shared" ca="1" si="51"/>
        <v>7.6607026710410889E-4</v>
      </c>
      <c r="AB181" s="3">
        <f t="shared" ca="1" si="52"/>
        <v>0.29984127965151136</v>
      </c>
      <c r="AC181" s="3">
        <f t="shared" ca="1" si="53"/>
        <v>2.5760729569836937E-7</v>
      </c>
      <c r="AD181" s="3">
        <f t="shared" ca="1" si="54"/>
        <v>0.21697738865952756</v>
      </c>
      <c r="AE181" s="3">
        <f t="shared" ca="1" si="55"/>
        <v>2.6074096021427837</v>
      </c>
      <c r="AG181" s="3">
        <f t="shared" ca="1" si="56"/>
        <v>-3.3264634619492589E-5</v>
      </c>
      <c r="AH181" s="3">
        <f t="shared" ca="1" si="57"/>
        <v>-4.5540019638901969E-5</v>
      </c>
      <c r="AI181" s="3">
        <f t="shared" ca="1" si="58"/>
        <v>1.5313872080844932E-2</v>
      </c>
      <c r="AJ181" s="3">
        <f t="shared" ca="1" si="59"/>
        <v>7.6607026710410889E-4</v>
      </c>
      <c r="AK181" s="3">
        <f t="shared" ca="1" si="60"/>
        <v>0.29984127965151136</v>
      </c>
      <c r="AL181" s="3">
        <f t="shared" ca="1" si="61"/>
        <v>2.5760729569836937E-7</v>
      </c>
      <c r="AM181" s="3">
        <f t="shared" ca="1" si="62"/>
        <v>0.21697738865952756</v>
      </c>
      <c r="AN181" s="3">
        <f t="shared" ca="1" si="63"/>
        <v>2.6074096021427837</v>
      </c>
      <c r="AP181" s="3">
        <f t="shared" ca="1" si="64"/>
        <v>8.6959567283356716</v>
      </c>
      <c r="AQ181" s="3">
        <f t="shared" ca="1" si="71"/>
        <v>0.40061809505994472</v>
      </c>
      <c r="AR181" s="3">
        <f t="shared" ca="1" si="65"/>
        <v>3.0692072236010763E-4</v>
      </c>
      <c r="AS181" s="3">
        <f t="shared" ca="1" si="66"/>
        <v>0.21667098025621637</v>
      </c>
      <c r="AT181" s="3">
        <f t="shared" ca="1" si="67"/>
        <v>0.70907033436489575</v>
      </c>
      <c r="AU181" s="3">
        <f t="shared" ca="1" si="68"/>
        <v>5.3075531248286484E-2</v>
      </c>
      <c r="AV181" s="10">
        <f t="shared" ca="1" si="72"/>
        <v>0.70907033436489575</v>
      </c>
      <c r="AW181" s="10">
        <f t="shared" ca="1" si="73"/>
        <v>0.70907033436489575</v>
      </c>
      <c r="AY181" s="3">
        <f t="shared" ca="1" si="79"/>
        <v>8.6959660963734855</v>
      </c>
      <c r="AZ181" s="3">
        <f t="shared" ca="1" si="74"/>
        <v>0.40061853187500829</v>
      </c>
      <c r="BA181" s="3">
        <f t="shared" ca="1" si="69"/>
        <v>3.0690194572034356E-4</v>
      </c>
      <c r="BB181" s="3">
        <f t="shared" ca="1" si="75"/>
        <v>0.21667048671380723</v>
      </c>
      <c r="BC181" s="3">
        <f t="shared" ca="1" si="76"/>
        <v>0.70906915493806433</v>
      </c>
      <c r="BD181" s="3">
        <f t="shared" ca="1" si="70"/>
        <v>5.3075644333750824E-2</v>
      </c>
      <c r="BE181" s="3">
        <f t="shared" ca="1" si="77"/>
        <v>0.70906915493806433</v>
      </c>
      <c r="BF181" s="3">
        <f t="shared" ca="1" si="78"/>
        <v>0.70906915493806433</v>
      </c>
    </row>
    <row r="182" spans="1:58" ht="15" x14ac:dyDescent="0.25">
      <c r="A182" s="72">
        <v>116</v>
      </c>
      <c r="B182" s="72">
        <v>1498730180.589</v>
      </c>
      <c r="C182" s="73">
        <v>4.0724163708638102E-4</v>
      </c>
      <c r="D182" s="73">
        <v>1.3465394407215599E-4</v>
      </c>
      <c r="E182" s="73">
        <v>1.5879354354200102E-2</v>
      </c>
      <c r="F182" s="73">
        <v>6.9660339779480996E-4</v>
      </c>
      <c r="G182" s="73">
        <v>0.297070544447185</v>
      </c>
      <c r="H182" s="73">
        <v>2.3759291086328199E-5</v>
      </c>
      <c r="I182" s="73">
        <v>0.21461814666104101</v>
      </c>
      <c r="J182" s="73">
        <v>2.5789127301950701</v>
      </c>
      <c r="K182" s="73"/>
      <c r="L182" s="73"/>
      <c r="M182" s="73"/>
      <c r="O182" s="13">
        <f t="shared" ca="1" si="40"/>
        <v>1.4255440781481943E-4</v>
      </c>
      <c r="P182" s="13">
        <f t="shared" ca="1" si="41"/>
        <v>1.2336646868731582E-4</v>
      </c>
      <c r="Q182" s="13">
        <f t="shared" ca="1" si="42"/>
        <v>1.5038614736227416E-2</v>
      </c>
      <c r="R182" s="13">
        <f t="shared" ca="1" si="43"/>
        <v>6.8682711890412883E-4</v>
      </c>
      <c r="S182" s="13">
        <f t="shared" ca="1" si="44"/>
        <v>0.29593546581394364</v>
      </c>
      <c r="T182" s="13">
        <f t="shared" ca="1" si="45"/>
        <v>2.3409469575304112E-5</v>
      </c>
      <c r="U182" s="13">
        <f t="shared" ca="1" si="46"/>
        <v>0.21396430266625249</v>
      </c>
      <c r="V182" s="13">
        <f t="shared" ca="1" si="47"/>
        <v>2.5717739492726159</v>
      </c>
      <c r="X182" s="3">
        <f t="shared" ca="1" si="48"/>
        <v>1.4255440781481943E-4</v>
      </c>
      <c r="Y182" s="3">
        <f t="shared" ca="1" si="49"/>
        <v>1.2336646868731582E-4</v>
      </c>
      <c r="Z182" s="3">
        <f t="shared" ca="1" si="50"/>
        <v>1.5038435636267677E-2</v>
      </c>
      <c r="AA182" s="3">
        <f t="shared" ca="1" si="51"/>
        <v>6.8249208578771844E-4</v>
      </c>
      <c r="AB182" s="3">
        <f t="shared" ca="1" si="52"/>
        <v>0.29590394015057597</v>
      </c>
      <c r="AC182" s="3">
        <f t="shared" ca="1" si="53"/>
        <v>2.3409469575304112E-5</v>
      </c>
      <c r="AD182" s="3">
        <f t="shared" ca="1" si="54"/>
        <v>0.21391774685285442</v>
      </c>
      <c r="AE182" s="3">
        <f t="shared" ca="1" si="55"/>
        <v>2.5717550580065702</v>
      </c>
      <c r="AG182" s="3">
        <f t="shared" ca="1" si="56"/>
        <v>1.4255440781481943E-4</v>
      </c>
      <c r="AH182" s="3">
        <f t="shared" ca="1" si="57"/>
        <v>1.2336646868731582E-4</v>
      </c>
      <c r="AI182" s="3">
        <f t="shared" ca="1" si="58"/>
        <v>1.4939064600107368E-2</v>
      </c>
      <c r="AJ182" s="3">
        <f t="shared" ca="1" si="59"/>
        <v>6.2761913242307397E-4</v>
      </c>
      <c r="AK182" s="3">
        <f t="shared" ca="1" si="60"/>
        <v>0.29590394015057597</v>
      </c>
      <c r="AL182" s="3">
        <f t="shared" ca="1" si="61"/>
        <v>2.3409469575304112E-5</v>
      </c>
      <c r="AM182" s="3">
        <f t="shared" ca="1" si="62"/>
        <v>0.21391774685285442</v>
      </c>
      <c r="AN182" s="3">
        <f t="shared" ca="1" si="63"/>
        <v>2.5717550580065702</v>
      </c>
      <c r="AP182" s="3">
        <f t="shared" ca="1" si="64"/>
        <v>8.6903201757152875</v>
      </c>
      <c r="AQ182" s="3">
        <f t="shared" ca="1" si="71"/>
        <v>0.40035527359792056</v>
      </c>
      <c r="AR182" s="3">
        <f t="shared" ca="1" si="65"/>
        <v>2.7497485910333403E-4</v>
      </c>
      <c r="AS182" s="3">
        <f t="shared" ca="1" si="66"/>
        <v>0.21368932780714917</v>
      </c>
      <c r="AT182" s="3">
        <f t="shared" ca="1" si="67"/>
        <v>0.70877455608523932</v>
      </c>
      <c r="AU182" s="3">
        <f t="shared" ca="1" si="68"/>
        <v>5.2774470230177624E-2</v>
      </c>
      <c r="AV182" s="10">
        <f t="shared" ca="1" si="72"/>
        <v>0.70877455608523932</v>
      </c>
      <c r="AW182" s="10">
        <f t="shared" ca="1" si="73"/>
        <v>0.70877455608523932</v>
      </c>
      <c r="AY182" s="3">
        <f t="shared" ca="1" si="79"/>
        <v>8.6911822015546232</v>
      </c>
      <c r="AZ182" s="3">
        <f t="shared" ca="1" si="74"/>
        <v>0.40039546804867621</v>
      </c>
      <c r="BA182" s="3">
        <f t="shared" ca="1" si="69"/>
        <v>2.5129585628284082E-4</v>
      </c>
      <c r="BB182" s="3">
        <f t="shared" ca="1" si="75"/>
        <v>0.21366645099657158</v>
      </c>
      <c r="BC182" s="3">
        <f t="shared" ca="1" si="76"/>
        <v>0.70873877913594563</v>
      </c>
      <c r="BD182" s="3">
        <f t="shared" ca="1" si="70"/>
        <v>5.2436029626009288E-2</v>
      </c>
      <c r="BE182" s="3">
        <f t="shared" ca="1" si="77"/>
        <v>0.70873877913594563</v>
      </c>
      <c r="BF182" s="3">
        <f t="shared" ca="1" si="78"/>
        <v>0.70873877913594563</v>
      </c>
    </row>
    <row r="183" spans="1:58" ht="15" x14ac:dyDescent="0.25">
      <c r="A183" s="72">
        <v>117</v>
      </c>
      <c r="B183" s="72">
        <v>1498730181.115</v>
      </c>
      <c r="C183" s="73">
        <v>3.0517241572296998E-4</v>
      </c>
      <c r="D183" s="73">
        <v>4.2755798794746799E-5</v>
      </c>
      <c r="E183" s="73">
        <v>1.6103946829740499E-2</v>
      </c>
      <c r="F183" s="73">
        <v>5.6994157935305102E-4</v>
      </c>
      <c r="G183" s="73">
        <v>0.30164067507272702</v>
      </c>
      <c r="H183" s="73">
        <v>-1.16986572080076E-5</v>
      </c>
      <c r="I183" s="73">
        <v>0.21786115377860199</v>
      </c>
      <c r="J183" s="73">
        <v>2.6190806681018799</v>
      </c>
      <c r="K183" s="73"/>
      <c r="L183" s="73"/>
      <c r="M183" s="73"/>
      <c r="O183" s="13">
        <f t="shared" ca="1" si="40"/>
        <v>4.0485186451408393E-5</v>
      </c>
      <c r="P183" s="13">
        <f t="shared" ca="1" si="41"/>
        <v>3.1468323409906627E-5</v>
      </c>
      <c r="Q183" s="13">
        <f t="shared" ca="1" si="42"/>
        <v>1.5263207211767814E-2</v>
      </c>
      <c r="R183" s="13">
        <f t="shared" ca="1" si="43"/>
        <v>5.6016530046236988E-4</v>
      </c>
      <c r="S183" s="13">
        <f t="shared" ca="1" si="44"/>
        <v>0.30050559643948566</v>
      </c>
      <c r="T183" s="13">
        <f t="shared" ca="1" si="45"/>
        <v>-1.2048478719031686E-5</v>
      </c>
      <c r="U183" s="13">
        <f t="shared" ca="1" si="46"/>
        <v>0.21720730978381347</v>
      </c>
      <c r="V183" s="13">
        <f t="shared" ca="1" si="47"/>
        <v>2.6119418871794258</v>
      </c>
      <c r="X183" s="3">
        <f t="shared" ca="1" si="48"/>
        <v>4.0485186451408393E-5</v>
      </c>
      <c r="Y183" s="3">
        <f t="shared" ca="1" si="49"/>
        <v>3.1468323409906627E-5</v>
      </c>
      <c r="Z183" s="3">
        <f t="shared" ca="1" si="50"/>
        <v>1.5263207211767814E-2</v>
      </c>
      <c r="AA183" s="3">
        <f t="shared" ca="1" si="51"/>
        <v>5.6016530046236988E-4</v>
      </c>
      <c r="AB183" s="3">
        <f t="shared" ca="1" si="52"/>
        <v>0.30050559643948566</v>
      </c>
      <c r="AC183" s="3">
        <f t="shared" ca="1" si="53"/>
        <v>-1.2048478719031686E-5</v>
      </c>
      <c r="AD183" s="3">
        <f t="shared" ca="1" si="54"/>
        <v>0.21720730978381347</v>
      </c>
      <c r="AE183" s="3">
        <f t="shared" ca="1" si="55"/>
        <v>2.6119418871794258</v>
      </c>
      <c r="AG183" s="3">
        <f t="shared" ca="1" si="56"/>
        <v>4.0485186451408393E-5</v>
      </c>
      <c r="AH183" s="3">
        <f t="shared" ca="1" si="57"/>
        <v>3.1468323409906627E-5</v>
      </c>
      <c r="AI183" s="3">
        <f t="shared" ca="1" si="58"/>
        <v>1.5237859644177176E-2</v>
      </c>
      <c r="AJ183" s="3">
        <f t="shared" ca="1" si="59"/>
        <v>5.461683054822186E-4</v>
      </c>
      <c r="AK183" s="3">
        <f t="shared" ca="1" si="60"/>
        <v>0.30050559643948566</v>
      </c>
      <c r="AL183" s="3">
        <f t="shared" ca="1" si="61"/>
        <v>-1.2048478719031686E-5</v>
      </c>
      <c r="AM183" s="3">
        <f t="shared" ca="1" si="62"/>
        <v>0.21720730978381347</v>
      </c>
      <c r="AN183" s="3">
        <f t="shared" ca="1" si="63"/>
        <v>2.6119418871794258</v>
      </c>
      <c r="AP183" s="3">
        <f t="shared" ca="1" si="64"/>
        <v>8.6918244389681636</v>
      </c>
      <c r="AQ183" s="3">
        <f t="shared" ca="1" si="71"/>
        <v>0.40042541425911399</v>
      </c>
      <c r="AR183" s="3">
        <f t="shared" ca="1" si="65"/>
        <v>2.2430442249122553E-4</v>
      </c>
      <c r="AS183" s="3">
        <f t="shared" ca="1" si="66"/>
        <v>0.21698300536132226</v>
      </c>
      <c r="AT183" s="3">
        <f t="shared" ca="1" si="67"/>
        <v>0.70869211806850729</v>
      </c>
      <c r="AU183" s="3">
        <f t="shared" ca="1" si="68"/>
        <v>5.2757379542587857E-2</v>
      </c>
      <c r="AV183" s="10">
        <f t="shared" ca="1" si="72"/>
        <v>0.70869211806850729</v>
      </c>
      <c r="AW183" s="10">
        <f t="shared" ca="1" si="73"/>
        <v>0.70869211806850729</v>
      </c>
      <c r="AY183" s="3">
        <f t="shared" ca="1" si="79"/>
        <v>8.6918244389681636</v>
      </c>
      <c r="AZ183" s="3">
        <f t="shared" ca="1" si="74"/>
        <v>0.40042541425911399</v>
      </c>
      <c r="BA183" s="3">
        <f t="shared" ca="1" si="69"/>
        <v>2.1869966997791569E-4</v>
      </c>
      <c r="BB183" s="3">
        <f t="shared" ca="1" si="75"/>
        <v>0.21698861011383555</v>
      </c>
      <c r="BC183" s="3">
        <f t="shared" ca="1" si="76"/>
        <v>0.70871042385205607</v>
      </c>
      <c r="BD183" s="3">
        <f t="shared" ca="1" si="70"/>
        <v>5.2669765502805339E-2</v>
      </c>
      <c r="BE183" s="3">
        <f t="shared" ca="1" si="77"/>
        <v>0.70871042385205607</v>
      </c>
      <c r="BF183" s="3">
        <f t="shared" ca="1" si="78"/>
        <v>0.70871042385205607</v>
      </c>
    </row>
    <row r="184" spans="1:58" ht="15" x14ac:dyDescent="0.25">
      <c r="A184" s="72">
        <v>118</v>
      </c>
      <c r="B184" s="72">
        <v>1498730181.6429999</v>
      </c>
      <c r="C184" s="73">
        <v>3.2706050753253401E-4</v>
      </c>
      <c r="D184" s="73">
        <v>-5.0787298557356802E-5</v>
      </c>
      <c r="E184" s="73">
        <v>1.6087299706816102E-2</v>
      </c>
      <c r="F184" s="73">
        <v>4.7352746476216501E-4</v>
      </c>
      <c r="G184" s="73">
        <v>0.30050396649642103</v>
      </c>
      <c r="H184" s="73">
        <v>3.9968810615636397E-5</v>
      </c>
      <c r="I184" s="73">
        <v>0.217011201843367</v>
      </c>
      <c r="J184" s="73">
        <v>2.6092578631737</v>
      </c>
      <c r="K184" s="73"/>
      <c r="L184" s="73"/>
      <c r="M184" s="73"/>
      <c r="O184" s="13">
        <f t="shared" ca="1" si="40"/>
        <v>6.2373278260972431E-5</v>
      </c>
      <c r="P184" s="13">
        <f t="shared" ca="1" si="41"/>
        <v>-6.207477394219698E-5</v>
      </c>
      <c r="Q184" s="13">
        <f t="shared" ca="1" si="42"/>
        <v>1.5246560088843416E-2</v>
      </c>
      <c r="R184" s="13">
        <f t="shared" ca="1" si="43"/>
        <v>4.6375118587148388E-4</v>
      </c>
      <c r="S184" s="13">
        <f t="shared" ca="1" si="44"/>
        <v>0.29936888786317967</v>
      </c>
      <c r="T184" s="13">
        <f t="shared" ca="1" si="45"/>
        <v>3.9618989104612307E-5</v>
      </c>
      <c r="U184" s="13">
        <f t="shared" ca="1" si="46"/>
        <v>0.21635735784857849</v>
      </c>
      <c r="V184" s="13">
        <f t="shared" ca="1" si="47"/>
        <v>2.6021190822512459</v>
      </c>
      <c r="X184" s="3">
        <f t="shared" ca="1" si="48"/>
        <v>6.2373278260972431E-5</v>
      </c>
      <c r="Y184" s="3">
        <f t="shared" ca="1" si="49"/>
        <v>-6.207477394219698E-5</v>
      </c>
      <c r="Z184" s="3">
        <f t="shared" ca="1" si="50"/>
        <v>1.5246256973929569E-2</v>
      </c>
      <c r="AA184" s="3">
        <f t="shared" ca="1" si="51"/>
        <v>4.5641442716130853E-4</v>
      </c>
      <c r="AB184" s="3">
        <f t="shared" ca="1" si="52"/>
        <v>0.29931553274936717</v>
      </c>
      <c r="AC184" s="3">
        <f t="shared" ca="1" si="53"/>
        <v>3.9618989104612307E-5</v>
      </c>
      <c r="AD184" s="3">
        <f t="shared" ca="1" si="54"/>
        <v>0.2162785651934164</v>
      </c>
      <c r="AE184" s="3">
        <f t="shared" ca="1" si="55"/>
        <v>2.6020871100247405</v>
      </c>
      <c r="AG184" s="3">
        <f t="shared" ca="1" si="56"/>
        <v>6.2373278260972431E-5</v>
      </c>
      <c r="AH184" s="3">
        <f t="shared" ca="1" si="57"/>
        <v>-6.207477394219698E-5</v>
      </c>
      <c r="AI184" s="3">
        <f t="shared" ca="1" si="58"/>
        <v>1.5246256973929569E-2</v>
      </c>
      <c r="AJ184" s="3">
        <f t="shared" ca="1" si="59"/>
        <v>4.5641442716130853E-4</v>
      </c>
      <c r="AK184" s="3">
        <f t="shared" ca="1" si="60"/>
        <v>0.29931553274936717</v>
      </c>
      <c r="AL184" s="3">
        <f t="shared" ca="1" si="61"/>
        <v>3.9618989104612307E-5</v>
      </c>
      <c r="AM184" s="3">
        <f t="shared" ca="1" si="62"/>
        <v>0.2162785651934164</v>
      </c>
      <c r="AN184" s="3">
        <f t="shared" ca="1" si="63"/>
        <v>2.6020871100247405</v>
      </c>
      <c r="AP184" s="3">
        <f t="shared" ca="1" si="64"/>
        <v>8.6920157295720397</v>
      </c>
      <c r="AQ184" s="3">
        <f t="shared" ca="1" si="71"/>
        <v>0.40043433375195131</v>
      </c>
      <c r="AR184" s="3">
        <f t="shared" ca="1" si="65"/>
        <v>1.8570189714112498E-4</v>
      </c>
      <c r="AS184" s="3">
        <f t="shared" ca="1" si="66"/>
        <v>0.21617165595143736</v>
      </c>
      <c r="AT184" s="3">
        <f t="shared" ca="1" si="67"/>
        <v>0.70871515398486884</v>
      </c>
      <c r="AU184" s="3">
        <f t="shared" ca="1" si="68"/>
        <v>5.2901132097208328E-2</v>
      </c>
      <c r="AV184" s="10">
        <f t="shared" ca="1" si="72"/>
        <v>0.70871515398486884</v>
      </c>
      <c r="AW184" s="10">
        <f t="shared" ca="1" si="73"/>
        <v>0.70871515398486884</v>
      </c>
      <c r="AY184" s="3">
        <f t="shared" ca="1" si="79"/>
        <v>8.6934583251434745</v>
      </c>
      <c r="AZ184" s="3">
        <f t="shared" ca="1" si="74"/>
        <v>0.40050159913390537</v>
      </c>
      <c r="BA184" s="3">
        <f t="shared" ca="1" si="69"/>
        <v>1.8279470794588945E-4</v>
      </c>
      <c r="BB184" s="3">
        <f t="shared" ca="1" si="75"/>
        <v>0.21609577048547052</v>
      </c>
      <c r="BC184" s="3">
        <f t="shared" ca="1" si="76"/>
        <v>0.70853343689119552</v>
      </c>
      <c r="BD184" s="3">
        <f t="shared" ca="1" si="70"/>
        <v>5.2918495656931949E-2</v>
      </c>
      <c r="BE184" s="3">
        <f t="shared" ca="1" si="77"/>
        <v>0.70853343689119552</v>
      </c>
      <c r="BF184" s="3">
        <f t="shared" ca="1" si="78"/>
        <v>0.70853343689119552</v>
      </c>
    </row>
    <row r="185" spans="1:58" ht="15" x14ac:dyDescent="0.25">
      <c r="A185" s="72">
        <v>119</v>
      </c>
      <c r="B185" s="72">
        <v>1498730182.1689999</v>
      </c>
      <c r="C185" s="73">
        <v>2.17386955345867E-4</v>
      </c>
      <c r="D185" s="73">
        <v>-8.7871388257456295E-5</v>
      </c>
      <c r="E185" s="73">
        <v>1.6686768519296701E-2</v>
      </c>
      <c r="F185" s="73">
        <v>6.2850876992152905E-4</v>
      </c>
      <c r="G185" s="73">
        <v>0.31202256866493899</v>
      </c>
      <c r="H185" s="73">
        <v>-8.1066015698201595E-5</v>
      </c>
      <c r="I185" s="73">
        <v>0.22544970152176</v>
      </c>
      <c r="J185" s="73">
        <v>2.7072712453707699</v>
      </c>
      <c r="K185" s="73"/>
      <c r="L185" s="73"/>
      <c r="M185" s="73"/>
      <c r="O185" s="13">
        <f t="shared" ca="1" si="40"/>
        <v>-4.7300273925694584E-5</v>
      </c>
      <c r="P185" s="13">
        <f t="shared" ca="1" si="41"/>
        <v>-9.9158863642296474E-5</v>
      </c>
      <c r="Q185" s="13">
        <f t="shared" ca="1" si="42"/>
        <v>1.5846028901324014E-2</v>
      </c>
      <c r="R185" s="13">
        <f t="shared" ca="1" si="43"/>
        <v>6.1873249103084791E-4</v>
      </c>
      <c r="S185" s="13">
        <f t="shared" ca="1" si="44"/>
        <v>0.31088749003169763</v>
      </c>
      <c r="T185" s="13">
        <f t="shared" ca="1" si="45"/>
        <v>-8.1415837209225685E-5</v>
      </c>
      <c r="U185" s="13">
        <f t="shared" ca="1" si="46"/>
        <v>0.22479585752697148</v>
      </c>
      <c r="V185" s="13">
        <f t="shared" ca="1" si="47"/>
        <v>2.7001324644483158</v>
      </c>
      <c r="X185" s="3">
        <f t="shared" ca="1" si="48"/>
        <v>-4.7300273925694584E-5</v>
      </c>
      <c r="Y185" s="3">
        <f t="shared" ca="1" si="49"/>
        <v>-9.9158863642296474E-5</v>
      </c>
      <c r="Z185" s="3">
        <f t="shared" ca="1" si="50"/>
        <v>1.5846028901324014E-2</v>
      </c>
      <c r="AA185" s="3">
        <f t="shared" ca="1" si="51"/>
        <v>6.1873249103084791E-4</v>
      </c>
      <c r="AB185" s="3">
        <f t="shared" ca="1" si="52"/>
        <v>0.31088749003169763</v>
      </c>
      <c r="AC185" s="3">
        <f t="shared" ca="1" si="53"/>
        <v>-8.1415837209225685E-5</v>
      </c>
      <c r="AD185" s="3">
        <f t="shared" ca="1" si="54"/>
        <v>0.22479585752697148</v>
      </c>
      <c r="AE185" s="3">
        <f t="shared" ca="1" si="55"/>
        <v>2.7001324644483158</v>
      </c>
      <c r="AG185" s="3">
        <f t="shared" ca="1" si="56"/>
        <v>-4.7300273925694584E-5</v>
      </c>
      <c r="AH185" s="3">
        <f t="shared" ca="1" si="57"/>
        <v>-9.9158863642296474E-5</v>
      </c>
      <c r="AI185" s="3">
        <f t="shared" ca="1" si="58"/>
        <v>1.5846028901324014E-2</v>
      </c>
      <c r="AJ185" s="3">
        <f t="shared" ca="1" si="59"/>
        <v>6.1873249103084791E-4</v>
      </c>
      <c r="AK185" s="3">
        <f t="shared" ca="1" si="60"/>
        <v>0.31088749003169763</v>
      </c>
      <c r="AL185" s="3">
        <f t="shared" ca="1" si="61"/>
        <v>-8.1415837209225685E-5</v>
      </c>
      <c r="AM185" s="3">
        <f t="shared" ca="1" si="62"/>
        <v>0.22479585752697148</v>
      </c>
      <c r="AN185" s="3">
        <f t="shared" ca="1" si="63"/>
        <v>2.7001324644483158</v>
      </c>
      <c r="AP185" s="3">
        <f t="shared" ca="1" si="64"/>
        <v>8.6852400016900457</v>
      </c>
      <c r="AQ185" s="3">
        <f t="shared" ca="1" si="71"/>
        <v>0.40011839675675437</v>
      </c>
      <c r="AR185" s="3">
        <f t="shared" ca="1" si="65"/>
        <v>2.4756625233257579E-4</v>
      </c>
      <c r="AS185" s="3">
        <f t="shared" ca="1" si="66"/>
        <v>0.22454829127463891</v>
      </c>
      <c r="AT185" s="3">
        <f t="shared" ca="1" si="67"/>
        <v>0.70918035784980027</v>
      </c>
      <c r="AU185" s="3">
        <f t="shared" ca="1" si="68"/>
        <v>5.2901794410236576E-2</v>
      </c>
      <c r="AV185" s="10">
        <f t="shared" ca="1" si="72"/>
        <v>0.70918035784980027</v>
      </c>
      <c r="AW185" s="10">
        <f t="shared" ca="1" si="73"/>
        <v>0.70918035784980027</v>
      </c>
      <c r="AY185" s="3">
        <f t="shared" ca="1" si="79"/>
        <v>8.6852400016900457</v>
      </c>
      <c r="AZ185" s="3">
        <f t="shared" ca="1" si="74"/>
        <v>0.40011839675675437</v>
      </c>
      <c r="BA185" s="3">
        <f t="shared" ca="1" si="69"/>
        <v>2.4756625233257579E-4</v>
      </c>
      <c r="BB185" s="3">
        <f t="shared" ca="1" si="75"/>
        <v>0.22454829127463891</v>
      </c>
      <c r="BC185" s="3">
        <f t="shared" ca="1" si="76"/>
        <v>0.70918035784980027</v>
      </c>
      <c r="BD185" s="3">
        <f t="shared" ca="1" si="70"/>
        <v>5.2901794410236576E-2</v>
      </c>
      <c r="BE185" s="3">
        <f t="shared" ca="1" si="77"/>
        <v>0.70918035784980027</v>
      </c>
      <c r="BF185" s="3">
        <f t="shared" ca="1" si="78"/>
        <v>0.70918035784980027</v>
      </c>
    </row>
    <row r="186" spans="1:58" ht="15" x14ac:dyDescent="0.25">
      <c r="A186" s="72">
        <v>120</v>
      </c>
      <c r="B186" s="72">
        <v>1498730182.6960001</v>
      </c>
      <c r="C186" s="73">
        <v>1.81941897012772E-4</v>
      </c>
      <c r="D186" s="73">
        <v>-1.5355344765604501E-5</v>
      </c>
      <c r="E186" s="73">
        <v>1.7578180556613102E-2</v>
      </c>
      <c r="F186" s="73">
        <v>5.7017965041269904E-4</v>
      </c>
      <c r="G186" s="73">
        <v>0.33105116177639299</v>
      </c>
      <c r="H186" s="73">
        <v>-6.4755592710700899E-5</v>
      </c>
      <c r="I186" s="73">
        <v>0.23908372971835701</v>
      </c>
      <c r="J186" s="73">
        <v>2.8709921721614702</v>
      </c>
      <c r="K186" s="73"/>
      <c r="L186" s="73"/>
      <c r="M186" s="73"/>
      <c r="O186" s="13">
        <f t="shared" ca="1" si="40"/>
        <v>-8.2745332258789582E-5</v>
      </c>
      <c r="P186" s="13">
        <f t="shared" ca="1" si="41"/>
        <v>-2.6642820150444676E-5</v>
      </c>
      <c r="Q186" s="13">
        <f t="shared" ca="1" si="42"/>
        <v>1.6737440938640415E-2</v>
      </c>
      <c r="R186" s="13">
        <f t="shared" ca="1" si="43"/>
        <v>5.6040337152201791E-4</v>
      </c>
      <c r="S186" s="13">
        <f t="shared" ca="1" si="44"/>
        <v>0.32991608314315163</v>
      </c>
      <c r="T186" s="13">
        <f t="shared" ca="1" si="45"/>
        <v>-6.5105414221724989E-5</v>
      </c>
      <c r="U186" s="13">
        <f t="shared" ca="1" si="46"/>
        <v>0.23842988572356849</v>
      </c>
      <c r="V186" s="13">
        <f t="shared" ca="1" si="47"/>
        <v>2.8638533912390161</v>
      </c>
      <c r="X186" s="3">
        <f t="shared" ca="1" si="48"/>
        <v>-8.2745332258789582E-5</v>
      </c>
      <c r="Y186" s="3">
        <f t="shared" ca="1" si="49"/>
        <v>-2.6642820150444676E-5</v>
      </c>
      <c r="Z186" s="3">
        <f t="shared" ca="1" si="50"/>
        <v>1.6737440938640415E-2</v>
      </c>
      <c r="AA186" s="3">
        <f t="shared" ca="1" si="51"/>
        <v>5.6040337152201791E-4</v>
      </c>
      <c r="AB186" s="3">
        <f t="shared" ca="1" si="52"/>
        <v>0.32991608314315163</v>
      </c>
      <c r="AC186" s="3">
        <f t="shared" ca="1" si="53"/>
        <v>-6.5105414221724989E-5</v>
      </c>
      <c r="AD186" s="3">
        <f t="shared" ca="1" si="54"/>
        <v>0.23842988572356849</v>
      </c>
      <c r="AE186" s="3">
        <f t="shared" ca="1" si="55"/>
        <v>2.8638533912390161</v>
      </c>
      <c r="AG186" s="3">
        <f t="shared" ca="1" si="56"/>
        <v>-8.2745332258789582E-5</v>
      </c>
      <c r="AH186" s="3">
        <f t="shared" ca="1" si="57"/>
        <v>-2.6642820150444676E-5</v>
      </c>
      <c r="AI186" s="3">
        <f t="shared" ca="1" si="58"/>
        <v>1.6737440938640415E-2</v>
      </c>
      <c r="AJ186" s="3">
        <f t="shared" ca="1" si="59"/>
        <v>5.6040337152201791E-4</v>
      </c>
      <c r="AK186" s="3">
        <f t="shared" ca="1" si="60"/>
        <v>0.32991608314315163</v>
      </c>
      <c r="AL186" s="3">
        <f t="shared" ca="1" si="61"/>
        <v>-6.5105414221724989E-5</v>
      </c>
      <c r="AM186" s="3">
        <f t="shared" ca="1" si="62"/>
        <v>0.23842988572356849</v>
      </c>
      <c r="AN186" s="3">
        <f t="shared" ca="1" si="63"/>
        <v>2.8638533912390161</v>
      </c>
      <c r="AP186" s="3">
        <f t="shared" ca="1" si="64"/>
        <v>8.6805510175640066</v>
      </c>
      <c r="AQ186" s="3">
        <f t="shared" ca="1" si="71"/>
        <v>0.39989976169302333</v>
      </c>
      <c r="AR186" s="3">
        <f t="shared" ca="1" si="65"/>
        <v>2.2410517472362177E-4</v>
      </c>
      <c r="AS186" s="3">
        <f t="shared" ca="1" si="66"/>
        <v>0.23820578054884486</v>
      </c>
      <c r="AT186" s="3">
        <f t="shared" ca="1" si="67"/>
        <v>0.70911570993053419</v>
      </c>
      <c r="AU186" s="3">
        <f t="shared" ca="1" si="68"/>
        <v>5.2625809981099933E-2</v>
      </c>
      <c r="AV186" s="10">
        <f t="shared" ca="1" si="72"/>
        <v>0.70911570993053419</v>
      </c>
      <c r="AW186" s="10">
        <f t="shared" ca="1" si="73"/>
        <v>0.70911570993053419</v>
      </c>
      <c r="AY186" s="3">
        <f t="shared" ca="1" si="79"/>
        <v>8.6805510175640066</v>
      </c>
      <c r="AZ186" s="3">
        <f t="shared" ca="1" si="74"/>
        <v>0.39989976169302333</v>
      </c>
      <c r="BA186" s="3">
        <f t="shared" ca="1" si="69"/>
        <v>2.2410517472362177E-4</v>
      </c>
      <c r="BB186" s="3">
        <f t="shared" ca="1" si="75"/>
        <v>0.23820578054884486</v>
      </c>
      <c r="BC186" s="3">
        <f t="shared" ca="1" si="76"/>
        <v>0.70911570993053419</v>
      </c>
      <c r="BD186" s="3">
        <f t="shared" ca="1" si="70"/>
        <v>5.2625809981099933E-2</v>
      </c>
      <c r="BE186" s="3">
        <f t="shared" ca="1" si="77"/>
        <v>0.70911570993053419</v>
      </c>
      <c r="BF186" s="3">
        <f t="shared" ca="1" si="78"/>
        <v>0.70911570993053419</v>
      </c>
    </row>
    <row r="187" spans="1:58" ht="15" x14ac:dyDescent="0.25">
      <c r="A187" s="72">
        <v>121</v>
      </c>
      <c r="B187" s="72">
        <v>1498730183.223</v>
      </c>
      <c r="C187" s="73">
        <v>2.8875666170721001E-4</v>
      </c>
      <c r="D187" s="73">
        <v>-1.3038647344622699E-4</v>
      </c>
      <c r="E187" s="73">
        <v>1.76209474641566E-2</v>
      </c>
      <c r="F187" s="73">
        <v>5.3994507979514804E-4</v>
      </c>
      <c r="G187" s="73">
        <v>0.33102036222009101</v>
      </c>
      <c r="H187" s="73">
        <v>-2.0720575438727001E-5</v>
      </c>
      <c r="I187" s="73">
        <v>0.23927141857973899</v>
      </c>
      <c r="J187" s="73">
        <v>2.8756414255552198</v>
      </c>
      <c r="K187" s="73"/>
      <c r="L187" s="73"/>
      <c r="M187" s="73"/>
      <c r="O187" s="13">
        <f t="shared" ca="1" si="40"/>
        <v>2.4069432435648423E-5</v>
      </c>
      <c r="P187" s="13">
        <f t="shared" ca="1" si="41"/>
        <v>-1.4167394883106717E-4</v>
      </c>
      <c r="Q187" s="13">
        <f t="shared" ca="1" si="42"/>
        <v>1.6780207846183913E-2</v>
      </c>
      <c r="R187" s="13">
        <f t="shared" ca="1" si="43"/>
        <v>5.301688009044669E-4</v>
      </c>
      <c r="S187" s="13">
        <f t="shared" ca="1" si="44"/>
        <v>0.32988528358684965</v>
      </c>
      <c r="T187" s="13">
        <f t="shared" ca="1" si="45"/>
        <v>-2.1070396949751088E-5</v>
      </c>
      <c r="U187" s="13">
        <f t="shared" ca="1" si="46"/>
        <v>0.23861757458495048</v>
      </c>
      <c r="V187" s="13">
        <f t="shared" ca="1" si="47"/>
        <v>2.8685026446327657</v>
      </c>
      <c r="X187" s="3">
        <f t="shared" ca="1" si="48"/>
        <v>2.4069432435648423E-5</v>
      </c>
      <c r="Y187" s="3">
        <f t="shared" ca="1" si="49"/>
        <v>-1.4167394883106717E-4</v>
      </c>
      <c r="Z187" s="3">
        <f t="shared" ca="1" si="50"/>
        <v>1.6780207846183913E-2</v>
      </c>
      <c r="AA187" s="3">
        <f t="shared" ca="1" si="51"/>
        <v>5.301688009044669E-4</v>
      </c>
      <c r="AB187" s="3">
        <f t="shared" ca="1" si="52"/>
        <v>0.32988528358684965</v>
      </c>
      <c r="AC187" s="3">
        <f t="shared" ca="1" si="53"/>
        <v>-2.1070396949751088E-5</v>
      </c>
      <c r="AD187" s="3">
        <f t="shared" ca="1" si="54"/>
        <v>0.23861757458495048</v>
      </c>
      <c r="AE187" s="3">
        <f t="shared" ca="1" si="55"/>
        <v>2.8685026446327657</v>
      </c>
      <c r="AG187" s="3">
        <f t="shared" ca="1" si="56"/>
        <v>2.4069432435648423E-5</v>
      </c>
      <c r="AH187" s="3">
        <f t="shared" ca="1" si="57"/>
        <v>-1.4167394883106717E-4</v>
      </c>
      <c r="AI187" s="3">
        <f t="shared" ca="1" si="58"/>
        <v>1.6780207846183913E-2</v>
      </c>
      <c r="AJ187" s="3">
        <f t="shared" ca="1" si="59"/>
        <v>5.301688009044669E-4</v>
      </c>
      <c r="AK187" s="3">
        <f t="shared" ca="1" si="60"/>
        <v>0.32988528358684965</v>
      </c>
      <c r="AL187" s="3">
        <f t="shared" ca="1" si="61"/>
        <v>-2.1070396949751088E-5</v>
      </c>
      <c r="AM187" s="3">
        <f t="shared" ca="1" si="62"/>
        <v>0.23861757458495048</v>
      </c>
      <c r="AN187" s="3">
        <f t="shared" ca="1" si="63"/>
        <v>2.8685026446327657</v>
      </c>
      <c r="AP187" s="3">
        <f t="shared" ca="1" si="64"/>
        <v>8.6954550183126571</v>
      </c>
      <c r="AQ187" s="3">
        <f t="shared" ca="1" si="71"/>
        <v>0.40059470121570395</v>
      </c>
      <c r="AR187" s="3">
        <f t="shared" ca="1" si="65"/>
        <v>2.1238281239221296E-4</v>
      </c>
      <c r="AS187" s="3">
        <f t="shared" ca="1" si="66"/>
        <v>0.23840519177255826</v>
      </c>
      <c r="AT187" s="3">
        <f t="shared" ca="1" si="67"/>
        <v>0.70916268998320375</v>
      </c>
      <c r="AU187" s="3">
        <f t="shared" ca="1" si="68"/>
        <v>5.2857906496386199E-2</v>
      </c>
      <c r="AV187" s="10">
        <f t="shared" ca="1" si="72"/>
        <v>0.70916268998320375</v>
      </c>
      <c r="AW187" s="10">
        <f t="shared" ca="1" si="73"/>
        <v>0.70916268998320375</v>
      </c>
      <c r="AY187" s="3">
        <f t="shared" ca="1" si="79"/>
        <v>8.6954550183126571</v>
      </c>
      <c r="AZ187" s="3">
        <f t="shared" ca="1" si="74"/>
        <v>0.40059470121570395</v>
      </c>
      <c r="BA187" s="3">
        <f t="shared" ca="1" si="69"/>
        <v>2.1238281239221296E-4</v>
      </c>
      <c r="BB187" s="3">
        <f t="shared" ca="1" si="75"/>
        <v>0.23840519177255826</v>
      </c>
      <c r="BC187" s="3">
        <f t="shared" ca="1" si="76"/>
        <v>0.70916268998320375</v>
      </c>
      <c r="BD187" s="3">
        <f t="shared" ca="1" si="70"/>
        <v>5.2857906496386199E-2</v>
      </c>
      <c r="BE187" s="3">
        <f t="shared" ca="1" si="77"/>
        <v>0.70916268998320375</v>
      </c>
      <c r="BF187" s="3">
        <f t="shared" ca="1" si="78"/>
        <v>0.70916268998320375</v>
      </c>
    </row>
    <row r="188" spans="1:58" ht="15" x14ac:dyDescent="0.25">
      <c r="A188" s="72">
        <v>122</v>
      </c>
      <c r="B188" s="72">
        <v>1498730183.75</v>
      </c>
      <c r="C188" s="73">
        <v>3.1421309113994502E-4</v>
      </c>
      <c r="D188" s="73">
        <v>-3.5197394780369103E-5</v>
      </c>
      <c r="E188" s="73">
        <v>1.8089568640718302E-2</v>
      </c>
      <c r="F188" s="73">
        <v>6.9493669064930603E-4</v>
      </c>
      <c r="G188" s="73">
        <v>0.33943622168337201</v>
      </c>
      <c r="H188" s="73">
        <v>-1.9492509173342401E-5</v>
      </c>
      <c r="I188" s="73">
        <v>0.24539160796340601</v>
      </c>
      <c r="J188" s="73">
        <v>2.9488293553915002</v>
      </c>
      <c r="K188" s="73"/>
      <c r="L188" s="73"/>
      <c r="M188" s="73"/>
      <c r="O188" s="13">
        <f t="shared" ca="1" si="40"/>
        <v>4.9525861868383435E-5</v>
      </c>
      <c r="P188" s="13">
        <f t="shared" ca="1" si="41"/>
        <v>-4.6484870165209274E-5</v>
      </c>
      <c r="Q188" s="13">
        <f t="shared" ca="1" si="42"/>
        <v>1.7248829022745615E-2</v>
      </c>
      <c r="R188" s="13">
        <f t="shared" ca="1" si="43"/>
        <v>6.851604117586249E-4</v>
      </c>
      <c r="S188" s="13">
        <f t="shared" ca="1" si="44"/>
        <v>0.33830114305013065</v>
      </c>
      <c r="T188" s="13">
        <f t="shared" ca="1" si="45"/>
        <v>-1.9842330684366487E-5</v>
      </c>
      <c r="U188" s="13">
        <f t="shared" ca="1" si="46"/>
        <v>0.24473776396861749</v>
      </c>
      <c r="V188" s="13">
        <f t="shared" ca="1" si="47"/>
        <v>2.941690574469046</v>
      </c>
      <c r="X188" s="3">
        <f t="shared" ca="1" si="48"/>
        <v>4.9525861868383435E-5</v>
      </c>
      <c r="Y188" s="3">
        <f t="shared" ca="1" si="49"/>
        <v>-4.6484870165209274E-5</v>
      </c>
      <c r="Z188" s="3">
        <f t="shared" ca="1" si="50"/>
        <v>1.7248829022745615E-2</v>
      </c>
      <c r="AA188" s="3">
        <f t="shared" ca="1" si="51"/>
        <v>6.851604117586249E-4</v>
      </c>
      <c r="AB188" s="3">
        <f t="shared" ca="1" si="52"/>
        <v>0.33830114305013065</v>
      </c>
      <c r="AC188" s="3">
        <f t="shared" ca="1" si="53"/>
        <v>-1.9842330684366487E-5</v>
      </c>
      <c r="AD188" s="3">
        <f t="shared" ca="1" si="54"/>
        <v>0.24473776396861749</v>
      </c>
      <c r="AE188" s="3">
        <f t="shared" ca="1" si="55"/>
        <v>2.941690574469046</v>
      </c>
      <c r="AG188" s="3">
        <f t="shared" ca="1" si="56"/>
        <v>4.9525861868383435E-5</v>
      </c>
      <c r="AH188" s="3">
        <f t="shared" ca="1" si="57"/>
        <v>-4.6484870165209274E-5</v>
      </c>
      <c r="AI188" s="3">
        <f t="shared" ca="1" si="58"/>
        <v>1.7248829022745615E-2</v>
      </c>
      <c r="AJ188" s="3">
        <f t="shared" ca="1" si="59"/>
        <v>6.851604117586249E-4</v>
      </c>
      <c r="AK188" s="3">
        <f t="shared" ca="1" si="60"/>
        <v>0.33830114305013065</v>
      </c>
      <c r="AL188" s="3">
        <f t="shared" ca="1" si="61"/>
        <v>-1.9842330684366487E-5</v>
      </c>
      <c r="AM188" s="3">
        <f t="shared" ca="1" si="62"/>
        <v>0.24473776396861749</v>
      </c>
      <c r="AN188" s="3">
        <f t="shared" ca="1" si="63"/>
        <v>2.941690574469046</v>
      </c>
      <c r="AP188" s="3">
        <f t="shared" ca="1" si="64"/>
        <v>8.6954792642634846</v>
      </c>
      <c r="AQ188" s="3">
        <f t="shared" ca="1" si="71"/>
        <v>0.40059583176080416</v>
      </c>
      <c r="AR188" s="3">
        <f t="shared" ca="1" si="65"/>
        <v>2.744724050380214E-4</v>
      </c>
      <c r="AS188" s="3">
        <f t="shared" ca="1" si="66"/>
        <v>0.24446329156357946</v>
      </c>
      <c r="AT188" s="3">
        <f t="shared" ca="1" si="67"/>
        <v>0.70909217301657634</v>
      </c>
      <c r="AU188" s="3">
        <f t="shared" ca="1" si="68"/>
        <v>5.2982562064007456E-2</v>
      </c>
      <c r="AV188" s="10">
        <f t="shared" ca="1" si="72"/>
        <v>0.70909217301657634</v>
      </c>
      <c r="AW188" s="10">
        <f t="shared" ca="1" si="73"/>
        <v>0.70909217301657634</v>
      </c>
      <c r="AY188" s="3">
        <f t="shared" ca="1" si="79"/>
        <v>8.6954792642634846</v>
      </c>
      <c r="AZ188" s="3">
        <f t="shared" ca="1" si="74"/>
        <v>0.40059583176080416</v>
      </c>
      <c r="BA188" s="3">
        <f t="shared" ca="1" si="69"/>
        <v>2.744724050380214E-4</v>
      </c>
      <c r="BB188" s="3">
        <f t="shared" ca="1" si="75"/>
        <v>0.24446329156357946</v>
      </c>
      <c r="BC188" s="3">
        <f t="shared" ca="1" si="76"/>
        <v>0.70909217301657634</v>
      </c>
      <c r="BD188" s="3">
        <f t="shared" ca="1" si="70"/>
        <v>5.2982562064007456E-2</v>
      </c>
      <c r="BE188" s="3">
        <f t="shared" ca="1" si="77"/>
        <v>0.70909217301657634</v>
      </c>
      <c r="BF188" s="3">
        <f t="shared" ca="1" si="78"/>
        <v>0.70909217301657634</v>
      </c>
    </row>
    <row r="189" spans="1:58" ht="15" x14ac:dyDescent="0.25">
      <c r="A189" s="72">
        <v>123</v>
      </c>
      <c r="B189" s="72">
        <v>1498730184.277</v>
      </c>
      <c r="C189" s="73">
        <v>2.17862736498594E-4</v>
      </c>
      <c r="D189" s="73">
        <v>1.65344955512296E-5</v>
      </c>
      <c r="E189" s="73">
        <v>1.8041947423799699E-2</v>
      </c>
      <c r="F189" s="73">
        <v>9.5878724104972305E-4</v>
      </c>
      <c r="G189" s="73">
        <v>0.33863534149153901</v>
      </c>
      <c r="H189" s="73">
        <v>-3.8691113218948403E-5</v>
      </c>
      <c r="I189" s="73">
        <v>0.244929340028672</v>
      </c>
      <c r="J189" s="73">
        <v>2.9405318209695301</v>
      </c>
      <c r="K189" s="73"/>
      <c r="L189" s="73"/>
      <c r="M189" s="73"/>
      <c r="O189" s="13">
        <f t="shared" ca="1" si="40"/>
        <v>-4.6824492772967583E-5</v>
      </c>
      <c r="P189" s="13">
        <f t="shared" ca="1" si="41"/>
        <v>5.2470201663894264E-6</v>
      </c>
      <c r="Q189" s="13">
        <f t="shared" ca="1" si="42"/>
        <v>1.7201207805827012E-2</v>
      </c>
      <c r="R189" s="13">
        <f t="shared" ca="1" si="43"/>
        <v>9.4901096215904192E-4</v>
      </c>
      <c r="S189" s="13">
        <f t="shared" ca="1" si="44"/>
        <v>0.33750026285829765</v>
      </c>
      <c r="T189" s="13">
        <f t="shared" ca="1" si="45"/>
        <v>-3.9040934729972493E-5</v>
      </c>
      <c r="U189" s="13">
        <f t="shared" ca="1" si="46"/>
        <v>0.24427549603388349</v>
      </c>
      <c r="V189" s="13">
        <f t="shared" ca="1" si="47"/>
        <v>2.933393040047076</v>
      </c>
      <c r="X189" s="3">
        <f t="shared" ca="1" si="48"/>
        <v>-4.6824492772967583E-5</v>
      </c>
      <c r="Y189" s="3">
        <f t="shared" ca="1" si="49"/>
        <v>5.2470201663894264E-6</v>
      </c>
      <c r="Z189" s="3">
        <f t="shared" ca="1" si="50"/>
        <v>1.7201207805827012E-2</v>
      </c>
      <c r="AA189" s="3">
        <f t="shared" ca="1" si="51"/>
        <v>9.4901096215904192E-4</v>
      </c>
      <c r="AB189" s="3">
        <f t="shared" ca="1" si="52"/>
        <v>0.33750026285829765</v>
      </c>
      <c r="AC189" s="3">
        <f t="shared" ca="1" si="53"/>
        <v>-3.9040934729972493E-5</v>
      </c>
      <c r="AD189" s="3">
        <f t="shared" ca="1" si="54"/>
        <v>0.24427549603388349</v>
      </c>
      <c r="AE189" s="3">
        <f t="shared" ca="1" si="55"/>
        <v>2.933393040047076</v>
      </c>
      <c r="AG189" s="3">
        <f t="shared" ca="1" si="56"/>
        <v>-4.6824492772967583E-5</v>
      </c>
      <c r="AH189" s="3">
        <f t="shared" ca="1" si="57"/>
        <v>5.2470201663894264E-6</v>
      </c>
      <c r="AI189" s="3">
        <f t="shared" ca="1" si="58"/>
        <v>1.7196981358914523E-2</v>
      </c>
      <c r="AJ189" s="3">
        <f t="shared" ca="1" si="59"/>
        <v>9.4667710680955148E-4</v>
      </c>
      <c r="AK189" s="3">
        <f t="shared" ca="1" si="60"/>
        <v>0.33750026285829765</v>
      </c>
      <c r="AL189" s="3">
        <f t="shared" ca="1" si="61"/>
        <v>-3.9040934729972493E-5</v>
      </c>
      <c r="AM189" s="3">
        <f t="shared" ca="1" si="62"/>
        <v>0.24427549603388349</v>
      </c>
      <c r="AN189" s="3">
        <f t="shared" ca="1" si="63"/>
        <v>2.933393040047076</v>
      </c>
      <c r="AP189" s="3">
        <f t="shared" ca="1" si="64"/>
        <v>8.6915281641682327</v>
      </c>
      <c r="AQ189" s="3">
        <f t="shared" ca="1" si="71"/>
        <v>0.40041159957086814</v>
      </c>
      <c r="AR189" s="3">
        <f t="shared" ca="1" si="65"/>
        <v>3.799949973683906E-4</v>
      </c>
      <c r="AS189" s="3">
        <f t="shared" ca="1" si="66"/>
        <v>0.24389550103651511</v>
      </c>
      <c r="AT189" s="3">
        <f t="shared" ca="1" si="67"/>
        <v>0.70928630731504705</v>
      </c>
      <c r="AU189" s="3">
        <f t="shared" ca="1" si="68"/>
        <v>5.2937040667426313E-2</v>
      </c>
      <c r="AV189" s="10">
        <f t="shared" ca="1" si="72"/>
        <v>0.70928630731504705</v>
      </c>
      <c r="AW189" s="10">
        <f t="shared" ca="1" si="73"/>
        <v>0.70928630731504705</v>
      </c>
      <c r="AY189" s="3">
        <f t="shared" ca="1" si="79"/>
        <v>8.6915281641682327</v>
      </c>
      <c r="AZ189" s="3">
        <f t="shared" ca="1" si="74"/>
        <v>0.40041159957086814</v>
      </c>
      <c r="BA189" s="3">
        <f t="shared" ca="1" si="69"/>
        <v>3.7906049461473412E-4</v>
      </c>
      <c r="BB189" s="3">
        <f t="shared" ca="1" si="75"/>
        <v>0.24389643553926876</v>
      </c>
      <c r="BC189" s="3">
        <f t="shared" ca="1" si="76"/>
        <v>0.70928902499538349</v>
      </c>
      <c r="BD189" s="3">
        <f t="shared" ca="1" si="70"/>
        <v>5.2924033697531472E-2</v>
      </c>
      <c r="BE189" s="3">
        <f t="shared" ca="1" si="77"/>
        <v>0.70928902499538349</v>
      </c>
      <c r="BF189" s="3">
        <f t="shared" ca="1" si="78"/>
        <v>0.70928902499538349</v>
      </c>
    </row>
    <row r="190" spans="1:58" ht="15" x14ac:dyDescent="0.25">
      <c r="A190" s="72">
        <v>124</v>
      </c>
      <c r="B190" s="72">
        <v>1498730184.8039999</v>
      </c>
      <c r="C190" s="73">
        <v>2.87091310434802E-4</v>
      </c>
      <c r="D190" s="73">
        <v>4.0146582524521899E-6</v>
      </c>
      <c r="E190" s="73">
        <v>1.7945986587791299E-2</v>
      </c>
      <c r="F190" s="73">
        <v>6.4707957174029796E-4</v>
      </c>
      <c r="G190" s="73">
        <v>0.33766235625253799</v>
      </c>
      <c r="H190" s="73">
        <v>4.0798636466824597E-6</v>
      </c>
      <c r="I190" s="73">
        <v>0.24392570475681599</v>
      </c>
      <c r="J190" s="73">
        <v>2.9322177113524601</v>
      </c>
      <c r="K190" s="73"/>
      <c r="L190" s="73"/>
      <c r="M190" s="73"/>
      <c r="O190" s="13">
        <f t="shared" ca="1" si="40"/>
        <v>2.2404081163240419E-5</v>
      </c>
      <c r="P190" s="13">
        <f t="shared" ca="1" si="41"/>
        <v>-7.2728171323879834E-6</v>
      </c>
      <c r="Q190" s="13">
        <f t="shared" ca="1" si="42"/>
        <v>1.7105246969818612E-2</v>
      </c>
      <c r="R190" s="13">
        <f t="shared" ca="1" si="43"/>
        <v>6.3730329284961682E-4</v>
      </c>
      <c r="S190" s="13">
        <f t="shared" ca="1" si="44"/>
        <v>0.33652727761929663</v>
      </c>
      <c r="T190" s="13">
        <f t="shared" ca="1" si="45"/>
        <v>3.7300421356583732E-6</v>
      </c>
      <c r="U190" s="13">
        <f t="shared" ca="1" si="46"/>
        <v>0.24327186076202748</v>
      </c>
      <c r="V190" s="13">
        <f t="shared" ca="1" si="47"/>
        <v>2.925078930430006</v>
      </c>
      <c r="X190" s="3">
        <f t="shared" ca="1" si="48"/>
        <v>2.2404081163240419E-5</v>
      </c>
      <c r="Y190" s="3">
        <f t="shared" ca="1" si="49"/>
        <v>-7.2728171323879834E-6</v>
      </c>
      <c r="Z190" s="3">
        <f t="shared" ca="1" si="50"/>
        <v>1.7105218432205055E-2</v>
      </c>
      <c r="AA190" s="3">
        <f t="shared" ca="1" si="51"/>
        <v>6.3661255288510504E-4</v>
      </c>
      <c r="AB190" s="3">
        <f t="shared" ca="1" si="52"/>
        <v>0.33652225435072841</v>
      </c>
      <c r="AC190" s="3">
        <f t="shared" ca="1" si="53"/>
        <v>3.7300421356583732E-6</v>
      </c>
      <c r="AD190" s="3">
        <f t="shared" ca="1" si="54"/>
        <v>0.24326444260395788</v>
      </c>
      <c r="AE190" s="3">
        <f t="shared" ca="1" si="55"/>
        <v>2.9250759203140304</v>
      </c>
      <c r="AG190" s="3">
        <f t="shared" ca="1" si="56"/>
        <v>2.2404081163240419E-5</v>
      </c>
      <c r="AH190" s="3">
        <f t="shared" ca="1" si="57"/>
        <v>-7.2728171323879834E-6</v>
      </c>
      <c r="AI190" s="3">
        <f t="shared" ca="1" si="58"/>
        <v>1.7105218432205055E-2</v>
      </c>
      <c r="AJ190" s="3">
        <f t="shared" ca="1" si="59"/>
        <v>6.3661255288510504E-4</v>
      </c>
      <c r="AK190" s="3">
        <f t="shared" ca="1" si="60"/>
        <v>0.33652225435072841</v>
      </c>
      <c r="AL190" s="3">
        <f t="shared" ca="1" si="61"/>
        <v>3.7300421356583732E-6</v>
      </c>
      <c r="AM190" s="3">
        <f t="shared" ca="1" si="62"/>
        <v>0.24326444260395788</v>
      </c>
      <c r="AN190" s="3">
        <f t="shared" ca="1" si="63"/>
        <v>2.9250759203140304</v>
      </c>
      <c r="AP190" s="3">
        <f t="shared" ca="1" si="64"/>
        <v>8.6919519603966879</v>
      </c>
      <c r="AQ190" s="3">
        <f t="shared" ca="1" si="71"/>
        <v>0.40043136032439192</v>
      </c>
      <c r="AR190" s="3">
        <f t="shared" ca="1" si="65"/>
        <v>2.5519622449498636E-4</v>
      </c>
      <c r="AS190" s="3">
        <f t="shared" ca="1" si="66"/>
        <v>0.24301666453753248</v>
      </c>
      <c r="AT190" s="3">
        <f t="shared" ca="1" si="67"/>
        <v>0.70875644598805709</v>
      </c>
      <c r="AU190" s="3">
        <f t="shared" ca="1" si="68"/>
        <v>5.2796553945636086E-2</v>
      </c>
      <c r="AV190" s="10">
        <f t="shared" ca="1" si="72"/>
        <v>0.70875644598805709</v>
      </c>
      <c r="AW190" s="10">
        <f t="shared" ca="1" si="73"/>
        <v>0.70875644598805709</v>
      </c>
      <c r="AY190" s="3">
        <f t="shared" ca="1" si="79"/>
        <v>8.6920727604108858</v>
      </c>
      <c r="AZ190" s="3">
        <f t="shared" ca="1" si="74"/>
        <v>0.40043699298474378</v>
      </c>
      <c r="BA190" s="3">
        <f t="shared" ca="1" si="69"/>
        <v>2.5492321637365266E-4</v>
      </c>
      <c r="BB190" s="3">
        <f t="shared" ca="1" si="75"/>
        <v>0.24300951938758422</v>
      </c>
      <c r="BC190" s="3">
        <f t="shared" ca="1" si="76"/>
        <v>0.70874122611541435</v>
      </c>
      <c r="BD190" s="3">
        <f t="shared" ca="1" si="70"/>
        <v>5.2798004787692733E-2</v>
      </c>
      <c r="BE190" s="3">
        <f t="shared" ca="1" si="77"/>
        <v>0.70874122611541435</v>
      </c>
      <c r="BF190" s="3">
        <f t="shared" ca="1" si="78"/>
        <v>0.70874122611541435</v>
      </c>
    </row>
    <row r="191" spans="1:58" ht="15" x14ac:dyDescent="0.25">
      <c r="A191" s="72">
        <v>125</v>
      </c>
      <c r="B191" s="72">
        <v>1498730185.3310001</v>
      </c>
      <c r="C191" s="73">
        <v>2.2714051428953001E-4</v>
      </c>
      <c r="D191" s="73">
        <v>7.4883745650242202E-5</v>
      </c>
      <c r="E191" s="73">
        <v>1.7718810734549999E-2</v>
      </c>
      <c r="F191" s="73">
        <v>6.5922220574804197E-4</v>
      </c>
      <c r="G191" s="73">
        <v>0.33204550897820101</v>
      </c>
      <c r="H191" s="73">
        <v>5.6625783641732797E-6</v>
      </c>
      <c r="I191" s="73">
        <v>0.239786193972716</v>
      </c>
      <c r="J191" s="73">
        <v>2.8831617117714798</v>
      </c>
      <c r="K191" s="73"/>
      <c r="L191" s="73"/>
      <c r="M191" s="73"/>
      <c r="O191" s="13">
        <f t="shared" ca="1" si="40"/>
        <v>-3.754671498203157E-5</v>
      </c>
      <c r="P191" s="13">
        <f t="shared" ca="1" si="41"/>
        <v>6.3596270265402023E-5</v>
      </c>
      <c r="Q191" s="13">
        <f t="shared" ca="1" si="42"/>
        <v>1.6878071116577312E-2</v>
      </c>
      <c r="R191" s="13">
        <f t="shared" ca="1" si="43"/>
        <v>6.4944592685736084E-4</v>
      </c>
      <c r="S191" s="13">
        <f t="shared" ca="1" si="44"/>
        <v>0.33091043034495965</v>
      </c>
      <c r="T191" s="13">
        <f t="shared" ca="1" si="45"/>
        <v>5.3127568531491933E-6</v>
      </c>
      <c r="U191" s="13">
        <f t="shared" ca="1" si="46"/>
        <v>0.23913234997792748</v>
      </c>
      <c r="V191" s="13">
        <f t="shared" ca="1" si="47"/>
        <v>2.8760229308490257</v>
      </c>
      <c r="X191" s="3">
        <f t="shared" ca="1" si="48"/>
        <v>-3.754671498203157E-5</v>
      </c>
      <c r="Y191" s="3">
        <f t="shared" ca="1" si="49"/>
        <v>6.3596270265402023E-5</v>
      </c>
      <c r="Z191" s="3">
        <f t="shared" ca="1" si="50"/>
        <v>1.6878030470011809E-2</v>
      </c>
      <c r="AA191" s="3">
        <f t="shared" ca="1" si="51"/>
        <v>6.4846209521505257E-4</v>
      </c>
      <c r="AB191" s="3">
        <f t="shared" ca="1" si="52"/>
        <v>0.33090327562564542</v>
      </c>
      <c r="AC191" s="3">
        <f t="shared" ca="1" si="53"/>
        <v>5.3127568531491933E-6</v>
      </c>
      <c r="AD191" s="3">
        <f t="shared" ca="1" si="54"/>
        <v>0.23912178418036045</v>
      </c>
      <c r="AE191" s="3">
        <f t="shared" ca="1" si="55"/>
        <v>2.8760186434941661</v>
      </c>
      <c r="AG191" s="3">
        <f t="shared" ca="1" si="56"/>
        <v>-3.754671498203157E-5</v>
      </c>
      <c r="AH191" s="3">
        <f t="shared" ca="1" si="57"/>
        <v>6.3596270265402023E-5</v>
      </c>
      <c r="AI191" s="3">
        <f t="shared" ca="1" si="58"/>
        <v>1.6826804011643923E-2</v>
      </c>
      <c r="AJ191" s="3">
        <f t="shared" ca="1" si="59"/>
        <v>6.2017470716243877E-4</v>
      </c>
      <c r="AK191" s="3">
        <f t="shared" ca="1" si="60"/>
        <v>0.33090327562564542</v>
      </c>
      <c r="AL191" s="3">
        <f t="shared" ca="1" si="61"/>
        <v>5.3127568531491933E-6</v>
      </c>
      <c r="AM191" s="3">
        <f t="shared" ca="1" si="62"/>
        <v>0.23912178418036045</v>
      </c>
      <c r="AN191" s="3">
        <f t="shared" ca="1" si="63"/>
        <v>2.8760186434941661</v>
      </c>
      <c r="AP191" s="3">
        <f t="shared" ca="1" si="64"/>
        <v>8.6912429077889684</v>
      </c>
      <c r="AQ191" s="3">
        <f t="shared" ca="1" si="71"/>
        <v>0.40039829865445009</v>
      </c>
      <c r="AR191" s="3">
        <f t="shared" ca="1" si="65"/>
        <v>2.6003704418174969E-4</v>
      </c>
      <c r="AS191" s="3">
        <f t="shared" ca="1" si="66"/>
        <v>0.23887231293374572</v>
      </c>
      <c r="AT191" s="3">
        <f t="shared" ca="1" si="67"/>
        <v>0.70852379235226737</v>
      </c>
      <c r="AU191" s="3">
        <f t="shared" ca="1" si="68"/>
        <v>5.2975199764145768E-2</v>
      </c>
      <c r="AV191" s="10">
        <f t="shared" ca="1" si="72"/>
        <v>0.70852379235226737</v>
      </c>
      <c r="AW191" s="10">
        <f t="shared" ca="1" si="73"/>
        <v>0.70852379235226737</v>
      </c>
      <c r="AY191" s="3">
        <f t="shared" ca="1" si="79"/>
        <v>8.6914178714502608</v>
      </c>
      <c r="AZ191" s="3">
        <f t="shared" ca="1" si="74"/>
        <v>0.40040645684835952</v>
      </c>
      <c r="BA191" s="3">
        <f t="shared" ca="1" si="69"/>
        <v>2.4832195712188102E-4</v>
      </c>
      <c r="BB191" s="3">
        <f t="shared" ca="1" si="75"/>
        <v>0.23887346222323858</v>
      </c>
      <c r="BC191" s="3">
        <f t="shared" ca="1" si="76"/>
        <v>0.70853533791468148</v>
      </c>
      <c r="BD191" s="3">
        <f t="shared" ca="1" si="70"/>
        <v>5.2816517597024E-2</v>
      </c>
      <c r="BE191" s="3">
        <f t="shared" ca="1" si="77"/>
        <v>0.70853533791468148</v>
      </c>
      <c r="BF191" s="3">
        <f t="shared" ca="1" si="78"/>
        <v>0.70853533791468148</v>
      </c>
    </row>
    <row r="192" spans="1:58" ht="15" x14ac:dyDescent="0.25">
      <c r="A192" s="72">
        <v>126</v>
      </c>
      <c r="B192" s="72">
        <v>1498730185.858</v>
      </c>
      <c r="C192" s="73">
        <v>2.8280899134483397E-4</v>
      </c>
      <c r="D192" s="73">
        <v>-3.4252544254061798E-5</v>
      </c>
      <c r="E192" s="73">
        <v>1.7877828487275E-2</v>
      </c>
      <c r="F192" s="73">
        <v>7.6827443573171297E-4</v>
      </c>
      <c r="G192" s="73">
        <v>0.33361342487326601</v>
      </c>
      <c r="H192" s="73">
        <v>8.3222910077413803E-5</v>
      </c>
      <c r="I192" s="73">
        <v>0.24110746028348101</v>
      </c>
      <c r="J192" s="73">
        <v>2.8957291437707302</v>
      </c>
      <c r="K192" s="73"/>
      <c r="L192" s="73"/>
      <c r="M192" s="73"/>
      <c r="O192" s="13">
        <f t="shared" ca="1" si="40"/>
        <v>1.8121762073272391E-5</v>
      </c>
      <c r="P192" s="13">
        <f t="shared" ca="1" si="41"/>
        <v>-4.5540019638901969E-5</v>
      </c>
      <c r="Q192" s="13">
        <f t="shared" ca="1" si="42"/>
        <v>1.7037088869302313E-2</v>
      </c>
      <c r="R192" s="13">
        <f t="shared" ca="1" si="43"/>
        <v>7.5849815684103184E-4</v>
      </c>
      <c r="S192" s="13">
        <f t="shared" ca="1" si="44"/>
        <v>0.33247834624002465</v>
      </c>
      <c r="T192" s="13">
        <f t="shared" ca="1" si="45"/>
        <v>8.2873088566389714E-5</v>
      </c>
      <c r="U192" s="13">
        <f t="shared" ca="1" si="46"/>
        <v>0.2404536162886925</v>
      </c>
      <c r="V192" s="13">
        <f t="shared" ca="1" si="47"/>
        <v>2.8885903628482761</v>
      </c>
      <c r="X192" s="3">
        <f t="shared" ca="1" si="48"/>
        <v>1.8121762073272391E-5</v>
      </c>
      <c r="Y192" s="3">
        <f t="shared" ca="1" si="49"/>
        <v>-4.5540019638901969E-5</v>
      </c>
      <c r="Z192" s="3">
        <f t="shared" ca="1" si="50"/>
        <v>1.7036454828160203E-2</v>
      </c>
      <c r="AA192" s="3">
        <f t="shared" ca="1" si="51"/>
        <v>7.4315147919680566E-4</v>
      </c>
      <c r="AB192" s="3">
        <f t="shared" ca="1" si="52"/>
        <v>0.33236674058898752</v>
      </c>
      <c r="AC192" s="3">
        <f t="shared" ca="1" si="53"/>
        <v>8.2873088566389714E-5</v>
      </c>
      <c r="AD192" s="3">
        <f t="shared" ca="1" si="54"/>
        <v>0.24028880161680907</v>
      </c>
      <c r="AE192" s="3">
        <f t="shared" ca="1" si="55"/>
        <v>2.888523484888522</v>
      </c>
      <c r="AG192" s="3">
        <f t="shared" ca="1" si="56"/>
        <v>1.8121762073272391E-5</v>
      </c>
      <c r="AH192" s="3">
        <f t="shared" ca="1" si="57"/>
        <v>-4.5540019638901969E-5</v>
      </c>
      <c r="AI192" s="3">
        <f t="shared" ca="1" si="58"/>
        <v>1.7036454828160203E-2</v>
      </c>
      <c r="AJ192" s="3">
        <f t="shared" ca="1" si="59"/>
        <v>7.4315147919680566E-4</v>
      </c>
      <c r="AK192" s="3">
        <f t="shared" ca="1" si="60"/>
        <v>0.33236674058898752</v>
      </c>
      <c r="AL192" s="3">
        <f t="shared" ca="1" si="61"/>
        <v>8.2873088566389714E-5</v>
      </c>
      <c r="AM192" s="3">
        <f t="shared" ca="1" si="62"/>
        <v>0.24028880161680907</v>
      </c>
      <c r="AN192" s="3">
        <f t="shared" ca="1" si="63"/>
        <v>2.888523484888522</v>
      </c>
      <c r="AP192" s="3">
        <f t="shared" ca="1" si="64"/>
        <v>8.6880556147946209</v>
      </c>
      <c r="AQ192" s="3">
        <f t="shared" ca="1" si="71"/>
        <v>0.40024968211835216</v>
      </c>
      <c r="AR192" s="3">
        <f t="shared" ca="1" si="65"/>
        <v>3.0358864616297901E-4</v>
      </c>
      <c r="AS192" s="3">
        <f t="shared" ca="1" si="66"/>
        <v>0.24015002764252952</v>
      </c>
      <c r="AT192" s="3">
        <f t="shared" ca="1" si="67"/>
        <v>0.70908545278228641</v>
      </c>
      <c r="AU192" s="3">
        <f t="shared" ca="1" si="68"/>
        <v>5.3202160704214373E-2</v>
      </c>
      <c r="AV192" s="10">
        <f t="shared" ca="1" si="72"/>
        <v>0.70908545278228641</v>
      </c>
      <c r="AW192" s="10">
        <f t="shared" ca="1" si="73"/>
        <v>0.70908545278228641</v>
      </c>
      <c r="AY192" s="3">
        <f t="shared" ca="1" si="79"/>
        <v>8.6907717654593419</v>
      </c>
      <c r="AZ192" s="3">
        <f t="shared" ca="1" si="74"/>
        <v>0.400376330271285</v>
      </c>
      <c r="BA192" s="3">
        <f t="shared" ca="1" si="69"/>
        <v>2.9754026207649424E-4</v>
      </c>
      <c r="BB192" s="3">
        <f t="shared" ca="1" si="75"/>
        <v>0.23999126135473259</v>
      </c>
      <c r="BC192" s="3">
        <f t="shared" ca="1" si="76"/>
        <v>0.70874303923905579</v>
      </c>
      <c r="BD192" s="3">
        <f t="shared" ca="1" si="70"/>
        <v>5.3235069366164817E-2</v>
      </c>
      <c r="BE192" s="3">
        <f t="shared" ca="1" si="77"/>
        <v>0.70874303923905579</v>
      </c>
      <c r="BF192" s="3">
        <f t="shared" ca="1" si="78"/>
        <v>0.70874303923905579</v>
      </c>
    </row>
    <row r="193" spans="1:58" ht="15" x14ac:dyDescent="0.25">
      <c r="A193" s="72">
        <v>127</v>
      </c>
      <c r="B193" s="72">
        <v>1498730186.385</v>
      </c>
      <c r="C193" s="73">
        <v>2.59732365712927E-4</v>
      </c>
      <c r="D193" s="73">
        <v>2.78733524546623E-5</v>
      </c>
      <c r="E193" s="73">
        <v>1.8463341668977899E-2</v>
      </c>
      <c r="F193" s="73">
        <v>5.6803701291804898E-4</v>
      </c>
      <c r="G193" s="73">
        <v>0.34640216996248901</v>
      </c>
      <c r="H193" s="73">
        <v>-1.7555912239382101E-5</v>
      </c>
      <c r="I193" s="73">
        <v>0.25038072671904299</v>
      </c>
      <c r="J193" s="73">
        <v>3.0069831477893998</v>
      </c>
      <c r="K193" s="73"/>
      <c r="L193" s="73"/>
      <c r="M193" s="73"/>
      <c r="O193" s="13">
        <f t="shared" ca="1" si="40"/>
        <v>-4.9548635586345877E-6</v>
      </c>
      <c r="P193" s="13">
        <f t="shared" ca="1" si="41"/>
        <v>1.6585877069822129E-5</v>
      </c>
      <c r="Q193" s="13">
        <f t="shared" ca="1" si="42"/>
        <v>1.7622602051005212E-2</v>
      </c>
      <c r="R193" s="13">
        <f t="shared" ca="1" si="43"/>
        <v>5.5826073402736784E-4</v>
      </c>
      <c r="S193" s="13">
        <f t="shared" ca="1" si="44"/>
        <v>0.34526709132924766</v>
      </c>
      <c r="T193" s="13">
        <f t="shared" ca="1" si="45"/>
        <v>-1.7905733750406187E-5</v>
      </c>
      <c r="U193" s="13">
        <f t="shared" ca="1" si="46"/>
        <v>0.24972688272425447</v>
      </c>
      <c r="V193" s="13">
        <f t="shared" ca="1" si="47"/>
        <v>2.9998443668669457</v>
      </c>
      <c r="X193" s="3">
        <f t="shared" ca="1" si="48"/>
        <v>-4.9548635586345877E-6</v>
      </c>
      <c r="Y193" s="3">
        <f t="shared" ca="1" si="49"/>
        <v>1.6585877069822129E-5</v>
      </c>
      <c r="Z193" s="3">
        <f t="shared" ca="1" si="50"/>
        <v>1.7622602051005212E-2</v>
      </c>
      <c r="AA193" s="3">
        <f t="shared" ca="1" si="51"/>
        <v>5.5826073402736784E-4</v>
      </c>
      <c r="AB193" s="3">
        <f t="shared" ca="1" si="52"/>
        <v>0.34526709132924766</v>
      </c>
      <c r="AC193" s="3">
        <f t="shared" ca="1" si="53"/>
        <v>-1.7905733750406187E-5</v>
      </c>
      <c r="AD193" s="3">
        <f t="shared" ca="1" si="54"/>
        <v>0.24972688272425447</v>
      </c>
      <c r="AE193" s="3">
        <f t="shared" ca="1" si="55"/>
        <v>2.9998443668669457</v>
      </c>
      <c r="AG193" s="3">
        <f t="shared" ca="1" si="56"/>
        <v>-4.9548635586345877E-6</v>
      </c>
      <c r="AH193" s="3">
        <f t="shared" ca="1" si="57"/>
        <v>1.6585877069822129E-5</v>
      </c>
      <c r="AI193" s="3">
        <f t="shared" ca="1" si="58"/>
        <v>1.7609242215001208E-2</v>
      </c>
      <c r="AJ193" s="3">
        <f t="shared" ca="1" si="59"/>
        <v>5.5088339666294311E-4</v>
      </c>
      <c r="AK193" s="3">
        <f t="shared" ca="1" si="60"/>
        <v>0.34526709132924766</v>
      </c>
      <c r="AL193" s="3">
        <f t="shared" ca="1" si="61"/>
        <v>-1.7905733750406187E-5</v>
      </c>
      <c r="AM193" s="3">
        <f t="shared" ca="1" si="62"/>
        <v>0.24972688272425447</v>
      </c>
      <c r="AN193" s="3">
        <f t="shared" ca="1" si="63"/>
        <v>2.9998443668669457</v>
      </c>
      <c r="AP193" s="3">
        <f t="shared" ca="1" si="64"/>
        <v>8.6884746394966612</v>
      </c>
      <c r="AQ193" s="3">
        <f t="shared" ca="1" si="71"/>
        <v>0.40026922029057305</v>
      </c>
      <c r="AR193" s="3">
        <f t="shared" ca="1" si="65"/>
        <v>2.2345458872797752E-4</v>
      </c>
      <c r="AS193" s="3">
        <f t="shared" ca="1" si="66"/>
        <v>0.24950342813552651</v>
      </c>
      <c r="AT193" s="3">
        <f t="shared" ca="1" si="67"/>
        <v>0.70939820204356052</v>
      </c>
      <c r="AU193" s="3">
        <f t="shared" ca="1" si="68"/>
        <v>5.2994833031199583E-2</v>
      </c>
      <c r="AV193" s="10">
        <f t="shared" ca="1" si="72"/>
        <v>0.70939820204356052</v>
      </c>
      <c r="AW193" s="10">
        <f t="shared" ca="1" si="73"/>
        <v>0.70939820204356052</v>
      </c>
      <c r="AY193" s="3">
        <f t="shared" ca="1" si="79"/>
        <v>8.6884746394966612</v>
      </c>
      <c r="AZ193" s="3">
        <f t="shared" ca="1" si="74"/>
        <v>0.40026922029057305</v>
      </c>
      <c r="BA193" s="3">
        <f t="shared" ca="1" si="69"/>
        <v>2.205016676532987E-4</v>
      </c>
      <c r="BB193" s="3">
        <f t="shared" ca="1" si="75"/>
        <v>0.24950638105660117</v>
      </c>
      <c r="BC193" s="3">
        <f t="shared" ca="1" si="76"/>
        <v>0.70940659790776495</v>
      </c>
      <c r="BD193" s="3">
        <f t="shared" ca="1" si="70"/>
        <v>5.2954657223092061E-2</v>
      </c>
      <c r="BE193" s="3">
        <f t="shared" ca="1" si="77"/>
        <v>0.70940659790776495</v>
      </c>
      <c r="BF193" s="3">
        <f t="shared" ca="1" si="78"/>
        <v>0.70940659790776495</v>
      </c>
    </row>
    <row r="194" spans="1:58" ht="15" x14ac:dyDescent="0.25">
      <c r="A194" s="72">
        <v>128</v>
      </c>
      <c r="B194" s="72">
        <v>1498730186.9119999</v>
      </c>
      <c r="C194" s="73">
        <v>2.00496871292878E-4</v>
      </c>
      <c r="D194" s="73">
        <v>-2.5276419375423399E-5</v>
      </c>
      <c r="E194" s="73">
        <v>1.9228047715018699E-2</v>
      </c>
      <c r="F194" s="73">
        <v>7.0112733120715302E-4</v>
      </c>
      <c r="G194" s="73">
        <v>0.36032248757846003</v>
      </c>
      <c r="H194" s="73">
        <v>-8.2340523271739403E-5</v>
      </c>
      <c r="I194" s="73">
        <v>0.26003681562542302</v>
      </c>
      <c r="J194" s="73">
        <v>3.12665792834976</v>
      </c>
      <c r="K194" s="73"/>
      <c r="L194" s="73"/>
      <c r="M194" s="73"/>
      <c r="O194" s="13">
        <f t="shared" ca="1" si="40"/>
        <v>-6.4190357978683582E-5</v>
      </c>
      <c r="P194" s="13">
        <f t="shared" ca="1" si="41"/>
        <v>-3.6563894760263571E-5</v>
      </c>
      <c r="Q194" s="13">
        <f t="shared" ca="1" si="42"/>
        <v>1.8387308097046012E-2</v>
      </c>
      <c r="R194" s="13">
        <f t="shared" ca="1" si="43"/>
        <v>6.9135105231647189E-4</v>
      </c>
      <c r="S194" s="13">
        <f t="shared" ca="1" si="44"/>
        <v>0.35918740894521867</v>
      </c>
      <c r="T194" s="13">
        <f t="shared" ca="1" si="45"/>
        <v>-8.2690344782763493E-5</v>
      </c>
      <c r="U194" s="13">
        <f t="shared" ca="1" si="46"/>
        <v>0.25938297163063451</v>
      </c>
      <c r="V194" s="13">
        <f t="shared" ca="1" si="47"/>
        <v>3.1195191474273058</v>
      </c>
      <c r="X194" s="3">
        <f t="shared" ca="1" si="48"/>
        <v>-6.4190357978683582E-5</v>
      </c>
      <c r="Y194" s="3">
        <f t="shared" ca="1" si="49"/>
        <v>-3.6563894760263571E-5</v>
      </c>
      <c r="Z194" s="3">
        <f t="shared" ca="1" si="50"/>
        <v>1.8387308097046012E-2</v>
      </c>
      <c r="AA194" s="3">
        <f t="shared" ca="1" si="51"/>
        <v>6.9135105231647189E-4</v>
      </c>
      <c r="AB194" s="3">
        <f t="shared" ca="1" si="52"/>
        <v>0.35918740894521867</v>
      </c>
      <c r="AC194" s="3">
        <f t="shared" ca="1" si="53"/>
        <v>-8.2690344782763493E-5</v>
      </c>
      <c r="AD194" s="3">
        <f t="shared" ca="1" si="54"/>
        <v>0.25938297163063451</v>
      </c>
      <c r="AE194" s="3">
        <f t="shared" ca="1" si="55"/>
        <v>3.1195191474273058</v>
      </c>
      <c r="AG194" s="3">
        <f t="shared" ca="1" si="56"/>
        <v>-6.4190357978683582E-5</v>
      </c>
      <c r="AH194" s="3">
        <f t="shared" ca="1" si="57"/>
        <v>-3.6563894760263571E-5</v>
      </c>
      <c r="AI194" s="3">
        <f t="shared" ca="1" si="58"/>
        <v>1.8387308097046012E-2</v>
      </c>
      <c r="AJ194" s="3">
        <f t="shared" ca="1" si="59"/>
        <v>6.9135105231647189E-4</v>
      </c>
      <c r="AK194" s="3">
        <f t="shared" ca="1" si="60"/>
        <v>0.35918740894521867</v>
      </c>
      <c r="AL194" s="3">
        <f t="shared" ca="1" si="61"/>
        <v>-8.2690344782763493E-5</v>
      </c>
      <c r="AM194" s="3">
        <f t="shared" ca="1" si="62"/>
        <v>0.25938297163063451</v>
      </c>
      <c r="AN194" s="3">
        <f t="shared" ca="1" si="63"/>
        <v>3.1195191474273058</v>
      </c>
      <c r="AP194" s="3">
        <f t="shared" ca="1" si="64"/>
        <v>8.6849345765989199</v>
      </c>
      <c r="AQ194" s="3">
        <f t="shared" ca="1" si="71"/>
        <v>0.40010415554012907</v>
      </c>
      <c r="AR194" s="3">
        <f t="shared" ca="1" si="65"/>
        <v>2.766124289688616E-4</v>
      </c>
      <c r="AS194" s="3">
        <f t="shared" ca="1" si="66"/>
        <v>0.25910635920166564</v>
      </c>
      <c r="AT194" s="3">
        <f t="shared" ca="1" si="67"/>
        <v>0.70829609786852465</v>
      </c>
      <c r="AU194" s="3">
        <f t="shared" ca="1" si="68"/>
        <v>5.3129365248575769E-2</v>
      </c>
      <c r="AV194" s="10">
        <f t="shared" ca="1" si="72"/>
        <v>0.70829609786852465</v>
      </c>
      <c r="AW194" s="10">
        <f t="shared" ca="1" si="73"/>
        <v>0.70829609786852465</v>
      </c>
      <c r="AY194" s="3">
        <f t="shared" ca="1" si="79"/>
        <v>8.6849345765989199</v>
      </c>
      <c r="AZ194" s="3">
        <f t="shared" ca="1" si="74"/>
        <v>0.40010415554012907</v>
      </c>
      <c r="BA194" s="3">
        <f t="shared" ca="1" si="69"/>
        <v>2.766124289688616E-4</v>
      </c>
      <c r="BB194" s="3">
        <f t="shared" ca="1" si="75"/>
        <v>0.25910635920166564</v>
      </c>
      <c r="BC194" s="3">
        <f t="shared" ca="1" si="76"/>
        <v>0.70829609786852465</v>
      </c>
      <c r="BD194" s="3">
        <f t="shared" ca="1" si="70"/>
        <v>5.3129365248575769E-2</v>
      </c>
      <c r="BE194" s="3">
        <f t="shared" ca="1" si="77"/>
        <v>0.70829609786852465</v>
      </c>
      <c r="BF194" s="3">
        <f t="shared" ca="1" si="78"/>
        <v>0.70829609786852465</v>
      </c>
    </row>
    <row r="195" spans="1:58" ht="15" x14ac:dyDescent="0.25">
      <c r="A195" s="72">
        <v>129</v>
      </c>
      <c r="B195" s="72">
        <v>1498730187.438</v>
      </c>
      <c r="C195" s="73">
        <v>2.2119321091566699E-4</v>
      </c>
      <c r="D195" s="73">
        <v>5.3858721614383202E-5</v>
      </c>
      <c r="E195" s="73">
        <v>1.8939917419484802E-2</v>
      </c>
      <c r="F195" s="73">
        <v>6.4779384024343497E-4</v>
      </c>
      <c r="G195" s="73">
        <v>0.35726624857849998</v>
      </c>
      <c r="H195" s="73">
        <v>2.8154030279633E-5</v>
      </c>
      <c r="I195" s="73">
        <v>0.25821268642380701</v>
      </c>
      <c r="J195" s="73">
        <v>3.1044199758756399</v>
      </c>
      <c r="K195" s="73"/>
      <c r="L195" s="73"/>
      <c r="M195" s="73"/>
      <c r="O195" s="13">
        <f t="shared" ref="O195:O258" ca="1" si="80">C195-AVERAGE(OFFSET(C$67,$J$2,0,$J$3))</f>
        <v>-4.3494018355894591E-5</v>
      </c>
      <c r="P195" s="13">
        <f t="shared" ref="P195:P258" ca="1" si="81">D195-AVERAGE(OFFSET(D$67,$J$2,0,$J$3))</f>
        <v>4.2571246229543031E-5</v>
      </c>
      <c r="Q195" s="13">
        <f t="shared" ref="Q195:Q258" ca="1" si="82">E195-AVERAGE(OFFSET(E$67,$J$2,0,$J$3))</f>
        <v>1.8099177801512115E-2</v>
      </c>
      <c r="R195" s="13">
        <f t="shared" ref="R195:R258" ca="1" si="83">F195-AVERAGE(OFFSET(F$67,$J$2,0,$J$3))</f>
        <v>6.3801756135275383E-4</v>
      </c>
      <c r="S195" s="13">
        <f t="shared" ref="S195:S258" ca="1" si="84">G195-AVERAGE(OFFSET(G$67,$J$2,0,$J$3))</f>
        <v>0.35613116994525862</v>
      </c>
      <c r="T195" s="13">
        <f t="shared" ref="T195:T258" ca="1" si="85">H195-AVERAGE(OFFSET(H$67,$J$2,0,$J$3))</f>
        <v>2.7804208768608914E-5</v>
      </c>
      <c r="U195" s="13">
        <f t="shared" ref="U195:U258" ca="1" si="86">I195-AVERAGE(OFFSET(I$67,$J$2,0,$J$3))</f>
        <v>0.2575588424290185</v>
      </c>
      <c r="V195" s="13">
        <f t="shared" ref="V195:V258" ca="1" si="87">J195-AVERAGE(OFFSET(J$67,$J$2,0,$J$3))</f>
        <v>3.0972811949531858</v>
      </c>
      <c r="X195" s="3">
        <f t="shared" ref="X195:X258" ca="1" si="88">O195</f>
        <v>-4.3494018355894591E-5</v>
      </c>
      <c r="Y195" s="3">
        <f t="shared" ref="Y195:Y258" ca="1" si="89">P195</f>
        <v>4.2571246229543031E-5</v>
      </c>
      <c r="Z195" s="3">
        <f t="shared" ref="Z195:Z258" ca="1" si="90">IF($T195&gt;0,Q195-($B$14/$B$18*$T195), Q195)</f>
        <v>1.809896507850893E-2</v>
      </c>
      <c r="AA195" s="3">
        <f t="shared" ref="AA195:AA258" ca="1" si="91">IF($T195&gt;0,R195-($B$15/$B$18*$T195), R195)</f>
        <v>6.3286869775292822E-4</v>
      </c>
      <c r="AB195" s="3">
        <f t="shared" ref="AB195:AB258" ca="1" si="92">IF($T195&gt;0,S195-($B$17/$B$18*$T195), S195)</f>
        <v>0.35609372586208432</v>
      </c>
      <c r="AC195" s="3">
        <f t="shared" ref="AC195:AC258" ca="1" si="93">T195</f>
        <v>2.7804208768608914E-5</v>
      </c>
      <c r="AD195" s="3">
        <f t="shared" ref="AD195:AD258" ca="1" si="94">IF($T195&gt;0,U195-($B$19/$B$18*$T195), U195)</f>
        <v>0.25750354653472457</v>
      </c>
      <c r="AE195" s="3">
        <f t="shared" ref="AE195:AE258" ca="1" si="95">IF($T195&gt;0,V195-($B$20/$B$18*$T195), V195)</f>
        <v>3.0972587571656338</v>
      </c>
      <c r="AG195" s="3">
        <f t="shared" ref="AG195:AG258" ca="1" si="96">X195</f>
        <v>-4.3494018355894591E-5</v>
      </c>
      <c r="AH195" s="3">
        <f t="shared" ref="AH195:AH258" ca="1" si="97">Y195</f>
        <v>4.2571246229543031E-5</v>
      </c>
      <c r="AI195" s="3">
        <f t="shared" ref="AI195:AI258" ca="1" si="98">IF($Y195&gt;0,Z195-($B$25/$B$23*$Y195),Z195)</f>
        <v>1.806467416547982E-2</v>
      </c>
      <c r="AJ195" s="3">
        <f t="shared" ref="AJ195:AJ258" ca="1" si="99">IF($Y195&gt;0,AA195-($B$26/$B$23*$Y195),AA195)</f>
        <v>6.1393316337405776E-4</v>
      </c>
      <c r="AK195" s="3">
        <f t="shared" ref="AK195:AK258" ca="1" si="100">AB195</f>
        <v>0.35609372586208432</v>
      </c>
      <c r="AL195" s="3">
        <f t="shared" ref="AL195:AL258" ca="1" si="101">AC195</f>
        <v>2.7804208768608914E-5</v>
      </c>
      <c r="AM195" s="3">
        <f t="shared" ref="AM195:AM258" ca="1" si="102">AD195</f>
        <v>0.25750354653472457</v>
      </c>
      <c r="AN195" s="3">
        <f t="shared" ref="AN195:AN258" ca="1" si="103">AE195</f>
        <v>3.0972587571656338</v>
      </c>
      <c r="AP195" s="3">
        <f t="shared" ref="AP195:AP258" ca="1" si="104">IF(AND(S195&gt;0,V195&gt;0),V195/S195, #N/A)</f>
        <v>8.6970236147239586</v>
      </c>
      <c r="AQ195" s="3">
        <f t="shared" ca="1" si="71"/>
        <v>0.40066784212527545</v>
      </c>
      <c r="AR195" s="3">
        <f t="shared" ref="AR195:AR258" ca="1" si="105">AQ195*R195</f>
        <v>2.5563311954523841E-4</v>
      </c>
      <c r="AS195" s="3">
        <f t="shared" ref="AS195:AS258" ca="1" si="106">U195-AR195</f>
        <v>0.25730320930947326</v>
      </c>
      <c r="AT195" s="3">
        <f t="shared" ref="AT195:AT258" ca="1" si="107">(AS195/S195)/((AP195/$B$10)^$B$12)</f>
        <v>0.70890636975003896</v>
      </c>
      <c r="AU195" s="3">
        <f t="shared" ref="AU195:AU258" ca="1" si="108">(Q195/S195)/((AP195/$B$10)^$B$13)</f>
        <v>5.2820752274455915E-2</v>
      </c>
      <c r="AV195" s="10">
        <f t="shared" ca="1" si="72"/>
        <v>0.70890636975003896</v>
      </c>
      <c r="AW195" s="10">
        <f t="shared" ca="1" si="73"/>
        <v>0.70890636975003896</v>
      </c>
      <c r="AY195" s="3">
        <f t="shared" ca="1" si="79"/>
        <v>8.6978751160732539</v>
      </c>
      <c r="AZ195" s="3">
        <f t="shared" ca="1" si="74"/>
        <v>0.40070754621221655</v>
      </c>
      <c r="BA195" s="3">
        <f t="shared" ref="BA195:BA258" ca="1" si="109">AZ195*AJ195</f>
        <v>2.4600765143392256E-4</v>
      </c>
      <c r="BB195" s="3">
        <f t="shared" ca="1" si="75"/>
        <v>0.25725753888329067</v>
      </c>
      <c r="BC195" s="3">
        <f t="shared" ca="1" si="76"/>
        <v>0.70882012343091649</v>
      </c>
      <c r="BD195" s="3">
        <f t="shared" ref="BD195:BD258" ca="1" si="110">(AI195/AK195)/((AY195/$B$10)^$B$13)</f>
        <v>5.2730882533074251E-2</v>
      </c>
      <c r="BE195" s="3">
        <f t="shared" ca="1" si="77"/>
        <v>0.70882012343091649</v>
      </c>
      <c r="BF195" s="3">
        <f t="shared" ca="1" si="78"/>
        <v>0.70882012343091649</v>
      </c>
    </row>
    <row r="196" spans="1:58" ht="15" x14ac:dyDescent="0.25">
      <c r="A196" s="72">
        <v>130</v>
      </c>
      <c r="B196" s="72">
        <v>1498730187.9649999</v>
      </c>
      <c r="C196" s="73">
        <v>2.8851875421249799E-4</v>
      </c>
      <c r="D196" s="73">
        <v>-6.6376957368570897E-5</v>
      </c>
      <c r="E196" s="73">
        <v>1.8907800670373301E-2</v>
      </c>
      <c r="F196" s="73">
        <v>5.53276746170315E-4</v>
      </c>
      <c r="G196" s="73">
        <v>0.356516042475503</v>
      </c>
      <c r="H196" s="73">
        <v>8.9462013923259594E-6</v>
      </c>
      <c r="I196" s="73">
        <v>0.25763583970924597</v>
      </c>
      <c r="J196" s="73">
        <v>3.09628277776268</v>
      </c>
      <c r="K196" s="73"/>
      <c r="L196" s="73"/>
      <c r="M196" s="73"/>
      <c r="O196" s="13">
        <f t="shared" ca="1" si="80"/>
        <v>2.3831524940936405E-5</v>
      </c>
      <c r="P196" s="13">
        <f t="shared" ca="1" si="81"/>
        <v>-7.7664432753411075E-5</v>
      </c>
      <c r="Q196" s="13">
        <f t="shared" ca="1" si="82"/>
        <v>1.8067061052400614E-2</v>
      </c>
      <c r="R196" s="13">
        <f t="shared" ca="1" si="83"/>
        <v>5.4350046727963386E-4</v>
      </c>
      <c r="S196" s="13">
        <f t="shared" ca="1" si="84"/>
        <v>0.35538096384226164</v>
      </c>
      <c r="T196" s="13">
        <f t="shared" ca="1" si="85"/>
        <v>8.596379881301873E-6</v>
      </c>
      <c r="U196" s="13">
        <f t="shared" ca="1" si="86"/>
        <v>0.25698199571445746</v>
      </c>
      <c r="V196" s="13">
        <f t="shared" ca="1" si="87"/>
        <v>3.0891439968402259</v>
      </c>
      <c r="X196" s="3">
        <f t="shared" ca="1" si="88"/>
        <v>2.3831524940936405E-5</v>
      </c>
      <c r="Y196" s="3">
        <f t="shared" ca="1" si="89"/>
        <v>-7.7664432753411075E-5</v>
      </c>
      <c r="Z196" s="3">
        <f t="shared" ca="1" si="90"/>
        <v>1.8066995283661784E-2</v>
      </c>
      <c r="AA196" s="3">
        <f t="shared" ca="1" si="91"/>
        <v>5.4190856485113962E-4</v>
      </c>
      <c r="AB196" s="3">
        <f t="shared" ca="1" si="92"/>
        <v>0.35536938704948351</v>
      </c>
      <c r="AC196" s="3">
        <f t="shared" ca="1" si="93"/>
        <v>8.596379881301873E-6</v>
      </c>
      <c r="AD196" s="3">
        <f t="shared" ca="1" si="94"/>
        <v>0.25696489957922186</v>
      </c>
      <c r="AE196" s="3">
        <f t="shared" ca="1" si="95"/>
        <v>3.089137059626256</v>
      </c>
      <c r="AG196" s="3">
        <f t="shared" ca="1" si="96"/>
        <v>2.3831524940936405E-5</v>
      </c>
      <c r="AH196" s="3">
        <f t="shared" ca="1" si="97"/>
        <v>-7.7664432753411075E-5</v>
      </c>
      <c r="AI196" s="3">
        <f t="shared" ca="1" si="98"/>
        <v>1.8066995283661784E-2</v>
      </c>
      <c r="AJ196" s="3">
        <f t="shared" ca="1" si="99"/>
        <v>5.4190856485113962E-4</v>
      </c>
      <c r="AK196" s="3">
        <f t="shared" ca="1" si="100"/>
        <v>0.35536938704948351</v>
      </c>
      <c r="AL196" s="3">
        <f t="shared" ca="1" si="101"/>
        <v>8.596379881301873E-6</v>
      </c>
      <c r="AM196" s="3">
        <f t="shared" ca="1" si="102"/>
        <v>0.25696489957922186</v>
      </c>
      <c r="AN196" s="3">
        <f t="shared" ca="1" si="103"/>
        <v>3.089137059626256</v>
      </c>
      <c r="AP196" s="3">
        <f t="shared" ca="1" si="104"/>
        <v>8.6924858423518838</v>
      </c>
      <c r="AQ196" s="3">
        <f t="shared" ref="AQ196:AQ259" ca="1" si="111">$B$8*((AP196/$B$10)^$B$11)</f>
        <v>0.40045625416739528</v>
      </c>
      <c r="AR196" s="3">
        <f t="shared" ca="1" si="105"/>
        <v>2.1764816126503117E-4</v>
      </c>
      <c r="AS196" s="3">
        <f t="shared" ca="1" si="106"/>
        <v>0.25676434755319244</v>
      </c>
      <c r="AT196" s="3">
        <f t="shared" ca="1" si="107"/>
        <v>0.70910143575188911</v>
      </c>
      <c r="AU196" s="3">
        <f t="shared" ca="1" si="108"/>
        <v>5.2810119009809066E-2</v>
      </c>
      <c r="AV196" s="10">
        <f t="shared" ref="AV196:AV259" ca="1" si="112">IF(AND(AT196&lt;$M$3,AT196&gt;$M$4),AT196,"rejected")</f>
        <v>0.70910143575188911</v>
      </c>
      <c r="AW196" s="10">
        <f t="shared" ref="AW196:AW259" ca="1" si="113">IF(AND(AT196&lt;$M$3,AT196&gt;$M$4),AT196,#N/A)</f>
        <v>0.70910143575188911</v>
      </c>
      <c r="AY196" s="3">
        <f t="shared" ca="1" si="79"/>
        <v>8.6927494944749082</v>
      </c>
      <c r="AZ196" s="3">
        <f t="shared" ref="AZ196:AZ259" ca="1" si="114">$B$8*((AY196/$B$10)^$B$11)</f>
        <v>0.4004685477430559</v>
      </c>
      <c r="BA196" s="3">
        <f t="shared" ca="1" si="109"/>
        <v>2.1701733597545952E-4</v>
      </c>
      <c r="BB196" s="3">
        <f t="shared" ref="BB196:BB259" ca="1" si="115">AM196-BA196</f>
        <v>0.25674788224324641</v>
      </c>
      <c r="BC196" s="3">
        <f t="shared" ref="BC196:BC259" ca="1" si="116">(BB196/AK196)/((AY196/$B$10)^$B$12)</f>
        <v>0.70906823198287749</v>
      </c>
      <c r="BD196" s="3">
        <f t="shared" ca="1" si="110"/>
        <v>5.2813286221180061E-2</v>
      </c>
      <c r="BE196" s="3">
        <f t="shared" ref="BE196:BE259" ca="1" si="117">IF(AND(BC196&lt;$P$3,BC196&gt;$P$4),BC196,"rejected")</f>
        <v>0.70906823198287749</v>
      </c>
      <c r="BF196" s="3">
        <f t="shared" ref="BF196:BF259" ca="1" si="118">IF(AND(BC196&lt;$P$3,BC196&gt;$P$4),BC196,#N/A)</f>
        <v>0.70906823198287749</v>
      </c>
    </row>
    <row r="197" spans="1:58" ht="15" x14ac:dyDescent="0.25">
      <c r="A197" s="72">
        <v>131</v>
      </c>
      <c r="B197" s="72">
        <v>1498730188.4920001</v>
      </c>
      <c r="C197" s="73">
        <v>2.7353069631651797E-4</v>
      </c>
      <c r="D197" s="73">
        <v>-2.4567774478899399E-5</v>
      </c>
      <c r="E197" s="73">
        <v>1.8357691237658701E-2</v>
      </c>
      <c r="F197" s="73">
        <v>5.8946359468030904E-4</v>
      </c>
      <c r="G197" s="73">
        <v>0.345225869966998</v>
      </c>
      <c r="H197" s="73">
        <v>8.7572129459349495E-6</v>
      </c>
      <c r="I197" s="73">
        <v>0.24938433430520601</v>
      </c>
      <c r="J197" s="73">
        <v>2.99861380733604</v>
      </c>
      <c r="K197" s="73"/>
      <c r="L197" s="73"/>
      <c r="M197" s="73"/>
      <c r="O197" s="13">
        <f t="shared" ca="1" si="80"/>
        <v>8.8434670449563896E-6</v>
      </c>
      <c r="P197" s="13">
        <f t="shared" ca="1" si="81"/>
        <v>-3.585524986373957E-5</v>
      </c>
      <c r="Q197" s="13">
        <f t="shared" ca="1" si="82"/>
        <v>1.7516951619686014E-2</v>
      </c>
      <c r="R197" s="13">
        <f t="shared" ca="1" si="83"/>
        <v>5.7968731578962791E-4</v>
      </c>
      <c r="S197" s="13">
        <f t="shared" ca="1" si="84"/>
        <v>0.34409079133375664</v>
      </c>
      <c r="T197" s="13">
        <f t="shared" ca="1" si="85"/>
        <v>8.407391434910863E-6</v>
      </c>
      <c r="U197" s="13">
        <f t="shared" ca="1" si="86"/>
        <v>0.2487304903104175</v>
      </c>
      <c r="V197" s="13">
        <f t="shared" ca="1" si="87"/>
        <v>2.9914750264135859</v>
      </c>
      <c r="X197" s="3">
        <f t="shared" ca="1" si="88"/>
        <v>8.8434670449563896E-6</v>
      </c>
      <c r="Y197" s="3">
        <f t="shared" ca="1" si="89"/>
        <v>-3.585524986373957E-5</v>
      </c>
      <c r="Z197" s="3">
        <f t="shared" ca="1" si="90"/>
        <v>1.751688729685022E-2</v>
      </c>
      <c r="AA197" s="3">
        <f t="shared" ca="1" si="91"/>
        <v>5.781304107869014E-4</v>
      </c>
      <c r="AB197" s="3">
        <f t="shared" ca="1" si="92"/>
        <v>0.34407946905277437</v>
      </c>
      <c r="AC197" s="3">
        <f t="shared" ca="1" si="93"/>
        <v>8.407391434910863E-6</v>
      </c>
      <c r="AD197" s="3">
        <f t="shared" ca="1" si="94"/>
        <v>0.2487137700278178</v>
      </c>
      <c r="AE197" s="3">
        <f t="shared" ca="1" si="95"/>
        <v>2.9914682417118721</v>
      </c>
      <c r="AG197" s="3">
        <f t="shared" ca="1" si="96"/>
        <v>8.8434670449563896E-6</v>
      </c>
      <c r="AH197" s="3">
        <f t="shared" ca="1" si="97"/>
        <v>-3.585524986373957E-5</v>
      </c>
      <c r="AI197" s="3">
        <f t="shared" ca="1" si="98"/>
        <v>1.751688729685022E-2</v>
      </c>
      <c r="AJ197" s="3">
        <f t="shared" ca="1" si="99"/>
        <v>5.781304107869014E-4</v>
      </c>
      <c r="AK197" s="3">
        <f t="shared" ca="1" si="100"/>
        <v>0.34407946905277437</v>
      </c>
      <c r="AL197" s="3">
        <f t="shared" ca="1" si="101"/>
        <v>8.407391434910863E-6</v>
      </c>
      <c r="AM197" s="3">
        <f t="shared" ca="1" si="102"/>
        <v>0.2487137700278178</v>
      </c>
      <c r="AN197" s="3">
        <f t="shared" ca="1" si="103"/>
        <v>2.9914682417118721</v>
      </c>
      <c r="AP197" s="3">
        <f t="shared" ca="1" si="104"/>
        <v>8.6938537785858809</v>
      </c>
      <c r="AQ197" s="3">
        <f t="shared" ca="1" si="111"/>
        <v>0.40052003837043376</v>
      </c>
      <c r="AR197" s="3">
        <f t="shared" ca="1" si="105"/>
        <v>2.3217638596291553E-4</v>
      </c>
      <c r="AS197" s="3">
        <f t="shared" ca="1" si="106"/>
        <v>0.24849831392445457</v>
      </c>
      <c r="AT197" s="3">
        <f t="shared" ca="1" si="107"/>
        <v>0.7087348459842544</v>
      </c>
      <c r="AU197" s="3">
        <f t="shared" ca="1" si="108"/>
        <v>5.2890686478316677E-2</v>
      </c>
      <c r="AV197" s="10">
        <f t="shared" ca="1" si="112"/>
        <v>0.7087348459842544</v>
      </c>
      <c r="AW197" s="10">
        <f t="shared" ca="1" si="113"/>
        <v>0.7087348459842544</v>
      </c>
      <c r="AY197" s="3">
        <f t="shared" ref="AY197:AY260" ca="1" si="119">IF(AND(AN197&gt;0, AK197&gt;0),AN197/AK197, #N/A)</f>
        <v>8.6941201401733306</v>
      </c>
      <c r="AZ197" s="3">
        <f t="shared" ca="1" si="114"/>
        <v>0.4005324583067747</v>
      </c>
      <c r="BA197" s="3">
        <f t="shared" ca="1" si="109"/>
        <v>2.3155999465438311E-4</v>
      </c>
      <c r="BB197" s="3">
        <f t="shared" ca="1" si="115"/>
        <v>0.24848221003316343</v>
      </c>
      <c r="BC197" s="3">
        <f t="shared" ca="1" si="116"/>
        <v>0.70870130215870453</v>
      </c>
      <c r="BD197" s="3">
        <f t="shared" ca="1" si="110"/>
        <v>5.2893890862874528E-2</v>
      </c>
      <c r="BE197" s="3">
        <f t="shared" ca="1" si="117"/>
        <v>0.70870130215870453</v>
      </c>
      <c r="BF197" s="3">
        <f t="shared" ca="1" si="118"/>
        <v>0.70870130215870453</v>
      </c>
    </row>
    <row r="198" spans="1:58" ht="15" x14ac:dyDescent="0.25">
      <c r="A198" s="72">
        <v>132</v>
      </c>
      <c r="B198" s="72">
        <v>1498730189.0190001</v>
      </c>
      <c r="C198" s="73">
        <v>3.65603748464632E-4</v>
      </c>
      <c r="D198" s="73">
        <v>-6.3542492168666007E-5</v>
      </c>
      <c r="E198" s="73">
        <v>1.7722193831333E-2</v>
      </c>
      <c r="F198" s="73">
        <v>5.3304125106454496E-4</v>
      </c>
      <c r="G198" s="73">
        <v>0.33247826765341798</v>
      </c>
      <c r="H198" s="73">
        <v>3.3777690223085201E-5</v>
      </c>
      <c r="I198" s="73">
        <v>0.24026541962570599</v>
      </c>
      <c r="J198" s="73">
        <v>2.88773220220722</v>
      </c>
      <c r="K198" s="73"/>
      <c r="L198" s="73"/>
      <c r="M198" s="73"/>
      <c r="O198" s="13">
        <f t="shared" ca="1" si="80"/>
        <v>1.0091651919307042E-4</v>
      </c>
      <c r="P198" s="13">
        <f t="shared" ca="1" si="81"/>
        <v>-7.4829967553506185E-5</v>
      </c>
      <c r="Q198" s="13">
        <f t="shared" ca="1" si="82"/>
        <v>1.6881454213360313E-2</v>
      </c>
      <c r="R198" s="13">
        <f t="shared" ca="1" si="83"/>
        <v>5.2326497217386383E-4</v>
      </c>
      <c r="S198" s="13">
        <f t="shared" ca="1" si="84"/>
        <v>0.33134318902017662</v>
      </c>
      <c r="T198" s="13">
        <f t="shared" ca="1" si="85"/>
        <v>3.3427868712061111E-5</v>
      </c>
      <c r="U198" s="13">
        <f t="shared" ca="1" si="86"/>
        <v>0.23961157563091748</v>
      </c>
      <c r="V198" s="13">
        <f t="shared" ca="1" si="87"/>
        <v>2.8805934212847659</v>
      </c>
      <c r="X198" s="3">
        <f t="shared" ca="1" si="88"/>
        <v>1.0091651919307042E-4</v>
      </c>
      <c r="Y198" s="3">
        <f t="shared" ca="1" si="89"/>
        <v>-7.4829967553506185E-5</v>
      </c>
      <c r="Z198" s="3">
        <f t="shared" ca="1" si="90"/>
        <v>1.6881198465150331E-2</v>
      </c>
      <c r="AA198" s="3">
        <f t="shared" ca="1" si="91"/>
        <v>5.1707470300045729E-4</v>
      </c>
      <c r="AB198" s="3">
        <f t="shared" ca="1" si="92"/>
        <v>0.33129817152276064</v>
      </c>
      <c r="AC198" s="3">
        <f t="shared" ca="1" si="93"/>
        <v>3.3427868712061111E-5</v>
      </c>
      <c r="AD198" s="3">
        <f t="shared" ca="1" si="94"/>
        <v>0.23954509562747067</v>
      </c>
      <c r="AE198" s="3">
        <f t="shared" ca="1" si="95"/>
        <v>2.8805664452458966</v>
      </c>
      <c r="AG198" s="3">
        <f t="shared" ca="1" si="96"/>
        <v>1.0091651919307042E-4</v>
      </c>
      <c r="AH198" s="3">
        <f t="shared" ca="1" si="97"/>
        <v>-7.4829967553506185E-5</v>
      </c>
      <c r="AI198" s="3">
        <f t="shared" ca="1" si="98"/>
        <v>1.6881198465150331E-2</v>
      </c>
      <c r="AJ198" s="3">
        <f t="shared" ca="1" si="99"/>
        <v>5.1707470300045729E-4</v>
      </c>
      <c r="AK198" s="3">
        <f t="shared" ca="1" si="100"/>
        <v>0.33129817152276064</v>
      </c>
      <c r="AL198" s="3">
        <f t="shared" ca="1" si="101"/>
        <v>3.3427868712061111E-5</v>
      </c>
      <c r="AM198" s="3">
        <f t="shared" ca="1" si="102"/>
        <v>0.23954509562747067</v>
      </c>
      <c r="AN198" s="3">
        <f t="shared" ca="1" si="103"/>
        <v>2.8805664452458966</v>
      </c>
      <c r="AP198" s="3">
        <f t="shared" ca="1" si="104"/>
        <v>8.6936853291085967</v>
      </c>
      <c r="AQ198" s="3">
        <f t="shared" ca="1" si="111"/>
        <v>0.40051218389272919</v>
      </c>
      <c r="AR198" s="3">
        <f t="shared" ca="1" si="105"/>
        <v>2.0957399675992238E-4</v>
      </c>
      <c r="AS198" s="3">
        <f t="shared" ca="1" si="106"/>
        <v>0.23940200163415756</v>
      </c>
      <c r="AT198" s="3">
        <f t="shared" ca="1" si="107"/>
        <v>0.70906713549452161</v>
      </c>
      <c r="AU198" s="3">
        <f t="shared" ca="1" si="108"/>
        <v>5.2931831375000321E-2</v>
      </c>
      <c r="AV198" s="10">
        <f t="shared" ca="1" si="112"/>
        <v>0.70906713549452161</v>
      </c>
      <c r="AW198" s="10">
        <f t="shared" ca="1" si="113"/>
        <v>0.70906713549452161</v>
      </c>
      <c r="AY198" s="3">
        <f t="shared" ca="1" si="119"/>
        <v>8.6947852202317328</v>
      </c>
      <c r="AZ198" s="3">
        <f t="shared" ca="1" si="114"/>
        <v>0.40056346975040175</v>
      </c>
      <c r="BA198" s="3">
        <f t="shared" ca="1" si="109"/>
        <v>2.0712123715402165E-4</v>
      </c>
      <c r="BB198" s="3">
        <f t="shared" ca="1" si="115"/>
        <v>0.23933797439031665</v>
      </c>
      <c r="BC198" s="3">
        <f t="shared" ca="1" si="116"/>
        <v>0.70892865538834549</v>
      </c>
      <c r="BD198" s="3">
        <f t="shared" ca="1" si="110"/>
        <v>5.2945075124512866E-2</v>
      </c>
      <c r="BE198" s="3">
        <f t="shared" ca="1" si="117"/>
        <v>0.70892865538834549</v>
      </c>
      <c r="BF198" s="3">
        <f t="shared" ca="1" si="118"/>
        <v>0.70892865538834549</v>
      </c>
    </row>
    <row r="199" spans="1:58" ht="15" x14ac:dyDescent="0.25">
      <c r="A199" s="72">
        <v>133</v>
      </c>
      <c r="B199" s="72">
        <v>1498730189.5469999</v>
      </c>
      <c r="C199" s="73">
        <v>1.9716646590459499E-4</v>
      </c>
      <c r="D199" s="73">
        <v>3.7558728675200001E-5</v>
      </c>
      <c r="E199" s="73">
        <v>1.7856560230672398E-2</v>
      </c>
      <c r="F199" s="73">
        <v>5.4161152836150104E-4</v>
      </c>
      <c r="G199" s="73">
        <v>0.33456984061462203</v>
      </c>
      <c r="H199" s="73">
        <v>2.49717418570679E-6</v>
      </c>
      <c r="I199" s="73">
        <v>0.241816927229491</v>
      </c>
      <c r="J199" s="73">
        <v>2.9058268170271999</v>
      </c>
      <c r="K199" s="73"/>
      <c r="L199" s="73"/>
      <c r="M199" s="73"/>
      <c r="O199" s="13">
        <f t="shared" ca="1" si="80"/>
        <v>-6.7520763366966594E-5</v>
      </c>
      <c r="P199" s="13">
        <f t="shared" ca="1" si="81"/>
        <v>2.627125329035983E-5</v>
      </c>
      <c r="Q199" s="13">
        <f t="shared" ca="1" si="82"/>
        <v>1.7015820612699711E-2</v>
      </c>
      <c r="R199" s="13">
        <f t="shared" ca="1" si="83"/>
        <v>5.318352494708199E-4</v>
      </c>
      <c r="S199" s="13">
        <f t="shared" ca="1" si="84"/>
        <v>0.33343476198138067</v>
      </c>
      <c r="T199" s="13">
        <f t="shared" ca="1" si="85"/>
        <v>2.1473526746827035E-6</v>
      </c>
      <c r="U199" s="13">
        <f t="shared" ca="1" si="86"/>
        <v>0.24116308323470248</v>
      </c>
      <c r="V199" s="13">
        <f t="shared" ca="1" si="87"/>
        <v>2.8986880361047458</v>
      </c>
      <c r="X199" s="3">
        <f t="shared" ca="1" si="88"/>
        <v>-6.7520763366966594E-5</v>
      </c>
      <c r="Y199" s="3">
        <f t="shared" ca="1" si="89"/>
        <v>2.627125329035983E-5</v>
      </c>
      <c r="Z199" s="3">
        <f t="shared" ca="1" si="90"/>
        <v>1.7015804183844869E-2</v>
      </c>
      <c r="AA199" s="3">
        <f t="shared" ca="1" si="91"/>
        <v>5.3143759650703035E-4</v>
      </c>
      <c r="AB199" s="3">
        <f t="shared" ca="1" si="92"/>
        <v>0.33343187012954539</v>
      </c>
      <c r="AC199" s="3">
        <f t="shared" ca="1" si="93"/>
        <v>2.1473526746827035E-6</v>
      </c>
      <c r="AD199" s="3">
        <f t="shared" ca="1" si="94"/>
        <v>0.24115881266590122</v>
      </c>
      <c r="AE199" s="3">
        <f t="shared" ca="1" si="95"/>
        <v>2.8986863032072727</v>
      </c>
      <c r="AG199" s="3">
        <f t="shared" ca="1" si="96"/>
        <v>-6.7520763366966594E-5</v>
      </c>
      <c r="AH199" s="3">
        <f t="shared" ca="1" si="97"/>
        <v>2.627125329035983E-5</v>
      </c>
      <c r="AI199" s="3">
        <f t="shared" ca="1" si="98"/>
        <v>1.6994642828668936E-2</v>
      </c>
      <c r="AJ199" s="3">
        <f t="shared" ca="1" si="99"/>
        <v>5.1975223927850744E-4</v>
      </c>
      <c r="AK199" s="3">
        <f t="shared" ca="1" si="100"/>
        <v>0.33343187012954539</v>
      </c>
      <c r="AL199" s="3">
        <f t="shared" ca="1" si="101"/>
        <v>2.1473526746827035E-6</v>
      </c>
      <c r="AM199" s="3">
        <f t="shared" ca="1" si="102"/>
        <v>0.24115881266590122</v>
      </c>
      <c r="AN199" s="3">
        <f t="shared" ca="1" si="103"/>
        <v>2.8986863032072727</v>
      </c>
      <c r="AP199" s="3">
        <f t="shared" ca="1" si="104"/>
        <v>8.69341882315981</v>
      </c>
      <c r="AQ199" s="3">
        <f t="shared" ca="1" si="111"/>
        <v>0.40049975723263198</v>
      </c>
      <c r="AR199" s="3">
        <f t="shared" ca="1" si="105"/>
        <v>2.1299988830081963E-4</v>
      </c>
      <c r="AS199" s="3">
        <f t="shared" ca="1" si="106"/>
        <v>0.24095008334640167</v>
      </c>
      <c r="AT199" s="3">
        <f t="shared" ca="1" si="107"/>
        <v>0.70918662756862216</v>
      </c>
      <c r="AU199" s="3">
        <f t="shared" ca="1" si="108"/>
        <v>5.30168002944401E-2</v>
      </c>
      <c r="AV199" s="10">
        <f t="shared" ca="1" si="112"/>
        <v>0.70918662756862216</v>
      </c>
      <c r="AW199" s="10">
        <f t="shared" ca="1" si="113"/>
        <v>0.70918662756862216</v>
      </c>
      <c r="AY199" s="3">
        <f t="shared" ca="1" si="119"/>
        <v>8.6934890239528428</v>
      </c>
      <c r="AZ199" s="3">
        <f t="shared" ca="1" si="114"/>
        <v>0.40050303056021846</v>
      </c>
      <c r="BA199" s="3">
        <f t="shared" ca="1" si="109"/>
        <v>2.0816234697150206E-4</v>
      </c>
      <c r="BB199" s="3">
        <f t="shared" ca="1" si="115"/>
        <v>0.24095065031892973</v>
      </c>
      <c r="BC199" s="3">
        <f t="shared" ca="1" si="116"/>
        <v>0.70919156312699061</v>
      </c>
      <c r="BD199" s="3">
        <f t="shared" ca="1" si="110"/>
        <v>5.2951712690003302E-2</v>
      </c>
      <c r="BE199" s="3">
        <f t="shared" ca="1" si="117"/>
        <v>0.70919156312699061</v>
      </c>
      <c r="BF199" s="3">
        <f t="shared" ca="1" si="118"/>
        <v>0.70919156312699061</v>
      </c>
    </row>
    <row r="200" spans="1:58" ht="15" x14ac:dyDescent="0.25">
      <c r="A200" s="72">
        <v>134</v>
      </c>
      <c r="B200" s="72">
        <v>1498730190.0739999</v>
      </c>
      <c r="C200" s="73">
        <v>3.3729097583718598E-4</v>
      </c>
      <c r="D200" s="73">
        <v>-8.5050210651390103E-6</v>
      </c>
      <c r="E200" s="73">
        <v>1.8080140912618899E-2</v>
      </c>
      <c r="F200" s="73">
        <v>4.4567623077653698E-4</v>
      </c>
      <c r="G200" s="73">
        <v>0.33870799957561698</v>
      </c>
      <c r="H200" s="73">
        <v>-7.5889249871456799E-6</v>
      </c>
      <c r="I200" s="73">
        <v>0.244516847670463</v>
      </c>
      <c r="J200" s="73">
        <v>2.94158084387501</v>
      </c>
      <c r="K200" s="73"/>
      <c r="L200" s="73"/>
      <c r="M200" s="73"/>
      <c r="O200" s="13">
        <f t="shared" ca="1" si="80"/>
        <v>7.2603746565624394E-5</v>
      </c>
      <c r="P200" s="13">
        <f t="shared" ca="1" si="81"/>
        <v>-1.9792496449979185E-5</v>
      </c>
      <c r="Q200" s="13">
        <f t="shared" ca="1" si="82"/>
        <v>1.7239401294646212E-2</v>
      </c>
      <c r="R200" s="13">
        <f t="shared" ca="1" si="83"/>
        <v>4.3589995188585585E-4</v>
      </c>
      <c r="S200" s="13">
        <f t="shared" ca="1" si="84"/>
        <v>0.33757292094237562</v>
      </c>
      <c r="T200" s="13">
        <f t="shared" ca="1" si="85"/>
        <v>-7.9387464981697664E-6</v>
      </c>
      <c r="U200" s="13">
        <f t="shared" ca="1" si="86"/>
        <v>0.24386300367567448</v>
      </c>
      <c r="V200" s="13">
        <f t="shared" ca="1" si="87"/>
        <v>2.9344420629525558</v>
      </c>
      <c r="X200" s="3">
        <f t="shared" ca="1" si="88"/>
        <v>7.2603746565624394E-5</v>
      </c>
      <c r="Y200" s="3">
        <f t="shared" ca="1" si="89"/>
        <v>-1.9792496449979185E-5</v>
      </c>
      <c r="Z200" s="3">
        <f t="shared" ca="1" si="90"/>
        <v>1.7239401294646212E-2</v>
      </c>
      <c r="AA200" s="3">
        <f t="shared" ca="1" si="91"/>
        <v>4.3589995188585585E-4</v>
      </c>
      <c r="AB200" s="3">
        <f t="shared" ca="1" si="92"/>
        <v>0.33757292094237562</v>
      </c>
      <c r="AC200" s="3">
        <f t="shared" ca="1" si="93"/>
        <v>-7.9387464981697664E-6</v>
      </c>
      <c r="AD200" s="3">
        <f t="shared" ca="1" si="94"/>
        <v>0.24386300367567448</v>
      </c>
      <c r="AE200" s="3">
        <f t="shared" ca="1" si="95"/>
        <v>2.9344420629525558</v>
      </c>
      <c r="AG200" s="3">
        <f t="shared" ca="1" si="96"/>
        <v>7.2603746565624394E-5</v>
      </c>
      <c r="AH200" s="3">
        <f t="shared" ca="1" si="97"/>
        <v>-1.9792496449979185E-5</v>
      </c>
      <c r="AI200" s="3">
        <f t="shared" ca="1" si="98"/>
        <v>1.7239401294646212E-2</v>
      </c>
      <c r="AJ200" s="3">
        <f t="shared" ca="1" si="99"/>
        <v>4.3589995188585585E-4</v>
      </c>
      <c r="AK200" s="3">
        <f t="shared" ca="1" si="100"/>
        <v>0.33757292094237562</v>
      </c>
      <c r="AL200" s="3">
        <f t="shared" ca="1" si="101"/>
        <v>-7.9387464981697664E-6</v>
      </c>
      <c r="AM200" s="3">
        <f t="shared" ca="1" si="102"/>
        <v>0.24386300367567448</v>
      </c>
      <c r="AN200" s="3">
        <f t="shared" ca="1" si="103"/>
        <v>2.9344420629525558</v>
      </c>
      <c r="AP200" s="3">
        <f t="shared" ca="1" si="104"/>
        <v>8.6927649728559562</v>
      </c>
      <c r="AQ200" s="3">
        <f t="shared" ca="1" si="111"/>
        <v>0.40046926946941014</v>
      </c>
      <c r="AR200" s="3">
        <f t="shared" ca="1" si="105"/>
        <v>1.7456453529347973E-4</v>
      </c>
      <c r="AS200" s="3">
        <f t="shared" ca="1" si="106"/>
        <v>0.24368843914038099</v>
      </c>
      <c r="AT200" s="3">
        <f t="shared" ca="1" si="107"/>
        <v>0.70848083500119763</v>
      </c>
      <c r="AU200" s="3">
        <f t="shared" ca="1" si="108"/>
        <v>5.3050886131100546E-2</v>
      </c>
      <c r="AV200" s="10">
        <f t="shared" ca="1" si="112"/>
        <v>0.70848083500119763</v>
      </c>
      <c r="AW200" s="10">
        <f t="shared" ca="1" si="113"/>
        <v>0.70848083500119763</v>
      </c>
      <c r="AY200" s="3">
        <f t="shared" ca="1" si="119"/>
        <v>8.6927649728559562</v>
      </c>
      <c r="AZ200" s="3">
        <f t="shared" ca="1" si="114"/>
        <v>0.40046926946941014</v>
      </c>
      <c r="BA200" s="3">
        <f t="shared" ca="1" si="109"/>
        <v>1.7456453529347973E-4</v>
      </c>
      <c r="BB200" s="3">
        <f t="shared" ca="1" si="115"/>
        <v>0.24368843914038099</v>
      </c>
      <c r="BC200" s="3">
        <f t="shared" ca="1" si="116"/>
        <v>0.70848083500119763</v>
      </c>
      <c r="BD200" s="3">
        <f t="shared" ca="1" si="110"/>
        <v>5.3050886131100546E-2</v>
      </c>
      <c r="BE200" s="3">
        <f t="shared" ca="1" si="117"/>
        <v>0.70848083500119763</v>
      </c>
      <c r="BF200" s="3">
        <f t="shared" ca="1" si="118"/>
        <v>0.70848083500119763</v>
      </c>
    </row>
    <row r="201" spans="1:58" ht="15" x14ac:dyDescent="0.25">
      <c r="A201" s="72">
        <v>135</v>
      </c>
      <c r="B201" s="72">
        <v>1498730190.6010001</v>
      </c>
      <c r="C201" s="73">
        <v>2.37132063699856E-4</v>
      </c>
      <c r="D201" s="73">
        <v>2.99994025504242E-5</v>
      </c>
      <c r="E201" s="73">
        <v>1.8167894693818E-2</v>
      </c>
      <c r="F201" s="73">
        <v>5.89225519024558E-4</v>
      </c>
      <c r="G201" s="73">
        <v>0.341306333425827</v>
      </c>
      <c r="H201" s="73">
        <v>1.91521122878158E-5</v>
      </c>
      <c r="I201" s="73">
        <v>0.246366383289777</v>
      </c>
      <c r="J201" s="73">
        <v>2.9627069629634799</v>
      </c>
      <c r="K201" s="73"/>
      <c r="L201" s="73"/>
      <c r="M201" s="73"/>
      <c r="O201" s="13">
        <f t="shared" ca="1" si="80"/>
        <v>-2.7555165571705587E-5</v>
      </c>
      <c r="P201" s="13">
        <f t="shared" ca="1" si="81"/>
        <v>1.8711927165584025E-5</v>
      </c>
      <c r="Q201" s="13">
        <f t="shared" ca="1" si="82"/>
        <v>1.7327155075845313E-2</v>
      </c>
      <c r="R201" s="13">
        <f t="shared" ca="1" si="83"/>
        <v>5.7944924013387687E-4</v>
      </c>
      <c r="S201" s="13">
        <f t="shared" ca="1" si="84"/>
        <v>0.34017125479258564</v>
      </c>
      <c r="T201" s="13">
        <f t="shared" ca="1" si="85"/>
        <v>1.8802290776791714E-5</v>
      </c>
      <c r="U201" s="13">
        <f t="shared" ca="1" si="86"/>
        <v>0.24571253929498849</v>
      </c>
      <c r="V201" s="13">
        <f t="shared" ca="1" si="87"/>
        <v>2.9555681820410258</v>
      </c>
      <c r="X201" s="3">
        <f t="shared" ca="1" si="88"/>
        <v>-2.7555165571705587E-5</v>
      </c>
      <c r="Y201" s="3">
        <f t="shared" ca="1" si="89"/>
        <v>1.8711927165584025E-5</v>
      </c>
      <c r="Z201" s="3">
        <f t="shared" ca="1" si="90"/>
        <v>1.7327011224250972E-2</v>
      </c>
      <c r="AA201" s="3">
        <f t="shared" ca="1" si="91"/>
        <v>5.7596737767989976E-4</v>
      </c>
      <c r="AB201" s="3">
        <f t="shared" ca="1" si="92"/>
        <v>0.34014593364262691</v>
      </c>
      <c r="AC201" s="3">
        <f t="shared" ca="1" si="93"/>
        <v>1.8802290776791714E-5</v>
      </c>
      <c r="AD201" s="3">
        <f t="shared" ca="1" si="94"/>
        <v>0.24567514605384541</v>
      </c>
      <c r="AE201" s="3">
        <f t="shared" ca="1" si="95"/>
        <v>2.9555530087336517</v>
      </c>
      <c r="AG201" s="3">
        <f t="shared" ca="1" si="96"/>
        <v>-2.7555165571705587E-5</v>
      </c>
      <c r="AH201" s="3">
        <f t="shared" ca="1" si="97"/>
        <v>1.8711927165584025E-5</v>
      </c>
      <c r="AI201" s="3">
        <f t="shared" ca="1" si="98"/>
        <v>1.7311938866171946E-2</v>
      </c>
      <c r="AJ201" s="3">
        <f t="shared" ca="1" si="99"/>
        <v>5.6764438102087898E-4</v>
      </c>
      <c r="AK201" s="3">
        <f t="shared" ca="1" si="100"/>
        <v>0.34014593364262691</v>
      </c>
      <c r="AL201" s="3">
        <f t="shared" ca="1" si="101"/>
        <v>1.8802290776791714E-5</v>
      </c>
      <c r="AM201" s="3">
        <f t="shared" ca="1" si="102"/>
        <v>0.24567514605384541</v>
      </c>
      <c r="AN201" s="3">
        <f t="shared" ca="1" si="103"/>
        <v>2.9555530087336517</v>
      </c>
      <c r="AP201" s="3">
        <f t="shared" ca="1" si="104"/>
        <v>8.6884712932112365</v>
      </c>
      <c r="AQ201" s="3">
        <f t="shared" ca="1" si="111"/>
        <v>0.40026906426082215</v>
      </c>
      <c r="AR201" s="3">
        <f t="shared" ca="1" si="105"/>
        <v>2.3193560513503131E-4</v>
      </c>
      <c r="AS201" s="3">
        <f t="shared" ca="1" si="106"/>
        <v>0.24548060368985344</v>
      </c>
      <c r="AT201" s="3">
        <f t="shared" ca="1" si="107"/>
        <v>0.70841607479632784</v>
      </c>
      <c r="AU201" s="3">
        <f t="shared" ca="1" si="108"/>
        <v>5.2886905835200726E-2</v>
      </c>
      <c r="AV201" s="10">
        <f t="shared" ca="1" si="112"/>
        <v>0.70841607479632784</v>
      </c>
      <c r="AW201" s="10">
        <f t="shared" ca="1" si="113"/>
        <v>0.70841607479632784</v>
      </c>
      <c r="AY201" s="3">
        <f t="shared" ca="1" si="119"/>
        <v>8.6890734723258305</v>
      </c>
      <c r="AZ201" s="3">
        <f t="shared" ca="1" si="114"/>
        <v>0.40029714252809989</v>
      </c>
      <c r="BA201" s="3">
        <f t="shared" ca="1" si="109"/>
        <v>2.2722642369478983E-4</v>
      </c>
      <c r="BB201" s="3">
        <f t="shared" ca="1" si="115"/>
        <v>0.24544791963015061</v>
      </c>
      <c r="BC201" s="3">
        <f t="shared" ca="1" si="116"/>
        <v>0.70834975987533588</v>
      </c>
      <c r="BD201" s="3">
        <f t="shared" ca="1" si="110"/>
        <v>5.2848143314022974E-2</v>
      </c>
      <c r="BE201" s="3">
        <f t="shared" ca="1" si="117"/>
        <v>0.70834975987533588</v>
      </c>
      <c r="BF201" s="3">
        <f t="shared" ca="1" si="118"/>
        <v>0.70834975987533588</v>
      </c>
    </row>
    <row r="202" spans="1:58" ht="15" x14ac:dyDescent="0.25">
      <c r="A202" s="72">
        <v>136</v>
      </c>
      <c r="B202" s="72">
        <v>1498730191.128</v>
      </c>
      <c r="C202" s="73">
        <v>2.2024164566299001E-4</v>
      </c>
      <c r="D202" s="73">
        <v>-8.8816187722212203E-5</v>
      </c>
      <c r="E202" s="73">
        <v>1.85642392268154E-2</v>
      </c>
      <c r="F202" s="73">
        <v>6.8874608845437898E-4</v>
      </c>
      <c r="G202" s="73">
        <v>0.34835761378814101</v>
      </c>
      <c r="H202" s="73">
        <v>-7.3961515853535701E-5</v>
      </c>
      <c r="I202" s="73">
        <v>0.25166862356424902</v>
      </c>
      <c r="J202" s="73">
        <v>3.02568377664049</v>
      </c>
      <c r="K202" s="73"/>
      <c r="L202" s="73"/>
      <c r="M202" s="73"/>
      <c r="O202" s="13">
        <f t="shared" ca="1" si="80"/>
        <v>-4.444558360857157E-5</v>
      </c>
      <c r="P202" s="13">
        <f t="shared" ca="1" si="81"/>
        <v>-1.0010366310705238E-4</v>
      </c>
      <c r="Q202" s="13">
        <f t="shared" ca="1" si="82"/>
        <v>1.7723499608842713E-2</v>
      </c>
      <c r="R202" s="13">
        <f t="shared" ca="1" si="83"/>
        <v>6.7896980956369784E-4</v>
      </c>
      <c r="S202" s="13">
        <f t="shared" ca="1" si="84"/>
        <v>0.34722253515489965</v>
      </c>
      <c r="T202" s="13">
        <f t="shared" ca="1" si="85"/>
        <v>-7.4311337364559791E-5</v>
      </c>
      <c r="U202" s="13">
        <f t="shared" ca="1" si="86"/>
        <v>0.2510147795694605</v>
      </c>
      <c r="V202" s="13">
        <f t="shared" ca="1" si="87"/>
        <v>3.0185449957180359</v>
      </c>
      <c r="X202" s="3">
        <f t="shared" ca="1" si="88"/>
        <v>-4.444558360857157E-5</v>
      </c>
      <c r="Y202" s="3">
        <f t="shared" ca="1" si="89"/>
        <v>-1.0010366310705238E-4</v>
      </c>
      <c r="Z202" s="3">
        <f t="shared" ca="1" si="90"/>
        <v>1.7723499608842713E-2</v>
      </c>
      <c r="AA202" s="3">
        <f t="shared" ca="1" si="91"/>
        <v>6.7896980956369784E-4</v>
      </c>
      <c r="AB202" s="3">
        <f t="shared" ca="1" si="92"/>
        <v>0.34722253515489965</v>
      </c>
      <c r="AC202" s="3">
        <f t="shared" ca="1" si="93"/>
        <v>-7.4311337364559791E-5</v>
      </c>
      <c r="AD202" s="3">
        <f t="shared" ca="1" si="94"/>
        <v>0.2510147795694605</v>
      </c>
      <c r="AE202" s="3">
        <f t="shared" ca="1" si="95"/>
        <v>3.0185449957180359</v>
      </c>
      <c r="AG202" s="3">
        <f t="shared" ca="1" si="96"/>
        <v>-4.444558360857157E-5</v>
      </c>
      <c r="AH202" s="3">
        <f t="shared" ca="1" si="97"/>
        <v>-1.0010366310705238E-4</v>
      </c>
      <c r="AI202" s="3">
        <f t="shared" ca="1" si="98"/>
        <v>1.7723499608842713E-2</v>
      </c>
      <c r="AJ202" s="3">
        <f t="shared" ca="1" si="99"/>
        <v>6.7896980956369784E-4</v>
      </c>
      <c r="AK202" s="3">
        <f t="shared" ca="1" si="100"/>
        <v>0.34722253515489965</v>
      </c>
      <c r="AL202" s="3">
        <f t="shared" ca="1" si="101"/>
        <v>-7.4311337364559791E-5</v>
      </c>
      <c r="AM202" s="3">
        <f t="shared" ca="1" si="102"/>
        <v>0.2510147795694605</v>
      </c>
      <c r="AN202" s="3">
        <f t="shared" ca="1" si="103"/>
        <v>3.0185449957180359</v>
      </c>
      <c r="AP202" s="3">
        <f t="shared" ca="1" si="104"/>
        <v>8.693401752773422</v>
      </c>
      <c r="AQ202" s="3">
        <f t="shared" ca="1" si="111"/>
        <v>0.40049896127348589</v>
      </c>
      <c r="AR202" s="3">
        <f t="shared" ca="1" si="105"/>
        <v>2.719267034663175E-4</v>
      </c>
      <c r="AS202" s="3">
        <f t="shared" ca="1" si="106"/>
        <v>0.25074285286599418</v>
      </c>
      <c r="AT202" s="3">
        <f t="shared" ca="1" si="107"/>
        <v>0.70870487566990936</v>
      </c>
      <c r="AU202" s="3">
        <f t="shared" ca="1" si="108"/>
        <v>5.3028848119294959E-2</v>
      </c>
      <c r="AV202" s="10">
        <f t="shared" ca="1" si="112"/>
        <v>0.70870487566990936</v>
      </c>
      <c r="AW202" s="10">
        <f t="shared" ca="1" si="113"/>
        <v>0.70870487566990936</v>
      </c>
      <c r="AY202" s="3">
        <f t="shared" ca="1" si="119"/>
        <v>8.693401752773422</v>
      </c>
      <c r="AZ202" s="3">
        <f t="shared" ca="1" si="114"/>
        <v>0.40049896127348589</v>
      </c>
      <c r="BA202" s="3">
        <f t="shared" ca="1" si="109"/>
        <v>2.719267034663175E-4</v>
      </c>
      <c r="BB202" s="3">
        <f t="shared" ca="1" si="115"/>
        <v>0.25074285286599418</v>
      </c>
      <c r="BC202" s="3">
        <f t="shared" ca="1" si="116"/>
        <v>0.70870487566990936</v>
      </c>
      <c r="BD202" s="3">
        <f t="shared" ca="1" si="110"/>
        <v>5.3028848119294959E-2</v>
      </c>
      <c r="BE202" s="3">
        <f t="shared" ca="1" si="117"/>
        <v>0.70870487566990936</v>
      </c>
      <c r="BF202" s="3">
        <f t="shared" ca="1" si="118"/>
        <v>0.70870487566990936</v>
      </c>
    </row>
    <row r="203" spans="1:58" ht="15" x14ac:dyDescent="0.25">
      <c r="A203" s="72">
        <v>137</v>
      </c>
      <c r="B203" s="72">
        <v>1498730191.655</v>
      </c>
      <c r="C203" s="73">
        <v>3.1873345954194001E-4</v>
      </c>
      <c r="D203" s="73">
        <v>-9.9223332974867194E-6</v>
      </c>
      <c r="E203" s="73">
        <v>1.8455376499769E-2</v>
      </c>
      <c r="F203" s="73">
        <v>5.8327364607453397E-4</v>
      </c>
      <c r="G203" s="73">
        <v>0.346339604853381</v>
      </c>
      <c r="H203" s="73">
        <v>2.0994958127649501E-5</v>
      </c>
      <c r="I203" s="73">
        <v>0.25018597825423899</v>
      </c>
      <c r="J203" s="73">
        <v>3.0081183134302401</v>
      </c>
      <c r="K203" s="73"/>
      <c r="L203" s="73"/>
      <c r="M203" s="73"/>
      <c r="O203" s="13">
        <f t="shared" ca="1" si="80"/>
        <v>5.4046230270378426E-5</v>
      </c>
      <c r="P203" s="13">
        <f t="shared" ca="1" si="81"/>
        <v>-2.1209808682326893E-5</v>
      </c>
      <c r="Q203" s="13">
        <f t="shared" ca="1" si="82"/>
        <v>1.7614636881796313E-2</v>
      </c>
      <c r="R203" s="13">
        <f t="shared" ca="1" si="83"/>
        <v>5.7349736718385284E-4</v>
      </c>
      <c r="S203" s="13">
        <f t="shared" ca="1" si="84"/>
        <v>0.34520452622013964</v>
      </c>
      <c r="T203" s="13">
        <f t="shared" ca="1" si="85"/>
        <v>2.0645136616625415E-5</v>
      </c>
      <c r="U203" s="13">
        <f t="shared" ca="1" si="86"/>
        <v>0.24953213425945048</v>
      </c>
      <c r="V203" s="13">
        <f t="shared" ca="1" si="87"/>
        <v>3.0009795325077859</v>
      </c>
      <c r="X203" s="3">
        <f t="shared" ca="1" si="88"/>
        <v>5.4046230270378426E-5</v>
      </c>
      <c r="Y203" s="3">
        <f t="shared" ca="1" si="89"/>
        <v>-2.1209808682326893E-5</v>
      </c>
      <c r="Z203" s="3">
        <f t="shared" ca="1" si="90"/>
        <v>1.761447893105228E-2</v>
      </c>
      <c r="AA203" s="3">
        <f t="shared" ca="1" si="91"/>
        <v>5.6967424122031948E-4</v>
      </c>
      <c r="AB203" s="3">
        <f t="shared" ca="1" si="92"/>
        <v>0.34517672329940013</v>
      </c>
      <c r="AC203" s="3">
        <f t="shared" ca="1" si="93"/>
        <v>2.0645136616625415E-5</v>
      </c>
      <c r="AD203" s="3">
        <f t="shared" ca="1" si="94"/>
        <v>0.24949107604047591</v>
      </c>
      <c r="AE203" s="3">
        <f t="shared" ca="1" si="95"/>
        <v>3.0009628720376664</v>
      </c>
      <c r="AG203" s="3">
        <f t="shared" ca="1" si="96"/>
        <v>5.4046230270378426E-5</v>
      </c>
      <c r="AH203" s="3">
        <f t="shared" ca="1" si="97"/>
        <v>-2.1209808682326893E-5</v>
      </c>
      <c r="AI203" s="3">
        <f t="shared" ca="1" si="98"/>
        <v>1.761447893105228E-2</v>
      </c>
      <c r="AJ203" s="3">
        <f t="shared" ca="1" si="99"/>
        <v>5.6967424122031948E-4</v>
      </c>
      <c r="AK203" s="3">
        <f t="shared" ca="1" si="100"/>
        <v>0.34517672329940013</v>
      </c>
      <c r="AL203" s="3">
        <f t="shared" ca="1" si="101"/>
        <v>2.0645136616625415E-5</v>
      </c>
      <c r="AM203" s="3">
        <f t="shared" ca="1" si="102"/>
        <v>0.24949107604047591</v>
      </c>
      <c r="AN203" s="3">
        <f t="shared" ca="1" si="103"/>
        <v>3.0009628720376664</v>
      </c>
      <c r="AP203" s="3">
        <f t="shared" ca="1" si="104"/>
        <v>8.6933377304387882</v>
      </c>
      <c r="AQ203" s="3">
        <f t="shared" ca="1" si="111"/>
        <v>0.40049597603584913</v>
      </c>
      <c r="AR203" s="3">
        <f t="shared" ca="1" si="105"/>
        <v>2.296833878242869E-4</v>
      </c>
      <c r="AS203" s="3">
        <f t="shared" ca="1" si="106"/>
        <v>0.2493024508716262</v>
      </c>
      <c r="AT203" s="3">
        <f t="shared" ca="1" si="107"/>
        <v>0.70875549451092557</v>
      </c>
      <c r="AU203" s="3">
        <f t="shared" ca="1" si="108"/>
        <v>5.3010824357506973E-2</v>
      </c>
      <c r="AV203" s="10">
        <f t="shared" ca="1" si="112"/>
        <v>0.70875549451092557</v>
      </c>
      <c r="AW203" s="10">
        <f t="shared" ca="1" si="113"/>
        <v>0.70875549451092557</v>
      </c>
      <c r="AY203" s="3">
        <f t="shared" ca="1" si="119"/>
        <v>8.6939896854941896</v>
      </c>
      <c r="AZ203" s="3">
        <f t="shared" ca="1" si="114"/>
        <v>0.40052637545158737</v>
      </c>
      <c r="BA203" s="3">
        <f t="shared" ca="1" si="109"/>
        <v>2.2816955902410784E-4</v>
      </c>
      <c r="BB203" s="3">
        <f t="shared" ca="1" si="115"/>
        <v>0.2492629064814518</v>
      </c>
      <c r="BC203" s="3">
        <f t="shared" ca="1" si="116"/>
        <v>0.70867338674752556</v>
      </c>
      <c r="BD203" s="3">
        <f t="shared" ca="1" si="110"/>
        <v>5.3018687092261915E-2</v>
      </c>
      <c r="BE203" s="3">
        <f t="shared" ca="1" si="117"/>
        <v>0.70867338674752556</v>
      </c>
      <c r="BF203" s="3">
        <f t="shared" ca="1" si="118"/>
        <v>0.70867338674752556</v>
      </c>
    </row>
    <row r="204" spans="1:58" ht="15" x14ac:dyDescent="0.25">
      <c r="A204" s="72">
        <v>138</v>
      </c>
      <c r="B204" s="72">
        <v>1498730192.181</v>
      </c>
      <c r="C204" s="73">
        <v>2.3974891459032201E-4</v>
      </c>
      <c r="D204" s="73">
        <v>-6.1889050395655602E-5</v>
      </c>
      <c r="E204" s="73">
        <v>1.8431481367451E-2</v>
      </c>
      <c r="F204" s="73">
        <v>8.1280355059114404E-4</v>
      </c>
      <c r="G204" s="73">
        <v>0.34506768907954799</v>
      </c>
      <c r="H204" s="73">
        <v>-2.1562589732927699E-6</v>
      </c>
      <c r="I204" s="73">
        <v>0.249457576192126</v>
      </c>
      <c r="J204" s="73">
        <v>2.9981909874800801</v>
      </c>
      <c r="K204" s="73"/>
      <c r="L204" s="73"/>
      <c r="M204" s="73"/>
      <c r="O204" s="13">
        <f t="shared" ca="1" si="80"/>
        <v>-2.4938314681239573E-5</v>
      </c>
      <c r="P204" s="13">
        <f t="shared" ca="1" si="81"/>
        <v>-7.317652578049578E-5</v>
      </c>
      <c r="Q204" s="13">
        <f t="shared" ca="1" si="82"/>
        <v>1.7590741749478313E-2</v>
      </c>
      <c r="R204" s="13">
        <f t="shared" ca="1" si="83"/>
        <v>8.030272717004629E-4</v>
      </c>
      <c r="S204" s="13">
        <f t="shared" ca="1" si="84"/>
        <v>0.34393261044630663</v>
      </c>
      <c r="T204" s="13">
        <f t="shared" ca="1" si="85"/>
        <v>-2.5060804843168564E-6</v>
      </c>
      <c r="U204" s="13">
        <f t="shared" ca="1" si="86"/>
        <v>0.24880373219733748</v>
      </c>
      <c r="V204" s="13">
        <f t="shared" ca="1" si="87"/>
        <v>2.9910522065576259</v>
      </c>
      <c r="X204" s="3">
        <f t="shared" ca="1" si="88"/>
        <v>-2.4938314681239573E-5</v>
      </c>
      <c r="Y204" s="3">
        <f t="shared" ca="1" si="89"/>
        <v>-7.317652578049578E-5</v>
      </c>
      <c r="Z204" s="3">
        <f t="shared" ca="1" si="90"/>
        <v>1.7590741749478313E-2</v>
      </c>
      <c r="AA204" s="3">
        <f t="shared" ca="1" si="91"/>
        <v>8.030272717004629E-4</v>
      </c>
      <c r="AB204" s="3">
        <f t="shared" ca="1" si="92"/>
        <v>0.34393261044630663</v>
      </c>
      <c r="AC204" s="3">
        <f t="shared" ca="1" si="93"/>
        <v>-2.5060804843168564E-6</v>
      </c>
      <c r="AD204" s="3">
        <f t="shared" ca="1" si="94"/>
        <v>0.24880373219733748</v>
      </c>
      <c r="AE204" s="3">
        <f t="shared" ca="1" si="95"/>
        <v>2.9910522065576259</v>
      </c>
      <c r="AG204" s="3">
        <f t="shared" ca="1" si="96"/>
        <v>-2.4938314681239573E-5</v>
      </c>
      <c r="AH204" s="3">
        <f t="shared" ca="1" si="97"/>
        <v>-7.317652578049578E-5</v>
      </c>
      <c r="AI204" s="3">
        <f t="shared" ca="1" si="98"/>
        <v>1.7590741749478313E-2</v>
      </c>
      <c r="AJ204" s="3">
        <f t="shared" ca="1" si="99"/>
        <v>8.030272717004629E-4</v>
      </c>
      <c r="AK204" s="3">
        <f t="shared" ca="1" si="100"/>
        <v>0.34393261044630663</v>
      </c>
      <c r="AL204" s="3">
        <f t="shared" ca="1" si="101"/>
        <v>-2.5060804843168564E-6</v>
      </c>
      <c r="AM204" s="3">
        <f t="shared" ca="1" si="102"/>
        <v>0.24880373219733748</v>
      </c>
      <c r="AN204" s="3">
        <f t="shared" ca="1" si="103"/>
        <v>2.9910522065576259</v>
      </c>
      <c r="AP204" s="3">
        <f t="shared" ca="1" si="104"/>
        <v>8.6966228723594003</v>
      </c>
      <c r="AQ204" s="3">
        <f t="shared" ca="1" si="111"/>
        <v>0.40064915619388658</v>
      </c>
      <c r="AR204" s="3">
        <f t="shared" ca="1" si="105"/>
        <v>3.2173219880746938E-4</v>
      </c>
      <c r="AS204" s="3">
        <f t="shared" ca="1" si="106"/>
        <v>0.24848199999853002</v>
      </c>
      <c r="AT204" s="3">
        <f t="shared" ca="1" si="107"/>
        <v>0.70890055730715995</v>
      </c>
      <c r="AU204" s="3">
        <f t="shared" ca="1" si="108"/>
        <v>5.3155234896075099E-2</v>
      </c>
      <c r="AV204" s="10">
        <f t="shared" ca="1" si="112"/>
        <v>0.70890055730715995</v>
      </c>
      <c r="AW204" s="10">
        <f t="shared" ca="1" si="113"/>
        <v>0.70890055730715995</v>
      </c>
      <c r="AY204" s="3">
        <f t="shared" ca="1" si="119"/>
        <v>8.6966228723594003</v>
      </c>
      <c r="AZ204" s="3">
        <f t="shared" ca="1" si="114"/>
        <v>0.40064915619388658</v>
      </c>
      <c r="BA204" s="3">
        <f t="shared" ca="1" si="109"/>
        <v>3.2173219880746938E-4</v>
      </c>
      <c r="BB204" s="3">
        <f t="shared" ca="1" si="115"/>
        <v>0.24848199999853002</v>
      </c>
      <c r="BC204" s="3">
        <f t="shared" ca="1" si="116"/>
        <v>0.70890055730715995</v>
      </c>
      <c r="BD204" s="3">
        <f t="shared" ca="1" si="110"/>
        <v>5.3155234896075099E-2</v>
      </c>
      <c r="BE204" s="3">
        <f t="shared" ca="1" si="117"/>
        <v>0.70890055730715995</v>
      </c>
      <c r="BF204" s="3">
        <f t="shared" ca="1" si="118"/>
        <v>0.70890055730715995</v>
      </c>
    </row>
    <row r="205" spans="1:58" ht="15" x14ac:dyDescent="0.25">
      <c r="A205" s="72">
        <v>139</v>
      </c>
      <c r="B205" s="72">
        <v>1498730192.7079999</v>
      </c>
      <c r="C205" s="73">
        <v>2.8161946152350901E-4</v>
      </c>
      <c r="D205" s="73">
        <v>3.0708086927977103E-5</v>
      </c>
      <c r="E205" s="73">
        <v>1.8726951646394301E-2</v>
      </c>
      <c r="F205" s="73">
        <v>6.5850792907345003E-4</v>
      </c>
      <c r="G205" s="73">
        <v>0.35077299709769399</v>
      </c>
      <c r="H205" s="73">
        <v>8.8044600237729494E-6</v>
      </c>
      <c r="I205" s="73">
        <v>0.253580741502758</v>
      </c>
      <c r="J205" s="73">
        <v>3.0463798330104899</v>
      </c>
      <c r="K205" s="73"/>
      <c r="L205" s="73"/>
      <c r="M205" s="73"/>
      <c r="O205" s="13">
        <f t="shared" ca="1" si="80"/>
        <v>1.6932232251947431E-5</v>
      </c>
      <c r="P205" s="13">
        <f t="shared" ca="1" si="81"/>
        <v>1.9420611543136931E-5</v>
      </c>
      <c r="Q205" s="13">
        <f t="shared" ca="1" si="82"/>
        <v>1.7886212028421614E-2</v>
      </c>
      <c r="R205" s="13">
        <f t="shared" ca="1" si="83"/>
        <v>6.4873165018276889E-4</v>
      </c>
      <c r="S205" s="13">
        <f t="shared" ca="1" si="84"/>
        <v>0.34963791846445264</v>
      </c>
      <c r="T205" s="13">
        <f t="shared" ca="1" si="85"/>
        <v>8.454638512748863E-6</v>
      </c>
      <c r="U205" s="13">
        <f t="shared" ca="1" si="86"/>
        <v>0.25292689750796948</v>
      </c>
      <c r="V205" s="13">
        <f t="shared" ca="1" si="87"/>
        <v>3.0392410520880357</v>
      </c>
      <c r="X205" s="3">
        <f t="shared" ca="1" si="88"/>
        <v>1.6932232251947431E-5</v>
      </c>
      <c r="Y205" s="3">
        <f t="shared" ca="1" si="89"/>
        <v>1.9420611543136931E-5</v>
      </c>
      <c r="Z205" s="3">
        <f t="shared" ca="1" si="90"/>
        <v>1.7886147344110322E-2</v>
      </c>
      <c r="AA205" s="3">
        <f t="shared" ca="1" si="91"/>
        <v>6.4716599582985217E-4</v>
      </c>
      <c r="AB205" s="3">
        <f t="shared" ca="1" si="92"/>
        <v>0.34962653255556686</v>
      </c>
      <c r="AC205" s="3">
        <f t="shared" ca="1" si="93"/>
        <v>8.454638512748863E-6</v>
      </c>
      <c r="AD205" s="3">
        <f t="shared" ca="1" si="94"/>
        <v>0.25291008326227793</v>
      </c>
      <c r="AE205" s="3">
        <f t="shared" ca="1" si="95"/>
        <v>3.0392342292582852</v>
      </c>
      <c r="AG205" s="3">
        <f t="shared" ca="1" si="96"/>
        <v>1.6932232251947431E-5</v>
      </c>
      <c r="AH205" s="3">
        <f t="shared" ca="1" si="97"/>
        <v>1.9420611543136931E-5</v>
      </c>
      <c r="AI205" s="3">
        <f t="shared" ca="1" si="98"/>
        <v>1.7870504144524218E-2</v>
      </c>
      <c r="AJ205" s="3">
        <f t="shared" ca="1" si="99"/>
        <v>6.3852777895569927E-4</v>
      </c>
      <c r="AK205" s="3">
        <f t="shared" ca="1" si="100"/>
        <v>0.34962653255556686</v>
      </c>
      <c r="AL205" s="3">
        <f t="shared" ca="1" si="101"/>
        <v>8.454638512748863E-6</v>
      </c>
      <c r="AM205" s="3">
        <f t="shared" ca="1" si="102"/>
        <v>0.25291008326227793</v>
      </c>
      <c r="AN205" s="3">
        <f t="shared" ca="1" si="103"/>
        <v>3.0392342292582852</v>
      </c>
      <c r="AP205" s="3">
        <f t="shared" ca="1" si="104"/>
        <v>8.6925384564575836</v>
      </c>
      <c r="AQ205" s="3">
        <f t="shared" ca="1" si="111"/>
        <v>0.40045870745844636</v>
      </c>
      <c r="AR205" s="3">
        <f t="shared" ca="1" si="105"/>
        <v>2.5979023811957661E-4</v>
      </c>
      <c r="AS205" s="3">
        <f t="shared" ca="1" si="106"/>
        <v>0.25266710726984992</v>
      </c>
      <c r="AT205" s="3">
        <f t="shared" ca="1" si="107"/>
        <v>0.70924562158118587</v>
      </c>
      <c r="AU205" s="3">
        <f t="shared" ca="1" si="108"/>
        <v>5.3140585291575927E-2</v>
      </c>
      <c r="AV205" s="10">
        <f t="shared" ca="1" si="112"/>
        <v>0.70924562158118587</v>
      </c>
      <c r="AW205" s="10">
        <f t="shared" ca="1" si="113"/>
        <v>0.70924562158118587</v>
      </c>
      <c r="AY205" s="3">
        <f t="shared" ca="1" si="119"/>
        <v>8.6928020223272195</v>
      </c>
      <c r="AZ205" s="3">
        <f t="shared" ca="1" si="114"/>
        <v>0.40047099701318384</v>
      </c>
      <c r="BA205" s="3">
        <f t="shared" ca="1" si="109"/>
        <v>2.5571185625900277E-4</v>
      </c>
      <c r="BB205" s="3">
        <f t="shared" ca="1" si="115"/>
        <v>0.25265437140601893</v>
      </c>
      <c r="BC205" s="3">
        <f t="shared" ca="1" si="116"/>
        <v>0.70922213829760095</v>
      </c>
      <c r="BD205" s="3">
        <f t="shared" ca="1" si="110"/>
        <v>5.3097292991567957E-2</v>
      </c>
      <c r="BE205" s="3">
        <f t="shared" ca="1" si="117"/>
        <v>0.70922213829760095</v>
      </c>
      <c r="BF205" s="3">
        <f t="shared" ca="1" si="118"/>
        <v>0.70922213829760095</v>
      </c>
    </row>
    <row r="206" spans="1:58" ht="15" x14ac:dyDescent="0.25">
      <c r="A206" s="72">
        <v>140</v>
      </c>
      <c r="B206" s="72">
        <v>1498730193.2349999</v>
      </c>
      <c r="C206" s="73">
        <v>2.60208167042453E-4</v>
      </c>
      <c r="D206" s="73">
        <v>-9.4484965614952606E-5</v>
      </c>
      <c r="E206" s="73">
        <v>1.86395568648281E-2</v>
      </c>
      <c r="F206" s="73">
        <v>7.0946094638516997E-4</v>
      </c>
      <c r="G206" s="73">
        <v>0.34723874020225098</v>
      </c>
      <c r="H206" s="73">
        <v>-2.75218978630674E-5</v>
      </c>
      <c r="I206" s="73">
        <v>0.25098284152074701</v>
      </c>
      <c r="J206" s="73">
        <v>3.0177840180448401</v>
      </c>
      <c r="K206" s="73"/>
      <c r="L206" s="73"/>
      <c r="M206" s="73"/>
      <c r="O206" s="13">
        <f t="shared" ca="1" si="80"/>
        <v>-4.4790622291085804E-6</v>
      </c>
      <c r="P206" s="13">
        <f t="shared" ca="1" si="81"/>
        <v>-1.0577244099979278E-4</v>
      </c>
      <c r="Q206" s="13">
        <f t="shared" ca="1" si="82"/>
        <v>1.7798817246855413E-2</v>
      </c>
      <c r="R206" s="13">
        <f t="shared" ca="1" si="83"/>
        <v>6.9968466749448883E-4</v>
      </c>
      <c r="S206" s="13">
        <f t="shared" ca="1" si="84"/>
        <v>0.34610366156900962</v>
      </c>
      <c r="T206" s="13">
        <f t="shared" ca="1" si="85"/>
        <v>-2.7871719374091486E-5</v>
      </c>
      <c r="U206" s="13">
        <f t="shared" ca="1" si="86"/>
        <v>0.2503289975259585</v>
      </c>
      <c r="V206" s="13">
        <f t="shared" ca="1" si="87"/>
        <v>3.010645237122386</v>
      </c>
      <c r="X206" s="3">
        <f t="shared" ca="1" si="88"/>
        <v>-4.4790622291085804E-6</v>
      </c>
      <c r="Y206" s="3">
        <f t="shared" ca="1" si="89"/>
        <v>-1.0577244099979278E-4</v>
      </c>
      <c r="Z206" s="3">
        <f t="shared" ca="1" si="90"/>
        <v>1.7798817246855413E-2</v>
      </c>
      <c r="AA206" s="3">
        <f t="shared" ca="1" si="91"/>
        <v>6.9968466749448883E-4</v>
      </c>
      <c r="AB206" s="3">
        <f t="shared" ca="1" si="92"/>
        <v>0.34610366156900962</v>
      </c>
      <c r="AC206" s="3">
        <f t="shared" ca="1" si="93"/>
        <v>-2.7871719374091486E-5</v>
      </c>
      <c r="AD206" s="3">
        <f t="shared" ca="1" si="94"/>
        <v>0.2503289975259585</v>
      </c>
      <c r="AE206" s="3">
        <f t="shared" ca="1" si="95"/>
        <v>3.010645237122386</v>
      </c>
      <c r="AG206" s="3">
        <f t="shared" ca="1" si="96"/>
        <v>-4.4790622291085804E-6</v>
      </c>
      <c r="AH206" s="3">
        <f t="shared" ca="1" si="97"/>
        <v>-1.0577244099979278E-4</v>
      </c>
      <c r="AI206" s="3">
        <f t="shared" ca="1" si="98"/>
        <v>1.7798817246855413E-2</v>
      </c>
      <c r="AJ206" s="3">
        <f t="shared" ca="1" si="99"/>
        <v>6.9968466749448883E-4</v>
      </c>
      <c r="AK206" s="3">
        <f t="shared" ca="1" si="100"/>
        <v>0.34610366156900962</v>
      </c>
      <c r="AL206" s="3">
        <f t="shared" ca="1" si="101"/>
        <v>-2.7871719374091486E-5</v>
      </c>
      <c r="AM206" s="3">
        <f t="shared" ca="1" si="102"/>
        <v>0.2503289975259585</v>
      </c>
      <c r="AN206" s="3">
        <f t="shared" ca="1" si="103"/>
        <v>3.010645237122386</v>
      </c>
      <c r="AP206" s="3">
        <f t="shared" ca="1" si="104"/>
        <v>8.6986806885372783</v>
      </c>
      <c r="AQ206" s="3">
        <f t="shared" ca="1" si="111"/>
        <v>0.40074510875528141</v>
      </c>
      <c r="AR206" s="3">
        <f t="shared" ca="1" si="105"/>
        <v>2.8039520816948183E-4</v>
      </c>
      <c r="AS206" s="3">
        <f t="shared" ca="1" si="106"/>
        <v>0.25004860231778903</v>
      </c>
      <c r="AT206" s="3">
        <f t="shared" ca="1" si="107"/>
        <v>0.70881064661407134</v>
      </c>
      <c r="AU206" s="3">
        <f t="shared" ca="1" si="108"/>
        <v>5.3459554536407758E-2</v>
      </c>
      <c r="AV206" s="10">
        <f t="shared" ca="1" si="112"/>
        <v>0.70881064661407134</v>
      </c>
      <c r="AW206" s="10">
        <f t="shared" ca="1" si="113"/>
        <v>0.70881064661407134</v>
      </c>
      <c r="AY206" s="3">
        <f t="shared" ca="1" si="119"/>
        <v>8.6986806885372783</v>
      </c>
      <c r="AZ206" s="3">
        <f t="shared" ca="1" si="114"/>
        <v>0.40074510875528141</v>
      </c>
      <c r="BA206" s="3">
        <f t="shared" ca="1" si="109"/>
        <v>2.8039520816948183E-4</v>
      </c>
      <c r="BB206" s="3">
        <f t="shared" ca="1" si="115"/>
        <v>0.25004860231778903</v>
      </c>
      <c r="BC206" s="3">
        <f t="shared" ca="1" si="116"/>
        <v>0.70881064661407134</v>
      </c>
      <c r="BD206" s="3">
        <f t="shared" ca="1" si="110"/>
        <v>5.3459554536407758E-2</v>
      </c>
      <c r="BE206" s="3">
        <f t="shared" ca="1" si="117"/>
        <v>0.70881064661407134</v>
      </c>
      <c r="BF206" s="3">
        <f t="shared" ca="1" si="118"/>
        <v>0.70881064661407134</v>
      </c>
    </row>
    <row r="207" spans="1:58" ht="15" x14ac:dyDescent="0.25">
      <c r="A207" s="72">
        <v>141</v>
      </c>
      <c r="B207" s="72">
        <v>1498730193.7620001</v>
      </c>
      <c r="C207" s="73">
        <v>3.2301593269302498E-4</v>
      </c>
      <c r="D207" s="73">
        <v>1.7006945335011801E-5</v>
      </c>
      <c r="E207" s="73">
        <v>1.7953479424446799E-2</v>
      </c>
      <c r="F207" s="73">
        <v>6.10414474575002E-4</v>
      </c>
      <c r="G207" s="73">
        <v>0.33618282547168499</v>
      </c>
      <c r="H207" s="73">
        <v>-1.6365970646375499E-6</v>
      </c>
      <c r="I207" s="73">
        <v>0.24298810581739</v>
      </c>
      <c r="J207" s="73">
        <v>2.91991401507611</v>
      </c>
      <c r="K207" s="73"/>
      <c r="L207" s="73"/>
      <c r="M207" s="73"/>
      <c r="O207" s="13">
        <f t="shared" ca="1" si="80"/>
        <v>5.8328703421463399E-5</v>
      </c>
      <c r="P207" s="13">
        <f t="shared" ca="1" si="81"/>
        <v>5.719469950171628E-6</v>
      </c>
      <c r="Q207" s="13">
        <f t="shared" ca="1" si="82"/>
        <v>1.7112739806474112E-2</v>
      </c>
      <c r="R207" s="13">
        <f t="shared" ca="1" si="83"/>
        <v>6.0063819568432087E-4</v>
      </c>
      <c r="S207" s="13">
        <f t="shared" ca="1" si="84"/>
        <v>0.33504774683844363</v>
      </c>
      <c r="T207" s="13">
        <f t="shared" ca="1" si="85"/>
        <v>-1.9864185756616364E-6</v>
      </c>
      <c r="U207" s="13">
        <f t="shared" ca="1" si="86"/>
        <v>0.24233426182260148</v>
      </c>
      <c r="V207" s="13">
        <f t="shared" ca="1" si="87"/>
        <v>2.9127752341536559</v>
      </c>
      <c r="X207" s="3">
        <f t="shared" ca="1" si="88"/>
        <v>5.8328703421463399E-5</v>
      </c>
      <c r="Y207" s="3">
        <f t="shared" ca="1" si="89"/>
        <v>5.719469950171628E-6</v>
      </c>
      <c r="Z207" s="3">
        <f t="shared" ca="1" si="90"/>
        <v>1.7112739806474112E-2</v>
      </c>
      <c r="AA207" s="3">
        <f t="shared" ca="1" si="91"/>
        <v>6.0063819568432087E-4</v>
      </c>
      <c r="AB207" s="3">
        <f t="shared" ca="1" si="92"/>
        <v>0.33504774683844363</v>
      </c>
      <c r="AC207" s="3">
        <f t="shared" ca="1" si="93"/>
        <v>-1.9864185756616364E-6</v>
      </c>
      <c r="AD207" s="3">
        <f t="shared" ca="1" si="94"/>
        <v>0.24233426182260148</v>
      </c>
      <c r="AE207" s="3">
        <f t="shared" ca="1" si="95"/>
        <v>2.9127752341536559</v>
      </c>
      <c r="AG207" s="3">
        <f t="shared" ca="1" si="96"/>
        <v>5.8328703421463399E-5</v>
      </c>
      <c r="AH207" s="3">
        <f t="shared" ca="1" si="97"/>
        <v>5.719469950171628E-6</v>
      </c>
      <c r="AI207" s="3">
        <f t="shared" ca="1" si="98"/>
        <v>1.710813280376678E-2</v>
      </c>
      <c r="AJ207" s="3">
        <f t="shared" ca="1" si="99"/>
        <v>5.9809419640164936E-4</v>
      </c>
      <c r="AK207" s="3">
        <f t="shared" ca="1" si="100"/>
        <v>0.33504774683844363</v>
      </c>
      <c r="AL207" s="3">
        <f t="shared" ca="1" si="101"/>
        <v>-1.9864185756616364E-6</v>
      </c>
      <c r="AM207" s="3">
        <f t="shared" ca="1" si="102"/>
        <v>0.24233426182260148</v>
      </c>
      <c r="AN207" s="3">
        <f t="shared" ca="1" si="103"/>
        <v>2.9127752341536559</v>
      </c>
      <c r="AP207" s="3">
        <f t="shared" ca="1" si="104"/>
        <v>8.6936123631303346</v>
      </c>
      <c r="AQ207" s="3">
        <f t="shared" ca="1" si="111"/>
        <v>0.40050878162896331</v>
      </c>
      <c r="AR207" s="3">
        <f t="shared" ca="1" si="105"/>
        <v>2.4056087195334621E-4</v>
      </c>
      <c r="AS207" s="3">
        <f t="shared" ca="1" si="106"/>
        <v>0.24209370095064814</v>
      </c>
      <c r="AT207" s="3">
        <f t="shared" ca="1" si="107"/>
        <v>0.70911431222046328</v>
      </c>
      <c r="AU207" s="3">
        <f t="shared" ca="1" si="108"/>
        <v>5.3063296740508629E-2</v>
      </c>
      <c r="AV207" s="10">
        <f t="shared" ca="1" si="112"/>
        <v>0.70911431222046328</v>
      </c>
      <c r="AW207" s="10">
        <f t="shared" ca="1" si="113"/>
        <v>0.70911431222046328</v>
      </c>
      <c r="AY207" s="3">
        <f t="shared" ca="1" si="119"/>
        <v>8.6936123631303346</v>
      </c>
      <c r="AZ207" s="3">
        <f t="shared" ca="1" si="114"/>
        <v>0.40050878162896331</v>
      </c>
      <c r="BA207" s="3">
        <f t="shared" ca="1" si="109"/>
        <v>2.3954197790017847E-4</v>
      </c>
      <c r="BB207" s="3">
        <f t="shared" ca="1" si="115"/>
        <v>0.24209471984470129</v>
      </c>
      <c r="BC207" s="3">
        <f t="shared" ca="1" si="116"/>
        <v>0.7091172966531557</v>
      </c>
      <c r="BD207" s="3">
        <f t="shared" ca="1" si="110"/>
        <v>5.3049011316052455E-2</v>
      </c>
      <c r="BE207" s="3">
        <f t="shared" ca="1" si="117"/>
        <v>0.7091172966531557</v>
      </c>
      <c r="BF207" s="3">
        <f t="shared" ca="1" si="118"/>
        <v>0.7091172966531557</v>
      </c>
    </row>
    <row r="208" spans="1:58" ht="15" x14ac:dyDescent="0.25">
      <c r="A208" s="72">
        <v>142</v>
      </c>
      <c r="B208" s="72">
        <v>1498730194.289</v>
      </c>
      <c r="C208" s="73">
        <v>2.6663150718139999E-4</v>
      </c>
      <c r="D208" s="73">
        <v>2.7164670101707599E-5</v>
      </c>
      <c r="E208" s="73">
        <v>1.8076031417543902E-2</v>
      </c>
      <c r="F208" s="73">
        <v>5.9232050697355398E-4</v>
      </c>
      <c r="G208" s="73">
        <v>0.33577415501394697</v>
      </c>
      <c r="H208" s="73">
        <v>-5.2928267734348701E-5</v>
      </c>
      <c r="I208" s="73">
        <v>0.24279051339833099</v>
      </c>
      <c r="J208" s="73">
        <v>2.9179458693105702</v>
      </c>
      <c r="K208" s="73"/>
      <c r="L208" s="73"/>
      <c r="M208" s="73"/>
      <c r="O208" s="13">
        <f t="shared" ca="1" si="80"/>
        <v>1.9442779098384055E-6</v>
      </c>
      <c r="P208" s="13">
        <f t="shared" ca="1" si="81"/>
        <v>1.5877194716867424E-5</v>
      </c>
      <c r="Q208" s="13">
        <f t="shared" ca="1" si="82"/>
        <v>1.7235291799571215E-2</v>
      </c>
      <c r="R208" s="13">
        <f t="shared" ca="1" si="83"/>
        <v>5.8254422808287284E-4</v>
      </c>
      <c r="S208" s="13">
        <f t="shared" ca="1" si="84"/>
        <v>0.33463907638070561</v>
      </c>
      <c r="T208" s="13">
        <f t="shared" ca="1" si="85"/>
        <v>-5.3278089245372791E-5</v>
      </c>
      <c r="U208" s="13">
        <f t="shared" ca="1" si="86"/>
        <v>0.24213666940354248</v>
      </c>
      <c r="V208" s="13">
        <f t="shared" ca="1" si="87"/>
        <v>2.9108070883881161</v>
      </c>
      <c r="X208" s="3">
        <f t="shared" ca="1" si="88"/>
        <v>1.9442779098384055E-6</v>
      </c>
      <c r="Y208" s="3">
        <f t="shared" ca="1" si="89"/>
        <v>1.5877194716867424E-5</v>
      </c>
      <c r="Z208" s="3">
        <f t="shared" ca="1" si="90"/>
        <v>1.7235291799571215E-2</v>
      </c>
      <c r="AA208" s="3">
        <f t="shared" ca="1" si="91"/>
        <v>5.8254422808287284E-4</v>
      </c>
      <c r="AB208" s="3">
        <f t="shared" ca="1" si="92"/>
        <v>0.33463907638070561</v>
      </c>
      <c r="AC208" s="3">
        <f t="shared" ca="1" si="93"/>
        <v>-5.3278089245372791E-5</v>
      </c>
      <c r="AD208" s="3">
        <f t="shared" ca="1" si="94"/>
        <v>0.24213666940354248</v>
      </c>
      <c r="AE208" s="3">
        <f t="shared" ca="1" si="95"/>
        <v>2.9108070883881161</v>
      </c>
      <c r="AG208" s="3">
        <f t="shared" ca="1" si="96"/>
        <v>1.9442779098384055E-6</v>
      </c>
      <c r="AH208" s="3">
        <f t="shared" ca="1" si="97"/>
        <v>1.5877194716867424E-5</v>
      </c>
      <c r="AI208" s="3">
        <f t="shared" ca="1" si="98"/>
        <v>1.7222502803443483E-2</v>
      </c>
      <c r="AJ208" s="3">
        <f t="shared" ca="1" si="99"/>
        <v>5.7548211003304636E-4</v>
      </c>
      <c r="AK208" s="3">
        <f t="shared" ca="1" si="100"/>
        <v>0.33463907638070561</v>
      </c>
      <c r="AL208" s="3">
        <f t="shared" ca="1" si="101"/>
        <v>-5.3278089245372791E-5</v>
      </c>
      <c r="AM208" s="3">
        <f t="shared" ca="1" si="102"/>
        <v>0.24213666940354248</v>
      </c>
      <c r="AN208" s="3">
        <f t="shared" ca="1" si="103"/>
        <v>2.9108070883881161</v>
      </c>
      <c r="AP208" s="3">
        <f t="shared" ca="1" si="104"/>
        <v>8.6983478435035071</v>
      </c>
      <c r="AQ208" s="3">
        <f t="shared" ca="1" si="111"/>
        <v>0.40072958872375869</v>
      </c>
      <c r="AR208" s="3">
        <f t="shared" ca="1" si="105"/>
        <v>2.3344270893304911E-4</v>
      </c>
      <c r="AS208" s="3">
        <f t="shared" ca="1" si="106"/>
        <v>0.24190322669460942</v>
      </c>
      <c r="AT208" s="3">
        <f t="shared" ca="1" si="107"/>
        <v>0.7092271817732958</v>
      </c>
      <c r="AU208" s="3">
        <f t="shared" ca="1" si="108"/>
        <v>5.3538397618013316E-2</v>
      </c>
      <c r="AV208" s="10">
        <f t="shared" ca="1" si="112"/>
        <v>0.7092271817732958</v>
      </c>
      <c r="AW208" s="10">
        <f t="shared" ca="1" si="113"/>
        <v>0.7092271817732958</v>
      </c>
      <c r="AY208" s="3">
        <f t="shared" ca="1" si="119"/>
        <v>8.6983478435035071</v>
      </c>
      <c r="AZ208" s="3">
        <f t="shared" ca="1" si="114"/>
        <v>0.40072958872375869</v>
      </c>
      <c r="BA208" s="3">
        <f t="shared" ca="1" si="109"/>
        <v>2.3061270927142352E-4</v>
      </c>
      <c r="BB208" s="3">
        <f t="shared" ca="1" si="115"/>
        <v>0.24190605669427107</v>
      </c>
      <c r="BC208" s="3">
        <f t="shared" ca="1" si="116"/>
        <v>0.70923547894531724</v>
      </c>
      <c r="BD208" s="3">
        <f t="shared" ca="1" si="110"/>
        <v>5.3498670854591833E-2</v>
      </c>
      <c r="BE208" s="3">
        <f t="shared" ca="1" si="117"/>
        <v>0.70923547894531724</v>
      </c>
      <c r="BF208" s="3">
        <f t="shared" ca="1" si="118"/>
        <v>0.70923547894531724</v>
      </c>
    </row>
    <row r="209" spans="1:58" ht="15" x14ac:dyDescent="0.25">
      <c r="A209" s="72">
        <v>143</v>
      </c>
      <c r="B209" s="72">
        <v>1498730194.816</v>
      </c>
      <c r="C209" s="73">
        <v>3.2706050753253401E-4</v>
      </c>
      <c r="D209" s="73">
        <v>-1.1103425277875201E-5</v>
      </c>
      <c r="E209" s="73">
        <v>1.7296495613123901E-2</v>
      </c>
      <c r="F209" s="73">
        <v>5.9755820073265195E-4</v>
      </c>
      <c r="G209" s="73">
        <v>0.32161191886281398</v>
      </c>
      <c r="H209" s="73">
        <v>4.3962524587622802E-5</v>
      </c>
      <c r="I209" s="73">
        <v>0.232590549939414</v>
      </c>
      <c r="J209" s="73">
        <v>2.7963045876572599</v>
      </c>
      <c r="K209" s="73"/>
      <c r="L209" s="73"/>
      <c r="M209" s="73"/>
      <c r="O209" s="13">
        <f t="shared" ca="1" si="80"/>
        <v>6.2373278260972431E-5</v>
      </c>
      <c r="P209" s="13">
        <f t="shared" ca="1" si="81"/>
        <v>-2.2390900662715376E-5</v>
      </c>
      <c r="Q209" s="13">
        <f t="shared" ca="1" si="82"/>
        <v>1.6455755995151214E-2</v>
      </c>
      <c r="R209" s="13">
        <f t="shared" ca="1" si="83"/>
        <v>5.8778192184197082E-4</v>
      </c>
      <c r="S209" s="13">
        <f t="shared" ca="1" si="84"/>
        <v>0.32047684022957262</v>
      </c>
      <c r="T209" s="13">
        <f t="shared" ca="1" si="85"/>
        <v>4.3612703076598712E-5</v>
      </c>
      <c r="U209" s="13">
        <f t="shared" ca="1" si="86"/>
        <v>0.23193670594462548</v>
      </c>
      <c r="V209" s="13">
        <f t="shared" ca="1" si="87"/>
        <v>2.7891658067348057</v>
      </c>
      <c r="X209" s="3">
        <f t="shared" ca="1" si="88"/>
        <v>6.2373278260972431E-5</v>
      </c>
      <c r="Y209" s="3">
        <f t="shared" ca="1" si="89"/>
        <v>-2.2390900662715376E-5</v>
      </c>
      <c r="Z209" s="3">
        <f t="shared" ca="1" si="90"/>
        <v>1.6455422325336953E-2</v>
      </c>
      <c r="AA209" s="3">
        <f t="shared" ca="1" si="91"/>
        <v>5.7970559565589258E-4</v>
      </c>
      <c r="AB209" s="3">
        <f t="shared" ca="1" si="92"/>
        <v>0.3204181067588579</v>
      </c>
      <c r="AC209" s="3">
        <f t="shared" ca="1" si="93"/>
        <v>4.3612703076598712E-5</v>
      </c>
      <c r="AD209" s="3">
        <f t="shared" ca="1" si="94"/>
        <v>0.23184997075142993</v>
      </c>
      <c r="AE209" s="3">
        <f t="shared" ca="1" si="95"/>
        <v>2.7891306116111343</v>
      </c>
      <c r="AG209" s="3">
        <f t="shared" ca="1" si="96"/>
        <v>6.2373278260972431E-5</v>
      </c>
      <c r="AH209" s="3">
        <f t="shared" ca="1" si="97"/>
        <v>-2.2390900662715376E-5</v>
      </c>
      <c r="AI209" s="3">
        <f t="shared" ca="1" si="98"/>
        <v>1.6455422325336953E-2</v>
      </c>
      <c r="AJ209" s="3">
        <f t="shared" ca="1" si="99"/>
        <v>5.7970559565589258E-4</v>
      </c>
      <c r="AK209" s="3">
        <f t="shared" ca="1" si="100"/>
        <v>0.3204181067588579</v>
      </c>
      <c r="AL209" s="3">
        <f t="shared" ca="1" si="101"/>
        <v>4.3612703076598712E-5</v>
      </c>
      <c r="AM209" s="3">
        <f t="shared" ca="1" si="102"/>
        <v>0.23184997075142993</v>
      </c>
      <c r="AN209" s="3">
        <f t="shared" ca="1" si="103"/>
        <v>2.7891306116111343</v>
      </c>
      <c r="AP209" s="3">
        <f t="shared" ca="1" si="104"/>
        <v>8.7031743221656672</v>
      </c>
      <c r="AQ209" s="3">
        <f t="shared" ca="1" si="111"/>
        <v>0.40095464040851286</v>
      </c>
      <c r="AR209" s="3">
        <f t="shared" ca="1" si="105"/>
        <v>2.3567388911077203E-4</v>
      </c>
      <c r="AS209" s="3">
        <f t="shared" ca="1" si="106"/>
        <v>0.23170103205551471</v>
      </c>
      <c r="AT209" s="3">
        <f t="shared" ca="1" si="107"/>
        <v>0.70913735042768133</v>
      </c>
      <c r="AU209" s="3">
        <f t="shared" ca="1" si="108"/>
        <v>5.3406126847871889E-2</v>
      </c>
      <c r="AV209" s="10">
        <f t="shared" ca="1" si="112"/>
        <v>0.70913735042768133</v>
      </c>
      <c r="AW209" s="10">
        <f t="shared" ca="1" si="113"/>
        <v>0.70913735042768133</v>
      </c>
      <c r="AY209" s="3">
        <f t="shared" ca="1" si="119"/>
        <v>8.704659795366041</v>
      </c>
      <c r="AZ209" s="3">
        <f t="shared" ca="1" si="114"/>
        <v>0.40102390616940015</v>
      </c>
      <c r="BA209" s="3">
        <f t="shared" ca="1" si="109"/>
        <v>2.324758023981849E-4</v>
      </c>
      <c r="BB209" s="3">
        <f t="shared" ca="1" si="115"/>
        <v>0.23161749494903175</v>
      </c>
      <c r="BC209" s="3">
        <f t="shared" ca="1" si="116"/>
        <v>0.70895068436945641</v>
      </c>
      <c r="BD209" s="3">
        <f t="shared" ca="1" si="110"/>
        <v>5.3424162156430276E-2</v>
      </c>
      <c r="BE209" s="3">
        <f t="shared" ca="1" si="117"/>
        <v>0.70895068436945641</v>
      </c>
      <c r="BF209" s="3">
        <f t="shared" ca="1" si="118"/>
        <v>0.70895068436945641</v>
      </c>
    </row>
    <row r="210" spans="1:58" ht="15" x14ac:dyDescent="0.25">
      <c r="A210" s="72">
        <v>144</v>
      </c>
      <c r="B210" s="72">
        <v>1498730195.3429999</v>
      </c>
      <c r="C210" s="73">
        <v>1.9050568845162299E-4</v>
      </c>
      <c r="D210" s="73">
        <v>-6.5668341827819694E-5</v>
      </c>
      <c r="E210" s="73">
        <v>1.6504766661422199E-2</v>
      </c>
      <c r="F210" s="73">
        <v>5.6160912800935303E-4</v>
      </c>
      <c r="G210" s="73">
        <v>0.30849145211822399</v>
      </c>
      <c r="H210" s="73">
        <v>-2.7639972257935501E-5</v>
      </c>
      <c r="I210" s="73">
        <v>0.22274784656187199</v>
      </c>
      <c r="J210" s="73">
        <v>2.6798706759945201</v>
      </c>
      <c r="K210" s="73"/>
      <c r="L210" s="73"/>
      <c r="M210" s="73"/>
      <c r="O210" s="13">
        <f t="shared" ca="1" si="80"/>
        <v>-7.4181540819938597E-5</v>
      </c>
      <c r="P210" s="13">
        <f t="shared" ca="1" si="81"/>
        <v>-7.6955817212659872E-5</v>
      </c>
      <c r="Q210" s="13">
        <f t="shared" ca="1" si="82"/>
        <v>1.5664027043449512E-2</v>
      </c>
      <c r="R210" s="13">
        <f t="shared" ca="1" si="83"/>
        <v>5.518328491186719E-4</v>
      </c>
      <c r="S210" s="13">
        <f t="shared" ca="1" si="84"/>
        <v>0.30735637348498263</v>
      </c>
      <c r="T210" s="13">
        <f t="shared" ca="1" si="85"/>
        <v>-2.7989793768959588E-5</v>
      </c>
      <c r="U210" s="13">
        <f t="shared" ca="1" si="86"/>
        <v>0.22209400256708348</v>
      </c>
      <c r="V210" s="13">
        <f t="shared" ca="1" si="87"/>
        <v>2.672731895072066</v>
      </c>
      <c r="X210" s="3">
        <f t="shared" ca="1" si="88"/>
        <v>-7.4181540819938597E-5</v>
      </c>
      <c r="Y210" s="3">
        <f t="shared" ca="1" si="89"/>
        <v>-7.6955817212659872E-5</v>
      </c>
      <c r="Z210" s="3">
        <f t="shared" ca="1" si="90"/>
        <v>1.5664027043449512E-2</v>
      </c>
      <c r="AA210" s="3">
        <f t="shared" ca="1" si="91"/>
        <v>5.518328491186719E-4</v>
      </c>
      <c r="AB210" s="3">
        <f t="shared" ca="1" si="92"/>
        <v>0.30735637348498263</v>
      </c>
      <c r="AC210" s="3">
        <f t="shared" ca="1" si="93"/>
        <v>-2.7989793768959588E-5</v>
      </c>
      <c r="AD210" s="3">
        <f t="shared" ca="1" si="94"/>
        <v>0.22209400256708348</v>
      </c>
      <c r="AE210" s="3">
        <f t="shared" ca="1" si="95"/>
        <v>2.672731895072066</v>
      </c>
      <c r="AG210" s="3">
        <f t="shared" ca="1" si="96"/>
        <v>-7.4181540819938597E-5</v>
      </c>
      <c r="AH210" s="3">
        <f t="shared" ca="1" si="97"/>
        <v>-7.6955817212659872E-5</v>
      </c>
      <c r="AI210" s="3">
        <f t="shared" ca="1" si="98"/>
        <v>1.5664027043449512E-2</v>
      </c>
      <c r="AJ210" s="3">
        <f t="shared" ca="1" si="99"/>
        <v>5.518328491186719E-4</v>
      </c>
      <c r="AK210" s="3">
        <f t="shared" ca="1" si="100"/>
        <v>0.30735637348498263</v>
      </c>
      <c r="AL210" s="3">
        <f t="shared" ca="1" si="101"/>
        <v>-2.7989793768959588E-5</v>
      </c>
      <c r="AM210" s="3">
        <f t="shared" ca="1" si="102"/>
        <v>0.22209400256708348</v>
      </c>
      <c r="AN210" s="3">
        <f t="shared" ca="1" si="103"/>
        <v>2.672731895072066</v>
      </c>
      <c r="AP210" s="3">
        <f t="shared" ca="1" si="104"/>
        <v>8.6958726925591314</v>
      </c>
      <c r="AQ210" s="3">
        <f t="shared" ca="1" si="111"/>
        <v>0.40061417662030924</v>
      </c>
      <c r="AR210" s="3">
        <f t="shared" ca="1" si="105"/>
        <v>2.2107206248171609E-4</v>
      </c>
      <c r="AS210" s="3">
        <f t="shared" ca="1" si="106"/>
        <v>0.22187293050460177</v>
      </c>
      <c r="AT210" s="3">
        <f t="shared" ca="1" si="107"/>
        <v>0.70834478827613756</v>
      </c>
      <c r="AU210" s="3">
        <f t="shared" ca="1" si="108"/>
        <v>5.2961235813761907E-2</v>
      </c>
      <c r="AV210" s="10">
        <f t="shared" ca="1" si="112"/>
        <v>0.70834478827613756</v>
      </c>
      <c r="AW210" s="10">
        <f t="shared" ca="1" si="113"/>
        <v>0.70834478827613756</v>
      </c>
      <c r="AY210" s="3">
        <f t="shared" ca="1" si="119"/>
        <v>8.6958726925591314</v>
      </c>
      <c r="AZ210" s="3">
        <f t="shared" ca="1" si="114"/>
        <v>0.40061417662030924</v>
      </c>
      <c r="BA210" s="3">
        <f t="shared" ca="1" si="109"/>
        <v>2.2107206248171609E-4</v>
      </c>
      <c r="BB210" s="3">
        <f t="shared" ca="1" si="115"/>
        <v>0.22187293050460177</v>
      </c>
      <c r="BC210" s="3">
        <f t="shared" ca="1" si="116"/>
        <v>0.70834478827613756</v>
      </c>
      <c r="BD210" s="3">
        <f t="shared" ca="1" si="110"/>
        <v>5.2961235813761907E-2</v>
      </c>
      <c r="BE210" s="3">
        <f t="shared" ca="1" si="117"/>
        <v>0.70834478827613756</v>
      </c>
      <c r="BF210" s="3">
        <f t="shared" ca="1" si="118"/>
        <v>0.70834478827613756</v>
      </c>
    </row>
    <row r="211" spans="1:58" ht="15" x14ac:dyDescent="0.25">
      <c r="A211" s="72">
        <v>145</v>
      </c>
      <c r="B211" s="72">
        <v>1498730195.8699999</v>
      </c>
      <c r="C211" s="73">
        <v>2.23572128014653E-4</v>
      </c>
      <c r="D211" s="73">
        <v>-9.6846946844122002E-5</v>
      </c>
      <c r="E211" s="73">
        <v>1.63686487093243E-2</v>
      </c>
      <c r="F211" s="73">
        <v>5.6041878349127796E-4</v>
      </c>
      <c r="G211" s="73">
        <v>0.30745718058969601</v>
      </c>
      <c r="H211" s="73">
        <v>-3.8148030366236199E-5</v>
      </c>
      <c r="I211" s="73">
        <v>0.22202834277985301</v>
      </c>
      <c r="J211" s="73">
        <v>2.6700031445812198</v>
      </c>
      <c r="K211" s="73"/>
      <c r="L211" s="73"/>
      <c r="M211" s="73"/>
      <c r="O211" s="13">
        <f t="shared" ca="1" si="80"/>
        <v>-4.1115101256908581E-5</v>
      </c>
      <c r="P211" s="13">
        <f t="shared" ca="1" si="81"/>
        <v>-1.0813442222896218E-4</v>
      </c>
      <c r="Q211" s="13">
        <f t="shared" ca="1" si="82"/>
        <v>1.5527909091351615E-2</v>
      </c>
      <c r="R211" s="13">
        <f t="shared" ca="1" si="83"/>
        <v>5.5064250460059683E-4</v>
      </c>
      <c r="S211" s="13">
        <f t="shared" ca="1" si="84"/>
        <v>0.30632210195645465</v>
      </c>
      <c r="T211" s="13">
        <f t="shared" ca="1" si="85"/>
        <v>-3.8497851877260289E-5</v>
      </c>
      <c r="U211" s="13">
        <f t="shared" ca="1" si="86"/>
        <v>0.22137449878506449</v>
      </c>
      <c r="V211" s="13">
        <f t="shared" ca="1" si="87"/>
        <v>2.6628643636587657</v>
      </c>
      <c r="X211" s="3">
        <f t="shared" ca="1" si="88"/>
        <v>-4.1115101256908581E-5</v>
      </c>
      <c r="Y211" s="3">
        <f t="shared" ca="1" si="89"/>
        <v>-1.0813442222896218E-4</v>
      </c>
      <c r="Z211" s="3">
        <f t="shared" ca="1" si="90"/>
        <v>1.5527909091351615E-2</v>
      </c>
      <c r="AA211" s="3">
        <f t="shared" ca="1" si="91"/>
        <v>5.5064250460059683E-4</v>
      </c>
      <c r="AB211" s="3">
        <f t="shared" ca="1" si="92"/>
        <v>0.30632210195645465</v>
      </c>
      <c r="AC211" s="3">
        <f t="shared" ca="1" si="93"/>
        <v>-3.8497851877260289E-5</v>
      </c>
      <c r="AD211" s="3">
        <f t="shared" ca="1" si="94"/>
        <v>0.22137449878506449</v>
      </c>
      <c r="AE211" s="3">
        <f t="shared" ca="1" si="95"/>
        <v>2.6628643636587657</v>
      </c>
      <c r="AG211" s="3">
        <f t="shared" ca="1" si="96"/>
        <v>-4.1115101256908581E-5</v>
      </c>
      <c r="AH211" s="3">
        <f t="shared" ca="1" si="97"/>
        <v>-1.0813442222896218E-4</v>
      </c>
      <c r="AI211" s="3">
        <f t="shared" ca="1" si="98"/>
        <v>1.5527909091351615E-2</v>
      </c>
      <c r="AJ211" s="3">
        <f t="shared" ca="1" si="99"/>
        <v>5.5064250460059683E-4</v>
      </c>
      <c r="AK211" s="3">
        <f t="shared" ca="1" si="100"/>
        <v>0.30632210195645465</v>
      </c>
      <c r="AL211" s="3">
        <f t="shared" ca="1" si="101"/>
        <v>-3.8497851877260289E-5</v>
      </c>
      <c r="AM211" s="3">
        <f t="shared" ca="1" si="102"/>
        <v>0.22137449878506449</v>
      </c>
      <c r="AN211" s="3">
        <f t="shared" ca="1" si="103"/>
        <v>2.6628643636587657</v>
      </c>
      <c r="AP211" s="3">
        <f t="shared" ca="1" si="104"/>
        <v>8.6930206689339915</v>
      </c>
      <c r="AQ211" s="3">
        <f t="shared" ca="1" si="111"/>
        <v>0.4004811920750474</v>
      </c>
      <c r="AR211" s="3">
        <f t="shared" ca="1" si="105"/>
        <v>2.205219666496368E-4</v>
      </c>
      <c r="AS211" s="3">
        <f t="shared" ca="1" si="106"/>
        <v>0.22115397681841484</v>
      </c>
      <c r="AT211" s="3">
        <f t="shared" ca="1" si="107"/>
        <v>0.70855043463548839</v>
      </c>
      <c r="AU211" s="3">
        <f t="shared" ca="1" si="108"/>
        <v>5.2660597544582237E-2</v>
      </c>
      <c r="AV211" s="10">
        <f t="shared" ca="1" si="112"/>
        <v>0.70855043463548839</v>
      </c>
      <c r="AW211" s="10">
        <f t="shared" ca="1" si="113"/>
        <v>0.70855043463548839</v>
      </c>
      <c r="AY211" s="3">
        <f t="shared" ca="1" si="119"/>
        <v>8.6930206689339915</v>
      </c>
      <c r="AZ211" s="3">
        <f t="shared" ca="1" si="114"/>
        <v>0.4004811920750474</v>
      </c>
      <c r="BA211" s="3">
        <f t="shared" ca="1" si="109"/>
        <v>2.205219666496368E-4</v>
      </c>
      <c r="BB211" s="3">
        <f t="shared" ca="1" si="115"/>
        <v>0.22115397681841484</v>
      </c>
      <c r="BC211" s="3">
        <f t="shared" ca="1" si="116"/>
        <v>0.70855043463548839</v>
      </c>
      <c r="BD211" s="3">
        <f t="shared" ca="1" si="110"/>
        <v>5.2660597544582237E-2</v>
      </c>
      <c r="BE211" s="3">
        <f t="shared" ca="1" si="117"/>
        <v>0.70855043463548839</v>
      </c>
      <c r="BF211" s="3">
        <f t="shared" ca="1" si="118"/>
        <v>0.70855043463548839</v>
      </c>
    </row>
    <row r="212" spans="1:58" ht="15" x14ac:dyDescent="0.25">
      <c r="A212" s="72">
        <v>146</v>
      </c>
      <c r="B212" s="72">
        <v>1498730196.3970001</v>
      </c>
      <c r="C212" s="73">
        <v>3.4799739211258801E-4</v>
      </c>
      <c r="D212" s="73">
        <v>2.8582035313766798E-5</v>
      </c>
      <c r="E212" s="73">
        <v>1.66087982038375E-2</v>
      </c>
      <c r="F212" s="73">
        <v>5.1923373674794598E-4</v>
      </c>
      <c r="G212" s="73">
        <v>0.30826226659967099</v>
      </c>
      <c r="H212" s="73">
        <v>3.4893049238794802E-6</v>
      </c>
      <c r="I212" s="73">
        <v>0.22271562392893199</v>
      </c>
      <c r="J212" s="73">
        <v>2.6762716229506101</v>
      </c>
      <c r="K212" s="73"/>
      <c r="L212" s="73"/>
      <c r="M212" s="73"/>
      <c r="O212" s="13">
        <f t="shared" ca="1" si="80"/>
        <v>8.331016284102643E-5</v>
      </c>
      <c r="P212" s="13">
        <f t="shared" ca="1" si="81"/>
        <v>1.7294559928926623E-5</v>
      </c>
      <c r="Q212" s="13">
        <f t="shared" ca="1" si="82"/>
        <v>1.5768058585864813E-2</v>
      </c>
      <c r="R212" s="13">
        <f t="shared" ca="1" si="83"/>
        <v>5.0945745785726485E-4</v>
      </c>
      <c r="S212" s="13">
        <f t="shared" ca="1" si="84"/>
        <v>0.30712718796642963</v>
      </c>
      <c r="T212" s="13">
        <f t="shared" ca="1" si="85"/>
        <v>3.1394834128553937E-6</v>
      </c>
      <c r="U212" s="13">
        <f t="shared" ca="1" si="86"/>
        <v>0.22206177993414347</v>
      </c>
      <c r="V212" s="13">
        <f t="shared" ca="1" si="87"/>
        <v>2.6691328420281559</v>
      </c>
      <c r="X212" s="3">
        <f t="shared" ca="1" si="88"/>
        <v>8.331016284102643E-5</v>
      </c>
      <c r="Y212" s="3">
        <f t="shared" ca="1" si="89"/>
        <v>1.7294559928926623E-5</v>
      </c>
      <c r="Z212" s="3">
        <f t="shared" ca="1" si="90"/>
        <v>1.5768034566467404E-2</v>
      </c>
      <c r="AA212" s="3">
        <f t="shared" ca="1" si="91"/>
        <v>5.0887607926090796E-4</v>
      </c>
      <c r="AB212" s="3">
        <f t="shared" ca="1" si="92"/>
        <v>0.3071229600065904</v>
      </c>
      <c r="AC212" s="3">
        <f t="shared" ca="1" si="93"/>
        <v>3.1394834128553937E-6</v>
      </c>
      <c r="AD212" s="3">
        <f t="shared" ca="1" si="94"/>
        <v>0.22205553625555582</v>
      </c>
      <c r="AE212" s="3">
        <f t="shared" ca="1" si="95"/>
        <v>2.6691303084886324</v>
      </c>
      <c r="AG212" s="3">
        <f t="shared" ca="1" si="96"/>
        <v>8.331016284102643E-5</v>
      </c>
      <c r="AH212" s="3">
        <f t="shared" ca="1" si="97"/>
        <v>1.7294559928926623E-5</v>
      </c>
      <c r="AI212" s="3">
        <f t="shared" ca="1" si="98"/>
        <v>1.5754103890179425E-2</v>
      </c>
      <c r="AJ212" s="3">
        <f t="shared" ca="1" si="99"/>
        <v>5.0118352235675127E-4</v>
      </c>
      <c r="AK212" s="3">
        <f t="shared" ca="1" si="100"/>
        <v>0.3071229600065904</v>
      </c>
      <c r="AL212" s="3">
        <f t="shared" ca="1" si="101"/>
        <v>3.1394834128553937E-6</v>
      </c>
      <c r="AM212" s="3">
        <f t="shared" ca="1" si="102"/>
        <v>0.22205553625555582</v>
      </c>
      <c r="AN212" s="3">
        <f t="shared" ca="1" si="103"/>
        <v>2.6691303084886324</v>
      </c>
      <c r="AP212" s="3">
        <f t="shared" ca="1" si="104"/>
        <v>8.690643311981562</v>
      </c>
      <c r="AQ212" s="3">
        <f t="shared" ca="1" si="111"/>
        <v>0.40037034075631117</v>
      </c>
      <c r="AR212" s="3">
        <f t="shared" ca="1" si="105"/>
        <v>2.0397165600315715E-4</v>
      </c>
      <c r="AS212" s="3">
        <f t="shared" ca="1" si="106"/>
        <v>0.22185780827814031</v>
      </c>
      <c r="AT212" s="3">
        <f t="shared" ca="1" si="107"/>
        <v>0.70903981654498749</v>
      </c>
      <c r="AU212" s="3">
        <f t="shared" ca="1" si="108"/>
        <v>5.3319927408605812E-2</v>
      </c>
      <c r="AV212" s="10">
        <f t="shared" ca="1" si="112"/>
        <v>0.70903981654498749</v>
      </c>
      <c r="AW212" s="10">
        <f t="shared" ca="1" si="113"/>
        <v>0.70903981654498749</v>
      </c>
      <c r="AY212" s="3">
        <f t="shared" ca="1" si="119"/>
        <v>8.6907547010857051</v>
      </c>
      <c r="AZ212" s="3">
        <f t="shared" ca="1" si="114"/>
        <v>0.4003755345954409</v>
      </c>
      <c r="BA212" s="3">
        <f t="shared" ca="1" si="109"/>
        <v>2.0066162069401039E-4</v>
      </c>
      <c r="BB212" s="3">
        <f t="shared" ca="1" si="115"/>
        <v>0.22185487463486181</v>
      </c>
      <c r="BC212" s="3">
        <f t="shared" ca="1" si="116"/>
        <v>0.70903562507005213</v>
      </c>
      <c r="BD212" s="3">
        <f t="shared" ca="1" si="110"/>
        <v>5.3274171454755076E-2</v>
      </c>
      <c r="BE212" s="3">
        <f t="shared" ca="1" si="117"/>
        <v>0.70903562507005213</v>
      </c>
      <c r="BF212" s="3">
        <f t="shared" ca="1" si="118"/>
        <v>0.70903562507005213</v>
      </c>
    </row>
    <row r="213" spans="1:58" ht="15" x14ac:dyDescent="0.25">
      <c r="A213" s="72">
        <v>147</v>
      </c>
      <c r="B213" s="72">
        <v>1498730196.924</v>
      </c>
      <c r="C213" s="73">
        <v>2.8257108526735401E-4</v>
      </c>
      <c r="D213" s="73">
        <v>6.1890700678490101E-5</v>
      </c>
      <c r="E213" s="73">
        <v>1.6600349768295899E-2</v>
      </c>
      <c r="F213" s="73">
        <v>6.5755556096876795E-4</v>
      </c>
      <c r="G213" s="73">
        <v>0.30938087001131798</v>
      </c>
      <c r="H213" s="73">
        <v>-2.2846038805743999E-5</v>
      </c>
      <c r="I213" s="73">
        <v>0.223329863960567</v>
      </c>
      <c r="J213" s="73">
        <v>2.6852644144865598</v>
      </c>
      <c r="K213" s="73"/>
      <c r="L213" s="73"/>
      <c r="M213" s="73"/>
      <c r="O213" s="13">
        <f t="shared" ca="1" si="80"/>
        <v>1.7883855995792428E-5</v>
      </c>
      <c r="P213" s="13">
        <f t="shared" ca="1" si="81"/>
        <v>5.060322529364993E-5</v>
      </c>
      <c r="Q213" s="13">
        <f t="shared" ca="1" si="82"/>
        <v>1.5759610150323212E-2</v>
      </c>
      <c r="R213" s="13">
        <f t="shared" ca="1" si="83"/>
        <v>6.4777928207808682E-4</v>
      </c>
      <c r="S213" s="13">
        <f t="shared" ca="1" si="84"/>
        <v>0.30824579137807662</v>
      </c>
      <c r="T213" s="13">
        <f t="shared" ca="1" si="85"/>
        <v>-2.3195860316768086E-5</v>
      </c>
      <c r="U213" s="13">
        <f t="shared" ca="1" si="86"/>
        <v>0.22267601996577849</v>
      </c>
      <c r="V213" s="13">
        <f t="shared" ca="1" si="87"/>
        <v>2.6781256335641057</v>
      </c>
      <c r="X213" s="3">
        <f t="shared" ca="1" si="88"/>
        <v>1.7883855995792428E-5</v>
      </c>
      <c r="Y213" s="3">
        <f t="shared" ca="1" si="89"/>
        <v>5.060322529364993E-5</v>
      </c>
      <c r="Z213" s="3">
        <f t="shared" ca="1" si="90"/>
        <v>1.5759610150323212E-2</v>
      </c>
      <c r="AA213" s="3">
        <f t="shared" ca="1" si="91"/>
        <v>6.4777928207808682E-4</v>
      </c>
      <c r="AB213" s="3">
        <f t="shared" ca="1" si="92"/>
        <v>0.30824579137807662</v>
      </c>
      <c r="AC213" s="3">
        <f t="shared" ca="1" si="93"/>
        <v>-2.3195860316768086E-5</v>
      </c>
      <c r="AD213" s="3">
        <f t="shared" ca="1" si="94"/>
        <v>0.22267601996577849</v>
      </c>
      <c r="AE213" s="3">
        <f t="shared" ca="1" si="95"/>
        <v>2.6781256335641057</v>
      </c>
      <c r="AG213" s="3">
        <f t="shared" ca="1" si="96"/>
        <v>1.7883855995792428E-5</v>
      </c>
      <c r="AH213" s="3">
        <f t="shared" ca="1" si="97"/>
        <v>5.060322529364993E-5</v>
      </c>
      <c r="AI213" s="3">
        <f t="shared" ca="1" si="98"/>
        <v>1.5718849520761635E-2</v>
      </c>
      <c r="AJ213" s="3">
        <f t="shared" ca="1" si="99"/>
        <v>6.2527115283368912E-4</v>
      </c>
      <c r="AK213" s="3">
        <f t="shared" ca="1" si="100"/>
        <v>0.30824579137807662</v>
      </c>
      <c r="AL213" s="3">
        <f t="shared" ca="1" si="101"/>
        <v>-2.3195860316768086E-5</v>
      </c>
      <c r="AM213" s="3">
        <f t="shared" ca="1" si="102"/>
        <v>0.22267601996577849</v>
      </c>
      <c r="AN213" s="3">
        <f t="shared" ca="1" si="103"/>
        <v>2.6781256335641057</v>
      </c>
      <c r="AP213" s="3">
        <f t="shared" ca="1" si="104"/>
        <v>8.6882796407081209</v>
      </c>
      <c r="AQ213" s="3">
        <f t="shared" ca="1" si="111"/>
        <v>0.40026012793756721</v>
      </c>
      <c r="AR213" s="3">
        <f t="shared" ca="1" si="105"/>
        <v>2.5928021831988048E-4</v>
      </c>
      <c r="AS213" s="3">
        <f t="shared" ca="1" si="106"/>
        <v>0.2224167397474586</v>
      </c>
      <c r="AT213" s="3">
        <f t="shared" ca="1" si="107"/>
        <v>0.70834360233526095</v>
      </c>
      <c r="AU213" s="3">
        <f t="shared" ca="1" si="108"/>
        <v>5.3083190860286525E-2</v>
      </c>
      <c r="AV213" s="10">
        <f t="shared" ca="1" si="112"/>
        <v>0.70834360233526095</v>
      </c>
      <c r="AW213" s="10">
        <f t="shared" ca="1" si="113"/>
        <v>0.70834360233526095</v>
      </c>
      <c r="AY213" s="3">
        <f t="shared" ca="1" si="119"/>
        <v>8.6882796407081209</v>
      </c>
      <c r="AZ213" s="3">
        <f t="shared" ca="1" si="114"/>
        <v>0.40026012793756721</v>
      </c>
      <c r="BA213" s="3">
        <f t="shared" ca="1" si="109"/>
        <v>2.5027111162888256E-4</v>
      </c>
      <c r="BB213" s="3">
        <f t="shared" ca="1" si="115"/>
        <v>0.22242574885414962</v>
      </c>
      <c r="BC213" s="3">
        <f t="shared" ca="1" si="116"/>
        <v>0.70837229416436787</v>
      </c>
      <c r="BD213" s="3">
        <f t="shared" ca="1" si="110"/>
        <v>5.2945896583463423E-2</v>
      </c>
      <c r="BE213" s="3">
        <f t="shared" ca="1" si="117"/>
        <v>0.70837229416436787</v>
      </c>
      <c r="BF213" s="3">
        <f t="shared" ca="1" si="118"/>
        <v>0.70837229416436787</v>
      </c>
    </row>
    <row r="214" spans="1:58" ht="15" x14ac:dyDescent="0.25">
      <c r="A214" s="72">
        <v>148</v>
      </c>
      <c r="B214" s="72">
        <v>1498730197.451</v>
      </c>
      <c r="C214" s="73">
        <v>2.3594258828941699E-4</v>
      </c>
      <c r="D214" s="73">
        <v>1.2331386683021099E-4</v>
      </c>
      <c r="E214" s="73">
        <v>1.60723416557777E-2</v>
      </c>
      <c r="F214" s="73">
        <v>5.1947179572273301E-4</v>
      </c>
      <c r="G214" s="73">
        <v>0.299768403498759</v>
      </c>
      <c r="H214" s="73">
        <v>-1.40038620602529E-6</v>
      </c>
      <c r="I214" s="73">
        <v>0.21660049030196599</v>
      </c>
      <c r="J214" s="73">
        <v>2.60425619751945</v>
      </c>
      <c r="K214" s="73"/>
      <c r="L214" s="73"/>
      <c r="M214" s="73"/>
      <c r="O214" s="13">
        <f t="shared" ca="1" si="80"/>
        <v>-2.8744640982144594E-5</v>
      </c>
      <c r="P214" s="13">
        <f t="shared" ca="1" si="81"/>
        <v>1.1202639144537082E-4</v>
      </c>
      <c r="Q214" s="13">
        <f t="shared" ca="1" si="82"/>
        <v>1.5231602037805015E-2</v>
      </c>
      <c r="R214" s="13">
        <f t="shared" ca="1" si="83"/>
        <v>5.0969551683205188E-4</v>
      </c>
      <c r="S214" s="13">
        <f t="shared" ca="1" si="84"/>
        <v>0.29863332486551764</v>
      </c>
      <c r="T214" s="13">
        <f t="shared" ca="1" si="85"/>
        <v>-1.7502077170493767E-6</v>
      </c>
      <c r="U214" s="13">
        <f t="shared" ca="1" si="86"/>
        <v>0.21594664630717747</v>
      </c>
      <c r="V214" s="13">
        <f t="shared" ca="1" si="87"/>
        <v>2.5971174165969959</v>
      </c>
      <c r="X214" s="3">
        <f t="shared" ca="1" si="88"/>
        <v>-2.8744640982144594E-5</v>
      </c>
      <c r="Y214" s="3">
        <f t="shared" ca="1" si="89"/>
        <v>1.1202639144537082E-4</v>
      </c>
      <c r="Z214" s="3">
        <f t="shared" ca="1" si="90"/>
        <v>1.5231602037805015E-2</v>
      </c>
      <c r="AA214" s="3">
        <f t="shared" ca="1" si="91"/>
        <v>5.0969551683205188E-4</v>
      </c>
      <c r="AB214" s="3">
        <f t="shared" ca="1" si="92"/>
        <v>0.29863332486551764</v>
      </c>
      <c r="AC214" s="3">
        <f t="shared" ca="1" si="93"/>
        <v>-1.7502077170493767E-6</v>
      </c>
      <c r="AD214" s="3">
        <f t="shared" ca="1" si="94"/>
        <v>0.21594664630717747</v>
      </c>
      <c r="AE214" s="3">
        <f t="shared" ca="1" si="95"/>
        <v>2.5971174165969959</v>
      </c>
      <c r="AG214" s="3">
        <f t="shared" ca="1" si="96"/>
        <v>-2.8744640982144594E-5</v>
      </c>
      <c r="AH214" s="3">
        <f t="shared" ca="1" si="97"/>
        <v>1.1202639144537082E-4</v>
      </c>
      <c r="AI214" s="3">
        <f t="shared" ca="1" si="98"/>
        <v>1.5141365373712421E-2</v>
      </c>
      <c r="AJ214" s="3">
        <f t="shared" ca="1" si="99"/>
        <v>4.5986658828444179E-4</v>
      </c>
      <c r="AK214" s="3">
        <f t="shared" ca="1" si="100"/>
        <v>0.29863332486551764</v>
      </c>
      <c r="AL214" s="3">
        <f t="shared" ca="1" si="101"/>
        <v>-1.7502077170493767E-6</v>
      </c>
      <c r="AM214" s="3">
        <f t="shared" ca="1" si="102"/>
        <v>0.21594664630717747</v>
      </c>
      <c r="AN214" s="3">
        <f t="shared" ca="1" si="103"/>
        <v>2.5971174165969959</v>
      </c>
      <c r="AP214" s="3">
        <f t="shared" ca="1" si="104"/>
        <v>8.6966764937119638</v>
      </c>
      <c r="AQ214" s="3">
        <f t="shared" ca="1" si="111"/>
        <v>0.40065165646528561</v>
      </c>
      <c r="AR214" s="3">
        <f t="shared" ca="1" si="105"/>
        <v>2.0421035311169144E-4</v>
      </c>
      <c r="AS214" s="3">
        <f t="shared" ca="1" si="106"/>
        <v>0.21574243595406578</v>
      </c>
      <c r="AT214" s="3">
        <f t="shared" ca="1" si="107"/>
        <v>0.70885874223176992</v>
      </c>
      <c r="AU214" s="3">
        <f t="shared" ca="1" si="108"/>
        <v>5.3008473703018665E-2</v>
      </c>
      <c r="AV214" s="10">
        <f t="shared" ca="1" si="112"/>
        <v>0.70885874223176992</v>
      </c>
      <c r="AW214" s="10">
        <f t="shared" ca="1" si="113"/>
        <v>0.70885874223176992</v>
      </c>
      <c r="AY214" s="3">
        <f t="shared" ca="1" si="119"/>
        <v>8.6966764937119638</v>
      </c>
      <c r="AZ214" s="3">
        <f t="shared" ca="1" si="114"/>
        <v>0.40065165646528561</v>
      </c>
      <c r="BA214" s="3">
        <f t="shared" ca="1" si="109"/>
        <v>1.8424631034920112E-4</v>
      </c>
      <c r="BB214" s="3">
        <f t="shared" ca="1" si="115"/>
        <v>0.21576239999682828</v>
      </c>
      <c r="BC214" s="3">
        <f t="shared" ca="1" si="116"/>
        <v>0.70892433751523798</v>
      </c>
      <c r="BD214" s="3">
        <f t="shared" ca="1" si="110"/>
        <v>5.2694435309438771E-2</v>
      </c>
      <c r="BE214" s="3">
        <f t="shared" ca="1" si="117"/>
        <v>0.70892433751523798</v>
      </c>
      <c r="BF214" s="3">
        <f t="shared" ca="1" si="118"/>
        <v>0.70892433751523798</v>
      </c>
    </row>
    <row r="215" spans="1:58" ht="15" x14ac:dyDescent="0.25">
      <c r="A215" s="72">
        <v>149</v>
      </c>
      <c r="B215" s="72">
        <v>1498730197.9779999</v>
      </c>
      <c r="C215" s="73">
        <v>2.41889979510747E-4</v>
      </c>
      <c r="D215" s="73">
        <v>6.4961768680050198E-5</v>
      </c>
      <c r="E215" s="73">
        <v>1.6257885360516599E-2</v>
      </c>
      <c r="F215" s="73">
        <v>5.9208243063715101E-4</v>
      </c>
      <c r="G215" s="73">
        <v>0.30485655685102497</v>
      </c>
      <c r="H215" s="73">
        <v>-1.51469218096564E-5</v>
      </c>
      <c r="I215" s="73">
        <v>0.22012196312919199</v>
      </c>
      <c r="J215" s="73">
        <v>2.64533902151158</v>
      </c>
      <c r="K215" s="73"/>
      <c r="L215" s="73"/>
      <c r="M215" s="73"/>
      <c r="O215" s="13">
        <f t="shared" ca="1" si="80"/>
        <v>-2.2797249760814588E-5</v>
      </c>
      <c r="P215" s="13">
        <f t="shared" ca="1" si="81"/>
        <v>5.3674293295210026E-5</v>
      </c>
      <c r="Q215" s="13">
        <f t="shared" ca="1" si="82"/>
        <v>1.5417145742543914E-2</v>
      </c>
      <c r="R215" s="13">
        <f t="shared" ca="1" si="83"/>
        <v>5.8230615174646987E-4</v>
      </c>
      <c r="S215" s="13">
        <f t="shared" ca="1" si="84"/>
        <v>0.30372147821778361</v>
      </c>
      <c r="T215" s="13">
        <f t="shared" ca="1" si="85"/>
        <v>-1.5496743320680488E-5</v>
      </c>
      <c r="U215" s="13">
        <f t="shared" ca="1" si="86"/>
        <v>0.21946811913440348</v>
      </c>
      <c r="V215" s="13">
        <f t="shared" ca="1" si="87"/>
        <v>2.6382002405891258</v>
      </c>
      <c r="X215" s="3">
        <f t="shared" ca="1" si="88"/>
        <v>-2.2797249760814588E-5</v>
      </c>
      <c r="Y215" s="3">
        <f t="shared" ca="1" si="89"/>
        <v>5.3674293295210026E-5</v>
      </c>
      <c r="Z215" s="3">
        <f t="shared" ca="1" si="90"/>
        <v>1.5417145742543914E-2</v>
      </c>
      <c r="AA215" s="3">
        <f t="shared" ca="1" si="91"/>
        <v>5.8230615174646987E-4</v>
      </c>
      <c r="AB215" s="3">
        <f t="shared" ca="1" si="92"/>
        <v>0.30372147821778361</v>
      </c>
      <c r="AC215" s="3">
        <f t="shared" ca="1" si="93"/>
        <v>-1.5496743320680488E-5</v>
      </c>
      <c r="AD215" s="3">
        <f t="shared" ca="1" si="94"/>
        <v>0.21946811913440348</v>
      </c>
      <c r="AE215" s="3">
        <f t="shared" ca="1" si="95"/>
        <v>2.6382002405891258</v>
      </c>
      <c r="AG215" s="3">
        <f t="shared" ca="1" si="96"/>
        <v>-2.2797249760814588E-5</v>
      </c>
      <c r="AH215" s="3">
        <f t="shared" ca="1" si="97"/>
        <v>5.3674293295210026E-5</v>
      </c>
      <c r="AI215" s="3">
        <f t="shared" ca="1" si="98"/>
        <v>1.5373911383996811E-2</v>
      </c>
      <c r="AJ215" s="3">
        <f t="shared" ca="1" si="99"/>
        <v>5.5843202270470106E-4</v>
      </c>
      <c r="AK215" s="3">
        <f t="shared" ca="1" si="100"/>
        <v>0.30372147821778361</v>
      </c>
      <c r="AL215" s="3">
        <f t="shared" ca="1" si="101"/>
        <v>-1.5496743320680488E-5</v>
      </c>
      <c r="AM215" s="3">
        <f t="shared" ca="1" si="102"/>
        <v>0.21946811913440348</v>
      </c>
      <c r="AN215" s="3">
        <f t="shared" ca="1" si="103"/>
        <v>2.6382002405891258</v>
      </c>
      <c r="AP215" s="3">
        <f t="shared" ca="1" si="104"/>
        <v>8.6862485197619215</v>
      </c>
      <c r="AQ215" s="3">
        <f t="shared" ca="1" si="111"/>
        <v>0.40016542150333201</v>
      </c>
      <c r="AR215" s="3">
        <f t="shared" ca="1" si="105"/>
        <v>2.3301878665760932E-4</v>
      </c>
      <c r="AS215" s="3">
        <f t="shared" ca="1" si="106"/>
        <v>0.21923510034774588</v>
      </c>
      <c r="AT215" s="3">
        <f t="shared" ca="1" si="107"/>
        <v>0.70869501588752415</v>
      </c>
      <c r="AU215" s="3">
        <f t="shared" ca="1" si="108"/>
        <v>5.269061631503319E-2</v>
      </c>
      <c r="AV215" s="10">
        <f t="shared" ca="1" si="112"/>
        <v>0.70869501588752415</v>
      </c>
      <c r="AW215" s="10">
        <f t="shared" ca="1" si="113"/>
        <v>0.70869501588752415</v>
      </c>
      <c r="AY215" s="3">
        <f t="shared" ca="1" si="119"/>
        <v>8.6862485197619215</v>
      </c>
      <c r="AZ215" s="3">
        <f t="shared" ca="1" si="114"/>
        <v>0.40016542150333201</v>
      </c>
      <c r="BA215" s="3">
        <f t="shared" ca="1" si="109"/>
        <v>2.2346518574658497E-4</v>
      </c>
      <c r="BB215" s="3">
        <f t="shared" ca="1" si="115"/>
        <v>0.21924465394865689</v>
      </c>
      <c r="BC215" s="3">
        <f t="shared" ca="1" si="116"/>
        <v>0.70872589866741964</v>
      </c>
      <c r="BD215" s="3">
        <f t="shared" ca="1" si="110"/>
        <v>5.2542855825778313E-2</v>
      </c>
      <c r="BE215" s="3">
        <f t="shared" ca="1" si="117"/>
        <v>0.70872589866741964</v>
      </c>
      <c r="BF215" s="3">
        <f t="shared" ca="1" si="118"/>
        <v>0.70872589866741964</v>
      </c>
    </row>
    <row r="216" spans="1:58" ht="15" x14ac:dyDescent="0.25">
      <c r="A216" s="72">
        <v>150</v>
      </c>
      <c r="B216" s="72">
        <v>1498730198.5050001</v>
      </c>
      <c r="C216" s="73">
        <v>3.4133560849448501E-4</v>
      </c>
      <c r="D216" s="73">
        <v>5.7874703018941403E-5</v>
      </c>
      <c r="E216" s="73">
        <v>1.6020955195364301E-2</v>
      </c>
      <c r="F216" s="73">
        <v>5.6232333540116701E-4</v>
      </c>
      <c r="G216" s="73">
        <v>0.29829526210431501</v>
      </c>
      <c r="H216" s="73">
        <v>1.13558356499156E-5</v>
      </c>
      <c r="I216" s="73">
        <v>0.215437986515568</v>
      </c>
      <c r="J216" s="73">
        <v>2.5899833297340402</v>
      </c>
      <c r="K216" s="73"/>
      <c r="L216" s="73"/>
      <c r="M216" s="73"/>
      <c r="O216" s="13">
        <f t="shared" ca="1" si="80"/>
        <v>7.6648379222923424E-5</v>
      </c>
      <c r="P216" s="13">
        <f t="shared" ca="1" si="81"/>
        <v>4.6587227634101232E-5</v>
      </c>
      <c r="Q216" s="13">
        <f t="shared" ca="1" si="82"/>
        <v>1.5180215577391616E-2</v>
      </c>
      <c r="R216" s="13">
        <f t="shared" ca="1" si="83"/>
        <v>5.5254705651048587E-4</v>
      </c>
      <c r="S216" s="13">
        <f t="shared" ca="1" si="84"/>
        <v>0.29716018347107365</v>
      </c>
      <c r="T216" s="13">
        <f t="shared" ca="1" si="85"/>
        <v>1.1006014138891514E-5</v>
      </c>
      <c r="U216" s="13">
        <f t="shared" ca="1" si="86"/>
        <v>0.21478414252077949</v>
      </c>
      <c r="V216" s="13">
        <f t="shared" ca="1" si="87"/>
        <v>2.5828445488115861</v>
      </c>
      <c r="X216" s="3">
        <f t="shared" ca="1" si="88"/>
        <v>7.6648379222923424E-5</v>
      </c>
      <c r="Y216" s="3">
        <f t="shared" ca="1" si="89"/>
        <v>4.6587227634101232E-5</v>
      </c>
      <c r="Z216" s="3">
        <f t="shared" ca="1" si="90"/>
        <v>1.5180131373147568E-2</v>
      </c>
      <c r="AA216" s="3">
        <f t="shared" ca="1" si="91"/>
        <v>5.5050893105795069E-4</v>
      </c>
      <c r="AB216" s="3">
        <f t="shared" ca="1" si="92"/>
        <v>0.29714536161038829</v>
      </c>
      <c r="AC216" s="3">
        <f t="shared" ca="1" si="93"/>
        <v>1.1006014138891514E-5</v>
      </c>
      <c r="AD216" s="3">
        <f t="shared" ca="1" si="94"/>
        <v>0.21476225420165895</v>
      </c>
      <c r="AE216" s="3">
        <f t="shared" ca="1" si="95"/>
        <v>2.5828356670408765</v>
      </c>
      <c r="AG216" s="3">
        <f t="shared" ca="1" si="96"/>
        <v>7.6648379222923424E-5</v>
      </c>
      <c r="AH216" s="3">
        <f t="shared" ca="1" si="97"/>
        <v>4.6587227634101232E-5</v>
      </c>
      <c r="AI216" s="3">
        <f t="shared" ca="1" si="98"/>
        <v>1.5142605608398878E-2</v>
      </c>
      <c r="AJ216" s="3">
        <f t="shared" ca="1" si="99"/>
        <v>5.2978710286139669E-4</v>
      </c>
      <c r="AK216" s="3">
        <f t="shared" ca="1" si="100"/>
        <v>0.29714536161038829</v>
      </c>
      <c r="AL216" s="3">
        <f t="shared" ca="1" si="101"/>
        <v>1.1006014138891514E-5</v>
      </c>
      <c r="AM216" s="3">
        <f t="shared" ca="1" si="102"/>
        <v>0.21476225420165895</v>
      </c>
      <c r="AN216" s="3">
        <f t="shared" ca="1" si="103"/>
        <v>2.5828356670408765</v>
      </c>
      <c r="AP216" s="3">
        <f t="shared" ca="1" si="104"/>
        <v>8.6917584941624817</v>
      </c>
      <c r="AQ216" s="3">
        <f t="shared" ca="1" si="111"/>
        <v>0.40042233938714195</v>
      </c>
      <c r="AR216" s="3">
        <f t="shared" ca="1" si="105"/>
        <v>2.2125218498940808E-4</v>
      </c>
      <c r="AS216" s="3">
        <f t="shared" ca="1" si="106"/>
        <v>0.21456289033579007</v>
      </c>
      <c r="AT216" s="3">
        <f t="shared" ca="1" si="107"/>
        <v>0.70867987403118793</v>
      </c>
      <c r="AU216" s="3">
        <f t="shared" ca="1" si="108"/>
        <v>5.3060816663046205E-2</v>
      </c>
      <c r="AV216" s="10">
        <f t="shared" ca="1" si="112"/>
        <v>0.70867987403118793</v>
      </c>
      <c r="AW216" s="10">
        <f t="shared" ca="1" si="113"/>
        <v>0.70867987403118793</v>
      </c>
      <c r="AY216" s="3">
        <f t="shared" ca="1" si="119"/>
        <v>8.6921621560677256</v>
      </c>
      <c r="AZ216" s="3">
        <f t="shared" ca="1" si="114"/>
        <v>0.40044116132403657</v>
      </c>
      <c r="BA216" s="3">
        <f t="shared" ca="1" si="109"/>
        <v>2.121485627243145E-4</v>
      </c>
      <c r="BB216" s="3">
        <f t="shared" ca="1" si="115"/>
        <v>0.21455010563893465</v>
      </c>
      <c r="BC216" s="3">
        <f t="shared" ca="1" si="116"/>
        <v>0.70865642114234562</v>
      </c>
      <c r="BD216" s="3">
        <f t="shared" ca="1" si="110"/>
        <v>5.2934510628248124E-2</v>
      </c>
      <c r="BE216" s="3">
        <f t="shared" ca="1" si="117"/>
        <v>0.70865642114234562</v>
      </c>
      <c r="BF216" s="3">
        <f t="shared" ca="1" si="118"/>
        <v>0.70865642114234562</v>
      </c>
    </row>
    <row r="217" spans="1:58" ht="15" x14ac:dyDescent="0.25">
      <c r="A217" s="72">
        <v>151</v>
      </c>
      <c r="B217" s="72">
        <v>1498730199.0320001</v>
      </c>
      <c r="C217" s="73">
        <v>2.1857640865303399E-4</v>
      </c>
      <c r="D217" s="73">
        <v>7.7942151291795108E-6</v>
      </c>
      <c r="E217" s="73">
        <v>1.5774915310692101E-2</v>
      </c>
      <c r="F217" s="73">
        <v>5.7851217324776801E-4</v>
      </c>
      <c r="G217" s="73">
        <v>0.294608391218731</v>
      </c>
      <c r="H217" s="73">
        <v>3.5644437743326497E-5</v>
      </c>
      <c r="I217" s="73">
        <v>0.21285285282841801</v>
      </c>
      <c r="J217" s="73">
        <v>2.5578975489109199</v>
      </c>
      <c r="K217" s="73"/>
      <c r="L217" s="73"/>
      <c r="M217" s="73"/>
      <c r="O217" s="13">
        <f t="shared" ca="1" si="80"/>
        <v>-4.6110820618527589E-5</v>
      </c>
      <c r="P217" s="13">
        <f t="shared" ca="1" si="81"/>
        <v>-3.4932602556606624E-6</v>
      </c>
      <c r="Q217" s="13">
        <f t="shared" ca="1" si="82"/>
        <v>1.4934175692719416E-2</v>
      </c>
      <c r="R217" s="13">
        <f t="shared" ca="1" si="83"/>
        <v>5.6873589435708688E-4</v>
      </c>
      <c r="S217" s="13">
        <f t="shared" ca="1" si="84"/>
        <v>0.29347331258548964</v>
      </c>
      <c r="T217" s="13">
        <f t="shared" ca="1" si="85"/>
        <v>3.5294616232302407E-5</v>
      </c>
      <c r="U217" s="13">
        <f t="shared" ca="1" si="86"/>
        <v>0.21219900883362949</v>
      </c>
      <c r="V217" s="13">
        <f t="shared" ca="1" si="87"/>
        <v>2.5507587679884658</v>
      </c>
      <c r="X217" s="3">
        <f t="shared" ca="1" si="88"/>
        <v>-4.6110820618527589E-5</v>
      </c>
      <c r="Y217" s="3">
        <f t="shared" ca="1" si="89"/>
        <v>-3.4932602556606624E-6</v>
      </c>
      <c r="Z217" s="3">
        <f t="shared" ca="1" si="90"/>
        <v>1.4933905662494003E-2</v>
      </c>
      <c r="AA217" s="3">
        <f t="shared" ca="1" si="91"/>
        <v>5.6219993549198562E-4</v>
      </c>
      <c r="AB217" s="3">
        <f t="shared" ca="1" si="92"/>
        <v>0.29342578112876644</v>
      </c>
      <c r="AC217" s="3">
        <f t="shared" ca="1" si="93"/>
        <v>3.5294616232302407E-5</v>
      </c>
      <c r="AD217" s="3">
        <f t="shared" ca="1" si="94"/>
        <v>0.21212881631764866</v>
      </c>
      <c r="AE217" s="3">
        <f t="shared" ca="1" si="95"/>
        <v>2.5507302854983744</v>
      </c>
      <c r="AG217" s="3">
        <f t="shared" ca="1" si="96"/>
        <v>-4.6110820618527589E-5</v>
      </c>
      <c r="AH217" s="3">
        <f t="shared" ca="1" si="97"/>
        <v>-3.4932602556606624E-6</v>
      </c>
      <c r="AI217" s="3">
        <f t="shared" ca="1" si="98"/>
        <v>1.4933905662494003E-2</v>
      </c>
      <c r="AJ217" s="3">
        <f t="shared" ca="1" si="99"/>
        <v>5.6219993549198562E-4</v>
      </c>
      <c r="AK217" s="3">
        <f t="shared" ca="1" si="100"/>
        <v>0.29342578112876644</v>
      </c>
      <c r="AL217" s="3">
        <f t="shared" ca="1" si="101"/>
        <v>3.5294616232302407E-5</v>
      </c>
      <c r="AM217" s="3">
        <f t="shared" ca="1" si="102"/>
        <v>0.21212881631764866</v>
      </c>
      <c r="AN217" s="3">
        <f t="shared" ca="1" si="103"/>
        <v>2.5507302854983744</v>
      </c>
      <c r="AP217" s="3">
        <f t="shared" ca="1" si="104"/>
        <v>8.6916208684066358</v>
      </c>
      <c r="AQ217" s="3">
        <f t="shared" ca="1" si="111"/>
        <v>0.40041592217937544</v>
      </c>
      <c r="AR217" s="3">
        <f t="shared" ca="1" si="105"/>
        <v>2.277309076155048E-4</v>
      </c>
      <c r="AS217" s="3">
        <f t="shared" ca="1" si="106"/>
        <v>0.211971277926014</v>
      </c>
      <c r="AT217" s="3">
        <f t="shared" ca="1" si="107"/>
        <v>0.70892121514774886</v>
      </c>
      <c r="AU217" s="3">
        <f t="shared" ca="1" si="108"/>
        <v>5.2855746897036412E-2</v>
      </c>
      <c r="AV217" s="10">
        <f t="shared" ca="1" si="112"/>
        <v>0.70892121514774886</v>
      </c>
      <c r="AW217" s="10">
        <f t="shared" ca="1" si="113"/>
        <v>0.70892121514774886</v>
      </c>
      <c r="AY217" s="3">
        <f t="shared" ca="1" si="119"/>
        <v>8.6929317379205227</v>
      </c>
      <c r="AZ217" s="3">
        <f t="shared" ca="1" si="114"/>
        <v>0.40047704539616985</v>
      </c>
      <c r="BA217" s="3">
        <f t="shared" ca="1" si="109"/>
        <v>2.2514816908774768E-4</v>
      </c>
      <c r="BB217" s="3">
        <f t="shared" ca="1" si="115"/>
        <v>0.2119036681485609</v>
      </c>
      <c r="BC217" s="3">
        <f t="shared" ca="1" si="116"/>
        <v>0.7087560703328778</v>
      </c>
      <c r="BD217" s="3">
        <f t="shared" ca="1" si="110"/>
        <v>5.2871511268415536E-2</v>
      </c>
      <c r="BE217" s="3">
        <f t="shared" ca="1" si="117"/>
        <v>0.7087560703328778</v>
      </c>
      <c r="BF217" s="3">
        <f t="shared" ca="1" si="118"/>
        <v>0.7087560703328778</v>
      </c>
    </row>
    <row r="218" spans="1:58" ht="15" x14ac:dyDescent="0.25">
      <c r="A218" s="72">
        <v>152</v>
      </c>
      <c r="B218" s="72">
        <v>1498730199.559</v>
      </c>
      <c r="C218" s="73">
        <v>3.5085245583918901E-4</v>
      </c>
      <c r="D218" s="73">
        <v>4.65355032527001E-5</v>
      </c>
      <c r="E218" s="73">
        <v>1.5636966152451099E-2</v>
      </c>
      <c r="F218" s="73">
        <v>5.5637162273980401E-4</v>
      </c>
      <c r="G218" s="73">
        <v>0.28984495008188998</v>
      </c>
      <c r="H218" s="73">
        <v>5.5377398332327601E-5</v>
      </c>
      <c r="I218" s="73">
        <v>0.20929731928093401</v>
      </c>
      <c r="J218" s="73">
        <v>2.5163019577165899</v>
      </c>
      <c r="K218" s="73"/>
      <c r="L218" s="73"/>
      <c r="M218" s="73"/>
      <c r="O218" s="13">
        <f t="shared" ca="1" si="80"/>
        <v>8.6165226567627424E-5</v>
      </c>
      <c r="P218" s="13">
        <f t="shared" ca="1" si="81"/>
        <v>3.5248027867859928E-5</v>
      </c>
      <c r="Q218" s="13">
        <f t="shared" ca="1" si="82"/>
        <v>1.4796226534478414E-2</v>
      </c>
      <c r="R218" s="13">
        <f t="shared" ca="1" si="83"/>
        <v>5.4659534384912287E-4</v>
      </c>
      <c r="S218" s="13">
        <f t="shared" ca="1" si="84"/>
        <v>0.28870987144864863</v>
      </c>
      <c r="T218" s="13">
        <f t="shared" ca="1" si="85"/>
        <v>5.5027576821303511E-5</v>
      </c>
      <c r="U218" s="13">
        <f t="shared" ca="1" si="86"/>
        <v>0.20864347528614549</v>
      </c>
      <c r="V218" s="13">
        <f t="shared" ca="1" si="87"/>
        <v>2.5091631767941358</v>
      </c>
      <c r="X218" s="3">
        <f t="shared" ca="1" si="88"/>
        <v>8.6165226567627424E-5</v>
      </c>
      <c r="Y218" s="3">
        <f t="shared" ca="1" si="89"/>
        <v>3.5248027867859928E-5</v>
      </c>
      <c r="Z218" s="3">
        <f t="shared" ca="1" si="90"/>
        <v>1.4795805532338167E-2</v>
      </c>
      <c r="AA218" s="3">
        <f t="shared" ca="1" si="91"/>
        <v>5.3640517840907278E-4</v>
      </c>
      <c r="AB218" s="3">
        <f t="shared" ca="1" si="92"/>
        <v>0.28863576550373482</v>
      </c>
      <c r="AC218" s="3">
        <f t="shared" ca="1" si="93"/>
        <v>5.5027576821303511E-5</v>
      </c>
      <c r="AD218" s="3">
        <f t="shared" ca="1" si="94"/>
        <v>0.20853403865025763</v>
      </c>
      <c r="AE218" s="3">
        <f t="shared" ca="1" si="95"/>
        <v>2.5091187699531252</v>
      </c>
      <c r="AG218" s="3">
        <f t="shared" ca="1" si="96"/>
        <v>8.6165226567627424E-5</v>
      </c>
      <c r="AH218" s="3">
        <f t="shared" ca="1" si="97"/>
        <v>3.5248027867859928E-5</v>
      </c>
      <c r="AI218" s="3">
        <f t="shared" ca="1" si="98"/>
        <v>1.4767413432855167E-2</v>
      </c>
      <c r="AJ218" s="3">
        <f t="shared" ca="1" si="99"/>
        <v>5.207269847315745E-4</v>
      </c>
      <c r="AK218" s="3">
        <f t="shared" ca="1" si="100"/>
        <v>0.28863576550373482</v>
      </c>
      <c r="AL218" s="3">
        <f t="shared" ca="1" si="101"/>
        <v>5.5027576821303511E-5</v>
      </c>
      <c r="AM218" s="3">
        <f t="shared" ca="1" si="102"/>
        <v>0.20853403865025763</v>
      </c>
      <c r="AN218" s="3">
        <f t="shared" ca="1" si="103"/>
        <v>2.5091187699531252</v>
      </c>
      <c r="AP218" s="3">
        <f t="shared" ca="1" si="104"/>
        <v>8.6909504140055986</v>
      </c>
      <c r="AQ218" s="3">
        <f t="shared" ca="1" si="111"/>
        <v>0.40038466027830882</v>
      </c>
      <c r="AR218" s="3">
        <f t="shared" ca="1" si="105"/>
        <v>2.1884839105673645E-4</v>
      </c>
      <c r="AS218" s="3">
        <f t="shared" ca="1" si="106"/>
        <v>0.20842462689508875</v>
      </c>
      <c r="AT218" s="3">
        <f t="shared" ca="1" si="107"/>
        <v>0.70858807636444476</v>
      </c>
      <c r="AU218" s="3">
        <f t="shared" ca="1" si="108"/>
        <v>5.3227323651702969E-2</v>
      </c>
      <c r="AV218" s="10">
        <f t="shared" ca="1" si="112"/>
        <v>0.70858807636444476</v>
      </c>
      <c r="AW218" s="10">
        <f t="shared" ca="1" si="113"/>
        <v>0.70858807636444476</v>
      </c>
      <c r="AY218" s="3">
        <f t="shared" ca="1" si="119"/>
        <v>8.6930279259541674</v>
      </c>
      <c r="AZ218" s="3">
        <f t="shared" ca="1" si="114"/>
        <v>0.40048153045569912</v>
      </c>
      <c r="BA218" s="3">
        <f t="shared" ca="1" si="109"/>
        <v>2.0854153979488243E-4</v>
      </c>
      <c r="BB218" s="3">
        <f t="shared" ca="1" si="115"/>
        <v>0.20832549711046275</v>
      </c>
      <c r="BC218" s="3">
        <f t="shared" ca="1" si="116"/>
        <v>0.70834763567265158</v>
      </c>
      <c r="BD218" s="3">
        <f t="shared" ca="1" si="110"/>
        <v>5.3150309351650139E-2</v>
      </c>
      <c r="BE218" s="3">
        <f t="shared" ca="1" si="117"/>
        <v>0.70834763567265158</v>
      </c>
      <c r="BF218" s="3">
        <f t="shared" ca="1" si="118"/>
        <v>0.70834763567265158</v>
      </c>
    </row>
    <row r="219" spans="1:58" ht="15" x14ac:dyDescent="0.25">
      <c r="A219" s="72">
        <v>153</v>
      </c>
      <c r="B219" s="72">
        <v>1498730200.085</v>
      </c>
      <c r="C219" s="73">
        <v>4.2056612811571399E-4</v>
      </c>
      <c r="D219" s="73">
        <v>2.1259003513172599E-5</v>
      </c>
      <c r="E219" s="73">
        <v>1.5634313468145099E-2</v>
      </c>
      <c r="F219" s="73">
        <v>5.4803928458886501E-4</v>
      </c>
      <c r="G219" s="73">
        <v>0.28999246901801901</v>
      </c>
      <c r="H219" s="73">
        <v>5.5306494441548199E-5</v>
      </c>
      <c r="I219" s="73">
        <v>0.209540337961275</v>
      </c>
      <c r="J219" s="73">
        <v>2.5165671779969299</v>
      </c>
      <c r="K219" s="73"/>
      <c r="L219" s="73"/>
      <c r="M219" s="73"/>
      <c r="O219" s="13">
        <f t="shared" ca="1" si="80"/>
        <v>1.558788988441524E-4</v>
      </c>
      <c r="P219" s="13">
        <f t="shared" ca="1" si="81"/>
        <v>9.9715281283324263E-6</v>
      </c>
      <c r="Q219" s="13">
        <f t="shared" ca="1" si="82"/>
        <v>1.4793573850172414E-2</v>
      </c>
      <c r="R219" s="13">
        <f t="shared" ca="1" si="83"/>
        <v>5.3826300569818387E-4</v>
      </c>
      <c r="S219" s="13">
        <f t="shared" ca="1" si="84"/>
        <v>0.28885739038477765</v>
      </c>
      <c r="T219" s="13">
        <f t="shared" ca="1" si="85"/>
        <v>5.4956672930524109E-5</v>
      </c>
      <c r="U219" s="13">
        <f t="shared" ca="1" si="86"/>
        <v>0.20888649396648648</v>
      </c>
      <c r="V219" s="13">
        <f t="shared" ca="1" si="87"/>
        <v>2.5094283970744757</v>
      </c>
      <c r="X219" s="3">
        <f t="shared" ca="1" si="88"/>
        <v>1.558788988441524E-4</v>
      </c>
      <c r="Y219" s="3">
        <f t="shared" ca="1" si="89"/>
        <v>9.9715281283324263E-6</v>
      </c>
      <c r="Z219" s="3">
        <f t="shared" ca="1" si="90"/>
        <v>1.479315339049999E-2</v>
      </c>
      <c r="AA219" s="3">
        <f t="shared" ca="1" si="91"/>
        <v>5.2808597044519856E-4</v>
      </c>
      <c r="AB219" s="3">
        <f t="shared" ca="1" si="92"/>
        <v>0.28878337992652942</v>
      </c>
      <c r="AC219" s="3">
        <f t="shared" ca="1" si="93"/>
        <v>5.4956672930524109E-5</v>
      </c>
      <c r="AD219" s="3">
        <f t="shared" ca="1" si="94"/>
        <v>0.2087771983414104</v>
      </c>
      <c r="AE219" s="3">
        <f t="shared" ca="1" si="95"/>
        <v>2.5093840474523721</v>
      </c>
      <c r="AG219" s="3">
        <f t="shared" ca="1" si="96"/>
        <v>1.558788988441524E-4</v>
      </c>
      <c r="AH219" s="3">
        <f t="shared" ca="1" si="97"/>
        <v>9.9715281283324263E-6</v>
      </c>
      <c r="AI219" s="3">
        <f t="shared" ca="1" si="98"/>
        <v>1.4785121377484155E-2</v>
      </c>
      <c r="AJ219" s="3">
        <f t="shared" ca="1" si="99"/>
        <v>5.2365067126072503E-4</v>
      </c>
      <c r="AK219" s="3">
        <f t="shared" ca="1" si="100"/>
        <v>0.28878337992652942</v>
      </c>
      <c r="AL219" s="3">
        <f t="shared" ca="1" si="101"/>
        <v>5.4956672930524109E-5</v>
      </c>
      <c r="AM219" s="3">
        <f t="shared" ca="1" si="102"/>
        <v>0.2087771983414104</v>
      </c>
      <c r="AN219" s="3">
        <f t="shared" ca="1" si="103"/>
        <v>2.5093840474523721</v>
      </c>
      <c r="AP219" s="3">
        <f t="shared" ca="1" si="104"/>
        <v>8.6874301319822447</v>
      </c>
      <c r="AQ219" s="3">
        <f t="shared" ca="1" si="111"/>
        <v>0.40022051729360592</v>
      </c>
      <c r="AR219" s="3">
        <f t="shared" ca="1" si="105"/>
        <v>2.1542389858053831E-4</v>
      </c>
      <c r="AS219" s="3">
        <f t="shared" ca="1" si="106"/>
        <v>0.20867107006790594</v>
      </c>
      <c r="AT219" s="3">
        <f t="shared" ca="1" si="107"/>
        <v>0.70920829453787027</v>
      </c>
      <c r="AU219" s="3">
        <f t="shared" ca="1" si="108"/>
        <v>5.31685570176973E-2</v>
      </c>
      <c r="AV219" s="10">
        <f t="shared" ca="1" si="112"/>
        <v>0.70920829453787027</v>
      </c>
      <c r="AW219" s="10">
        <f t="shared" ca="1" si="113"/>
        <v>0.70920829453787027</v>
      </c>
      <c r="AY219" s="3">
        <f t="shared" ca="1" si="119"/>
        <v>8.6895030042615158</v>
      </c>
      <c r="AZ219" s="3">
        <f t="shared" ca="1" si="114"/>
        <v>0.40031717065741679</v>
      </c>
      <c r="BA219" s="3">
        <f t="shared" ca="1" si="109"/>
        <v>2.0962635513195051E-4</v>
      </c>
      <c r="BB219" s="3">
        <f t="shared" ca="1" si="115"/>
        <v>0.20856757198627845</v>
      </c>
      <c r="BC219" s="3">
        <f t="shared" ca="1" si="116"/>
        <v>0.70895302198143073</v>
      </c>
      <c r="BD219" s="3">
        <f t="shared" ca="1" si="110"/>
        <v>5.3164774258275475E-2</v>
      </c>
      <c r="BE219" s="3">
        <f t="shared" ca="1" si="117"/>
        <v>0.70895302198143073</v>
      </c>
      <c r="BF219" s="3">
        <f t="shared" ca="1" si="118"/>
        <v>0.70895302198143073</v>
      </c>
    </row>
    <row r="220" spans="1:58" ht="15" x14ac:dyDescent="0.25">
      <c r="A220" s="72">
        <v>154</v>
      </c>
      <c r="B220" s="72">
        <v>1498730200.612</v>
      </c>
      <c r="C220" s="73">
        <v>3.1040648098821101E-4</v>
      </c>
      <c r="D220" s="73">
        <v>1.06540240209017E-4</v>
      </c>
      <c r="E220" s="73">
        <v>1.61497881472022E-2</v>
      </c>
      <c r="F220" s="73">
        <v>6.3017536624018799E-4</v>
      </c>
      <c r="G220" s="73">
        <v>0.299558833092955</v>
      </c>
      <c r="H220" s="73">
        <v>-6.20886381066658E-7</v>
      </c>
      <c r="I220" s="73">
        <v>0.21646344465862799</v>
      </c>
      <c r="J220" s="73">
        <v>2.6008470879037402</v>
      </c>
      <c r="K220" s="73"/>
      <c r="L220" s="73"/>
      <c r="M220" s="73"/>
      <c r="O220" s="13">
        <f t="shared" ca="1" si="80"/>
        <v>4.5719251716649424E-5</v>
      </c>
      <c r="P220" s="13">
        <f t="shared" ca="1" si="81"/>
        <v>9.5252764824176826E-5</v>
      </c>
      <c r="Q220" s="13">
        <f t="shared" ca="1" si="82"/>
        <v>1.5309048529229515E-2</v>
      </c>
      <c r="R220" s="13">
        <f t="shared" ca="1" si="83"/>
        <v>6.2039908734950685E-4</v>
      </c>
      <c r="S220" s="13">
        <f t="shared" ca="1" si="84"/>
        <v>0.29842375445971364</v>
      </c>
      <c r="T220" s="13">
        <f t="shared" ca="1" si="85"/>
        <v>-9.7070789209074467E-7</v>
      </c>
      <c r="U220" s="13">
        <f t="shared" ca="1" si="86"/>
        <v>0.21580960066383947</v>
      </c>
      <c r="V220" s="13">
        <f t="shared" ca="1" si="87"/>
        <v>2.5937083069812861</v>
      </c>
      <c r="X220" s="3">
        <f t="shared" ca="1" si="88"/>
        <v>4.5719251716649424E-5</v>
      </c>
      <c r="Y220" s="3">
        <f t="shared" ca="1" si="89"/>
        <v>9.5252764824176826E-5</v>
      </c>
      <c r="Z220" s="3">
        <f t="shared" ca="1" si="90"/>
        <v>1.5309048529229515E-2</v>
      </c>
      <c r="AA220" s="3">
        <f t="shared" ca="1" si="91"/>
        <v>6.2039908734950685E-4</v>
      </c>
      <c r="AB220" s="3">
        <f t="shared" ca="1" si="92"/>
        <v>0.29842375445971364</v>
      </c>
      <c r="AC220" s="3">
        <f t="shared" ca="1" si="93"/>
        <v>-9.7070789209074467E-7</v>
      </c>
      <c r="AD220" s="3">
        <f t="shared" ca="1" si="94"/>
        <v>0.21580960066383947</v>
      </c>
      <c r="AE220" s="3">
        <f t="shared" ca="1" si="95"/>
        <v>2.5937083069812861</v>
      </c>
      <c r="AG220" s="3">
        <f t="shared" ca="1" si="96"/>
        <v>4.5719251716649424E-5</v>
      </c>
      <c r="AH220" s="3">
        <f t="shared" ca="1" si="97"/>
        <v>9.5252764824176826E-5</v>
      </c>
      <c r="AI220" s="3">
        <f t="shared" ca="1" si="98"/>
        <v>1.5232322932408685E-2</v>
      </c>
      <c r="AJ220" s="3">
        <f t="shared" ca="1" si="99"/>
        <v>5.7803100647902067E-4</v>
      </c>
      <c r="AK220" s="3">
        <f t="shared" ca="1" si="100"/>
        <v>0.29842375445971364</v>
      </c>
      <c r="AL220" s="3">
        <f t="shared" ca="1" si="101"/>
        <v>-9.7070789209074467E-7</v>
      </c>
      <c r="AM220" s="3">
        <f t="shared" ca="1" si="102"/>
        <v>0.21580960066383947</v>
      </c>
      <c r="AN220" s="3">
        <f t="shared" ca="1" si="103"/>
        <v>2.5937083069812861</v>
      </c>
      <c r="AP220" s="3">
        <f t="shared" ca="1" si="104"/>
        <v>8.6913600818309842</v>
      </c>
      <c r="AQ220" s="3">
        <f t="shared" ca="1" si="111"/>
        <v>0.40040376223763247</v>
      </c>
      <c r="AR220" s="3">
        <f t="shared" ca="1" si="105"/>
        <v>2.4841012866353611E-4</v>
      </c>
      <c r="AS220" s="3">
        <f t="shared" ca="1" si="106"/>
        <v>0.21556119053517594</v>
      </c>
      <c r="AT220" s="3">
        <f t="shared" ca="1" si="107"/>
        <v>0.7089789080612362</v>
      </c>
      <c r="AU220" s="3">
        <f t="shared" ca="1" si="108"/>
        <v>5.3282065001700123E-2</v>
      </c>
      <c r="AV220" s="10">
        <f t="shared" ca="1" si="112"/>
        <v>0.7089789080612362</v>
      </c>
      <c r="AW220" s="10">
        <f t="shared" ca="1" si="113"/>
        <v>0.7089789080612362</v>
      </c>
      <c r="AY220" s="3">
        <f t="shared" ca="1" si="119"/>
        <v>8.6913600818309842</v>
      </c>
      <c r="AZ220" s="3">
        <f t="shared" ca="1" si="114"/>
        <v>0.40040376223763247</v>
      </c>
      <c r="BA220" s="3">
        <f t="shared" ca="1" si="109"/>
        <v>2.314457896842052E-4</v>
      </c>
      <c r="BB220" s="3">
        <f t="shared" ca="1" si="115"/>
        <v>0.21557815487415527</v>
      </c>
      <c r="BC220" s="3">
        <f t="shared" ca="1" si="116"/>
        <v>0.70903470362673504</v>
      </c>
      <c r="BD220" s="3">
        <f t="shared" ca="1" si="110"/>
        <v>5.3015026966691199E-2</v>
      </c>
      <c r="BE220" s="3">
        <f t="shared" ca="1" si="117"/>
        <v>0.70903470362673504</v>
      </c>
      <c r="BF220" s="3">
        <f t="shared" ca="1" si="118"/>
        <v>0.70903470362673504</v>
      </c>
    </row>
    <row r="221" spans="1:58" ht="15" x14ac:dyDescent="0.25">
      <c r="A221" s="72">
        <v>155</v>
      </c>
      <c r="B221" s="72">
        <v>1498730201.1400001</v>
      </c>
      <c r="C221" s="73">
        <v>3.4204936889923698E-4</v>
      </c>
      <c r="D221" s="73">
        <v>-4.53544811109952E-5</v>
      </c>
      <c r="E221" s="73">
        <v>1.61567851623317E-2</v>
      </c>
      <c r="F221" s="73">
        <v>5.1899567782999305E-4</v>
      </c>
      <c r="G221" s="73">
        <v>0.30019046659614002</v>
      </c>
      <c r="H221" s="73">
        <v>8.4028605795851396E-6</v>
      </c>
      <c r="I221" s="73">
        <v>0.21700276464179799</v>
      </c>
      <c r="J221" s="73">
        <v>2.6072860638263702</v>
      </c>
      <c r="K221" s="73"/>
      <c r="L221" s="73"/>
      <c r="M221" s="73"/>
      <c r="O221" s="13">
        <f t="shared" ca="1" si="80"/>
        <v>7.7362139627675398E-5</v>
      </c>
      <c r="P221" s="13">
        <f t="shared" ca="1" si="81"/>
        <v>-5.6641956495835371E-5</v>
      </c>
      <c r="Q221" s="13">
        <f t="shared" ca="1" si="82"/>
        <v>1.5316045544359015E-2</v>
      </c>
      <c r="R221" s="13">
        <f t="shared" ca="1" si="83"/>
        <v>5.0921939893931191E-4</v>
      </c>
      <c r="S221" s="13">
        <f t="shared" ca="1" si="84"/>
        <v>0.29905538796289866</v>
      </c>
      <c r="T221" s="13">
        <f t="shared" ca="1" si="85"/>
        <v>8.0530390685610531E-6</v>
      </c>
      <c r="U221" s="13">
        <f t="shared" ca="1" si="86"/>
        <v>0.21634892064700947</v>
      </c>
      <c r="V221" s="13">
        <f t="shared" ca="1" si="87"/>
        <v>2.6001472829039161</v>
      </c>
      <c r="X221" s="3">
        <f t="shared" ca="1" si="88"/>
        <v>7.7362139627675398E-5</v>
      </c>
      <c r="Y221" s="3">
        <f t="shared" ca="1" si="89"/>
        <v>-5.6641956495835371E-5</v>
      </c>
      <c r="Z221" s="3">
        <f t="shared" ca="1" si="90"/>
        <v>1.5315983932583989E-2</v>
      </c>
      <c r="AA221" s="3">
        <f t="shared" ca="1" si="91"/>
        <v>5.0772811393015528E-4</v>
      </c>
      <c r="AB221" s="3">
        <f t="shared" ca="1" si="92"/>
        <v>0.29904454289022642</v>
      </c>
      <c r="AC221" s="3">
        <f t="shared" ca="1" si="93"/>
        <v>8.0530390685610531E-6</v>
      </c>
      <c r="AD221" s="3">
        <f t="shared" ca="1" si="94"/>
        <v>0.2163329050861717</v>
      </c>
      <c r="AE221" s="3">
        <f t="shared" ca="1" si="95"/>
        <v>2.6001407841618991</v>
      </c>
      <c r="AG221" s="3">
        <f t="shared" ca="1" si="96"/>
        <v>7.7362139627675398E-5</v>
      </c>
      <c r="AH221" s="3">
        <f t="shared" ca="1" si="97"/>
        <v>-5.6641956495835371E-5</v>
      </c>
      <c r="AI221" s="3">
        <f t="shared" ca="1" si="98"/>
        <v>1.5315983932583989E-2</v>
      </c>
      <c r="AJ221" s="3">
        <f t="shared" ca="1" si="99"/>
        <v>5.0772811393015528E-4</v>
      </c>
      <c r="AK221" s="3">
        <f t="shared" ca="1" si="100"/>
        <v>0.29904454289022642</v>
      </c>
      <c r="AL221" s="3">
        <f t="shared" ca="1" si="101"/>
        <v>8.0530390685610531E-6</v>
      </c>
      <c r="AM221" s="3">
        <f t="shared" ca="1" si="102"/>
        <v>0.2163329050861717</v>
      </c>
      <c r="AN221" s="3">
        <f t="shared" ca="1" si="103"/>
        <v>2.6001407841618991</v>
      </c>
      <c r="AP221" s="3">
        <f t="shared" ca="1" si="104"/>
        <v>8.6945341483915843</v>
      </c>
      <c r="AQ221" s="3">
        <f t="shared" ca="1" si="111"/>
        <v>0.40055176273503251</v>
      </c>
      <c r="AR221" s="3">
        <f t="shared" ca="1" si="105"/>
        <v>2.0396872786401514E-4</v>
      </c>
      <c r="AS221" s="3">
        <f t="shared" ca="1" si="106"/>
        <v>0.21614495191914546</v>
      </c>
      <c r="AT221" s="3">
        <f t="shared" ca="1" si="107"/>
        <v>0.70926697764635127</v>
      </c>
      <c r="AU221" s="3">
        <f t="shared" ca="1" si="108"/>
        <v>5.3213707411449353E-2</v>
      </c>
      <c r="AV221" s="10">
        <f t="shared" ca="1" si="112"/>
        <v>0.70926697764635127</v>
      </c>
      <c r="AW221" s="10">
        <f t="shared" ca="1" si="113"/>
        <v>0.70926697764635127</v>
      </c>
      <c r="AY221" s="3">
        <f t="shared" ca="1" si="119"/>
        <v>8.6948277304507151</v>
      </c>
      <c r="AZ221" s="3">
        <f t="shared" ca="1" si="114"/>
        <v>0.40056545192366572</v>
      </c>
      <c r="BA221" s="3">
        <f t="shared" ca="1" si="109"/>
        <v>2.033783414107831E-4</v>
      </c>
      <c r="BB221" s="3">
        <f t="shared" ca="1" si="115"/>
        <v>0.21612952674476091</v>
      </c>
      <c r="BC221" s="3">
        <f t="shared" ca="1" si="116"/>
        <v>0.70923002111982225</v>
      </c>
      <c r="BD221" s="3">
        <f t="shared" ca="1" si="110"/>
        <v>5.3217261841814745E-2</v>
      </c>
      <c r="BE221" s="3">
        <f t="shared" ca="1" si="117"/>
        <v>0.70923002111982225</v>
      </c>
      <c r="BF221" s="3">
        <f t="shared" ca="1" si="118"/>
        <v>0.70923002111982225</v>
      </c>
    </row>
    <row r="222" spans="1:58" ht="15" x14ac:dyDescent="0.25">
      <c r="A222" s="72">
        <v>156</v>
      </c>
      <c r="B222" s="72">
        <v>1498730201.6659999</v>
      </c>
      <c r="C222" s="73">
        <v>4.0319673748637002E-4</v>
      </c>
      <c r="D222" s="73">
        <v>-1.8662380658358101E-5</v>
      </c>
      <c r="E222" s="73">
        <v>1.6187910401438799E-2</v>
      </c>
      <c r="F222" s="73">
        <v>5.5184834483376004E-4</v>
      </c>
      <c r="G222" s="73">
        <v>0.30128192481741101</v>
      </c>
      <c r="H222" s="73">
        <v>-1.5760983750794799E-5</v>
      </c>
      <c r="I222" s="73">
        <v>0.21749770375402</v>
      </c>
      <c r="J222" s="73">
        <v>2.6150772975813199</v>
      </c>
      <c r="K222" s="73"/>
      <c r="L222" s="73"/>
      <c r="M222" s="73"/>
      <c r="O222" s="13">
        <f t="shared" ca="1" si="80"/>
        <v>1.3850950821480844E-4</v>
      </c>
      <c r="P222" s="13">
        <f t="shared" ca="1" si="81"/>
        <v>-2.9949856043198276E-5</v>
      </c>
      <c r="Q222" s="13">
        <f t="shared" ca="1" si="82"/>
        <v>1.5347170783466113E-2</v>
      </c>
      <c r="R222" s="13">
        <f t="shared" ca="1" si="83"/>
        <v>5.420720659430789E-4</v>
      </c>
      <c r="S222" s="13">
        <f t="shared" ca="1" si="84"/>
        <v>0.30014684618416965</v>
      </c>
      <c r="T222" s="13">
        <f t="shared" ca="1" si="85"/>
        <v>-1.6110805261818886E-5</v>
      </c>
      <c r="U222" s="13">
        <f t="shared" ca="1" si="86"/>
        <v>0.21684385975923148</v>
      </c>
      <c r="V222" s="13">
        <f t="shared" ca="1" si="87"/>
        <v>2.6079385166588658</v>
      </c>
      <c r="X222" s="3">
        <f t="shared" ca="1" si="88"/>
        <v>1.3850950821480844E-4</v>
      </c>
      <c r="Y222" s="3">
        <f t="shared" ca="1" si="89"/>
        <v>-2.9949856043198276E-5</v>
      </c>
      <c r="Z222" s="3">
        <f t="shared" ca="1" si="90"/>
        <v>1.5347170783466113E-2</v>
      </c>
      <c r="AA222" s="3">
        <f t="shared" ca="1" si="91"/>
        <v>5.420720659430789E-4</v>
      </c>
      <c r="AB222" s="3">
        <f t="shared" ca="1" si="92"/>
        <v>0.30014684618416965</v>
      </c>
      <c r="AC222" s="3">
        <f t="shared" ca="1" si="93"/>
        <v>-1.6110805261818886E-5</v>
      </c>
      <c r="AD222" s="3">
        <f t="shared" ca="1" si="94"/>
        <v>0.21684385975923148</v>
      </c>
      <c r="AE222" s="3">
        <f t="shared" ca="1" si="95"/>
        <v>2.6079385166588658</v>
      </c>
      <c r="AG222" s="3">
        <f t="shared" ca="1" si="96"/>
        <v>1.3850950821480844E-4</v>
      </c>
      <c r="AH222" s="3">
        <f t="shared" ca="1" si="97"/>
        <v>-2.9949856043198276E-5</v>
      </c>
      <c r="AI222" s="3">
        <f t="shared" ca="1" si="98"/>
        <v>1.5347170783466113E-2</v>
      </c>
      <c r="AJ222" s="3">
        <f t="shared" ca="1" si="99"/>
        <v>5.420720659430789E-4</v>
      </c>
      <c r="AK222" s="3">
        <f t="shared" ca="1" si="100"/>
        <v>0.30014684618416965</v>
      </c>
      <c r="AL222" s="3">
        <f t="shared" ca="1" si="101"/>
        <v>-1.6110805261818886E-5</v>
      </c>
      <c r="AM222" s="3">
        <f t="shared" ca="1" si="102"/>
        <v>0.21684385975923148</v>
      </c>
      <c r="AN222" s="3">
        <f t="shared" ca="1" si="103"/>
        <v>2.6079385166588658</v>
      </c>
      <c r="AP222" s="3">
        <f t="shared" ca="1" si="104"/>
        <v>8.6888752949236014</v>
      </c>
      <c r="AQ222" s="3">
        <f t="shared" ca="1" si="111"/>
        <v>0.40028790195581432</v>
      </c>
      <c r="AR222" s="3">
        <f t="shared" ca="1" si="105"/>
        <v>2.1698488998520888E-4</v>
      </c>
      <c r="AS222" s="3">
        <f t="shared" ca="1" si="106"/>
        <v>0.21662687486924628</v>
      </c>
      <c r="AT222" s="3">
        <f t="shared" ca="1" si="107"/>
        <v>0.70849569781260802</v>
      </c>
      <c r="AU222" s="3">
        <f t="shared" ca="1" si="108"/>
        <v>5.3092565768980464E-2</v>
      </c>
      <c r="AV222" s="10">
        <f t="shared" ca="1" si="112"/>
        <v>0.70849569781260802</v>
      </c>
      <c r="AW222" s="10">
        <f t="shared" ca="1" si="113"/>
        <v>0.70849569781260802</v>
      </c>
      <c r="AY222" s="3">
        <f t="shared" ca="1" si="119"/>
        <v>8.6888752949236014</v>
      </c>
      <c r="AZ222" s="3">
        <f t="shared" ca="1" si="114"/>
        <v>0.40028790195581432</v>
      </c>
      <c r="BA222" s="3">
        <f t="shared" ca="1" si="109"/>
        <v>2.1698488998520888E-4</v>
      </c>
      <c r="BB222" s="3">
        <f t="shared" ca="1" si="115"/>
        <v>0.21662687486924628</v>
      </c>
      <c r="BC222" s="3">
        <f t="shared" ca="1" si="116"/>
        <v>0.70849569781260802</v>
      </c>
      <c r="BD222" s="3">
        <f t="shared" ca="1" si="110"/>
        <v>5.3092565768980464E-2</v>
      </c>
      <c r="BE222" s="3">
        <f t="shared" ca="1" si="117"/>
        <v>0.70849569781260802</v>
      </c>
      <c r="BF222" s="3">
        <f t="shared" ca="1" si="118"/>
        <v>0.70849569781260802</v>
      </c>
    </row>
    <row r="223" spans="1:58" ht="15" x14ac:dyDescent="0.25">
      <c r="A223" s="72">
        <v>157</v>
      </c>
      <c r="B223" s="72">
        <v>1498730202.1930001</v>
      </c>
      <c r="C223" s="73">
        <v>3.8868282084613803E-4</v>
      </c>
      <c r="D223" s="73">
        <v>4.4409417723521302E-5</v>
      </c>
      <c r="E223" s="73">
        <v>1.6708012245786399E-2</v>
      </c>
      <c r="F223" s="73">
        <v>5.63989821301052E-4</v>
      </c>
      <c r="G223" s="73">
        <v>0.30995502525648999</v>
      </c>
      <c r="H223" s="73">
        <v>-1.8524215433661999E-5</v>
      </c>
      <c r="I223" s="73">
        <v>0.223689054767469</v>
      </c>
      <c r="J223" s="73">
        <v>2.6892378255115101</v>
      </c>
      <c r="K223" s="73"/>
      <c r="L223" s="73"/>
      <c r="M223" s="73"/>
      <c r="O223" s="13">
        <f t="shared" ca="1" si="80"/>
        <v>1.2399559157457644E-4</v>
      </c>
      <c r="P223" s="13">
        <f t="shared" ca="1" si="81"/>
        <v>3.312194233868113E-5</v>
      </c>
      <c r="Q223" s="13">
        <f t="shared" ca="1" si="82"/>
        <v>1.5867272627813712E-2</v>
      </c>
      <c r="R223" s="13">
        <f t="shared" ca="1" si="83"/>
        <v>5.5421354241037086E-4</v>
      </c>
      <c r="S223" s="13">
        <f t="shared" ca="1" si="84"/>
        <v>0.30881994662324863</v>
      </c>
      <c r="T223" s="13">
        <f t="shared" ca="1" si="85"/>
        <v>-1.8874036944686086E-5</v>
      </c>
      <c r="U223" s="13">
        <f t="shared" ca="1" si="86"/>
        <v>0.22303521077268049</v>
      </c>
      <c r="V223" s="13">
        <f t="shared" ca="1" si="87"/>
        <v>2.682099044589056</v>
      </c>
      <c r="X223" s="3">
        <f t="shared" ca="1" si="88"/>
        <v>1.2399559157457644E-4</v>
      </c>
      <c r="Y223" s="3">
        <f t="shared" ca="1" si="89"/>
        <v>3.312194233868113E-5</v>
      </c>
      <c r="Z223" s="3">
        <f t="shared" ca="1" si="90"/>
        <v>1.5867272627813712E-2</v>
      </c>
      <c r="AA223" s="3">
        <f t="shared" ca="1" si="91"/>
        <v>5.5421354241037086E-4</v>
      </c>
      <c r="AB223" s="3">
        <f t="shared" ca="1" si="92"/>
        <v>0.30881994662324863</v>
      </c>
      <c r="AC223" s="3">
        <f t="shared" ca="1" si="93"/>
        <v>-1.8874036944686086E-5</v>
      </c>
      <c r="AD223" s="3">
        <f t="shared" ca="1" si="94"/>
        <v>0.22303521077268049</v>
      </c>
      <c r="AE223" s="3">
        <f t="shared" ca="1" si="95"/>
        <v>2.682099044589056</v>
      </c>
      <c r="AG223" s="3">
        <f t="shared" ca="1" si="96"/>
        <v>1.2399559157457644E-4</v>
      </c>
      <c r="AH223" s="3">
        <f t="shared" ca="1" si="97"/>
        <v>3.312194233868113E-5</v>
      </c>
      <c r="AI223" s="3">
        <f t="shared" ca="1" si="98"/>
        <v>1.5840593078947165E-2</v>
      </c>
      <c r="AJ223" s="3">
        <f t="shared" ca="1" si="99"/>
        <v>5.3948102378812259E-4</v>
      </c>
      <c r="AK223" s="3">
        <f t="shared" ca="1" si="100"/>
        <v>0.30881994662324863</v>
      </c>
      <c r="AL223" s="3">
        <f t="shared" ca="1" si="101"/>
        <v>-1.8874036944686086E-5</v>
      </c>
      <c r="AM223" s="3">
        <f t="shared" ca="1" si="102"/>
        <v>0.22303521077268049</v>
      </c>
      <c r="AN223" s="3">
        <f t="shared" ca="1" si="103"/>
        <v>2.682099044589056</v>
      </c>
      <c r="AP223" s="3">
        <f t="shared" ca="1" si="104"/>
        <v>8.6849929025508796</v>
      </c>
      <c r="AQ223" s="3">
        <f t="shared" ca="1" si="111"/>
        <v>0.40010687513454868</v>
      </c>
      <c r="AR223" s="3">
        <f t="shared" ca="1" si="105"/>
        <v>2.2174464861106214E-4</v>
      </c>
      <c r="AS223" s="3">
        <f t="shared" ca="1" si="106"/>
        <v>0.22281346612406944</v>
      </c>
      <c r="AT223" s="3">
        <f t="shared" ca="1" si="107"/>
        <v>0.70842275725147152</v>
      </c>
      <c r="AU223" s="3">
        <f t="shared" ca="1" si="108"/>
        <v>5.332581517952404E-2</v>
      </c>
      <c r="AV223" s="10">
        <f t="shared" ca="1" si="112"/>
        <v>0.70842275725147152</v>
      </c>
      <c r="AW223" s="10">
        <f t="shared" ca="1" si="113"/>
        <v>0.70842275725147152</v>
      </c>
      <c r="AY223" s="3">
        <f t="shared" ca="1" si="119"/>
        <v>8.6849929025508796</v>
      </c>
      <c r="AZ223" s="3">
        <f t="shared" ca="1" si="114"/>
        <v>0.40010687513454868</v>
      </c>
      <c r="BA223" s="3">
        <f t="shared" ca="1" si="109"/>
        <v>2.1585006662225284E-4</v>
      </c>
      <c r="BB223" s="3">
        <f t="shared" ca="1" si="115"/>
        <v>0.22281936070605823</v>
      </c>
      <c r="BC223" s="3">
        <f t="shared" ca="1" si="116"/>
        <v>0.70844149874002693</v>
      </c>
      <c r="BD223" s="3">
        <f t="shared" ca="1" si="110"/>
        <v>5.3236152089634427E-2</v>
      </c>
      <c r="BE223" s="3">
        <f t="shared" ca="1" si="117"/>
        <v>0.70844149874002693</v>
      </c>
      <c r="BF223" s="3">
        <f t="shared" ca="1" si="118"/>
        <v>0.70844149874002693</v>
      </c>
    </row>
    <row r="224" spans="1:58" ht="15" x14ac:dyDescent="0.25">
      <c r="A224" s="72">
        <v>158</v>
      </c>
      <c r="B224" s="72">
        <v>1498730202.72</v>
      </c>
      <c r="C224" s="73">
        <v>2.9827300797152399E-4</v>
      </c>
      <c r="D224" s="73">
        <v>-7.3699288320883295E-5</v>
      </c>
      <c r="E224" s="73">
        <v>1.6417398072669901E-2</v>
      </c>
      <c r="F224" s="73">
        <v>5.5518128446285396E-4</v>
      </c>
      <c r="G224" s="73">
        <v>0.30650342177307899</v>
      </c>
      <c r="H224" s="73">
        <v>-9.0223224559863793E-5</v>
      </c>
      <c r="I224" s="73">
        <v>0.221150784556053</v>
      </c>
      <c r="J224" s="73">
        <v>2.6610675058745699</v>
      </c>
      <c r="K224" s="73"/>
      <c r="L224" s="73"/>
      <c r="M224" s="73"/>
      <c r="O224" s="13">
        <f t="shared" ca="1" si="80"/>
        <v>3.3585778699962406E-5</v>
      </c>
      <c r="P224" s="13">
        <f t="shared" ca="1" si="81"/>
        <v>-8.4986763705723474E-5</v>
      </c>
      <c r="Q224" s="13">
        <f t="shared" ca="1" si="82"/>
        <v>1.5576658454697216E-2</v>
      </c>
      <c r="R224" s="13">
        <f t="shared" ca="1" si="83"/>
        <v>5.4540500557217282E-4</v>
      </c>
      <c r="S224" s="13">
        <f t="shared" ca="1" si="84"/>
        <v>0.30536834313983763</v>
      </c>
      <c r="T224" s="13">
        <f t="shared" ca="1" si="85"/>
        <v>-9.0573046070887883E-5</v>
      </c>
      <c r="U224" s="13">
        <f t="shared" ca="1" si="86"/>
        <v>0.22049694056126448</v>
      </c>
      <c r="V224" s="13">
        <f t="shared" ca="1" si="87"/>
        <v>2.6539287249521157</v>
      </c>
      <c r="X224" s="3">
        <f t="shared" ca="1" si="88"/>
        <v>3.3585778699962406E-5</v>
      </c>
      <c r="Y224" s="3">
        <f t="shared" ca="1" si="89"/>
        <v>-8.4986763705723474E-5</v>
      </c>
      <c r="Z224" s="3">
        <f t="shared" ca="1" si="90"/>
        <v>1.5576658454697216E-2</v>
      </c>
      <c r="AA224" s="3">
        <f t="shared" ca="1" si="91"/>
        <v>5.4540500557217282E-4</v>
      </c>
      <c r="AB224" s="3">
        <f t="shared" ca="1" si="92"/>
        <v>0.30536834313983763</v>
      </c>
      <c r="AC224" s="3">
        <f t="shared" ca="1" si="93"/>
        <v>-9.0573046070887883E-5</v>
      </c>
      <c r="AD224" s="3">
        <f t="shared" ca="1" si="94"/>
        <v>0.22049694056126448</v>
      </c>
      <c r="AE224" s="3">
        <f t="shared" ca="1" si="95"/>
        <v>2.6539287249521157</v>
      </c>
      <c r="AG224" s="3">
        <f t="shared" ca="1" si="96"/>
        <v>3.3585778699962406E-5</v>
      </c>
      <c r="AH224" s="3">
        <f t="shared" ca="1" si="97"/>
        <v>-8.4986763705723474E-5</v>
      </c>
      <c r="AI224" s="3">
        <f t="shared" ca="1" si="98"/>
        <v>1.5576658454697216E-2</v>
      </c>
      <c r="AJ224" s="3">
        <f t="shared" ca="1" si="99"/>
        <v>5.4540500557217282E-4</v>
      </c>
      <c r="AK224" s="3">
        <f t="shared" ca="1" si="100"/>
        <v>0.30536834313983763</v>
      </c>
      <c r="AL224" s="3">
        <f t="shared" ca="1" si="101"/>
        <v>-9.0573046070887883E-5</v>
      </c>
      <c r="AM224" s="3">
        <f t="shared" ca="1" si="102"/>
        <v>0.22049694056126448</v>
      </c>
      <c r="AN224" s="3">
        <f t="shared" ca="1" si="103"/>
        <v>2.6539287249521157</v>
      </c>
      <c r="AP224" s="3">
        <f t="shared" ca="1" si="104"/>
        <v>8.6909097965560882</v>
      </c>
      <c r="AQ224" s="3">
        <f t="shared" ca="1" si="111"/>
        <v>0.40038276637164466</v>
      </c>
      <c r="AR224" s="3">
        <f t="shared" ca="1" si="105"/>
        <v>2.1837076492392882E-4</v>
      </c>
      <c r="AS224" s="3">
        <f t="shared" ca="1" si="106"/>
        <v>0.22027856979634056</v>
      </c>
      <c r="AT224" s="3">
        <f t="shared" ca="1" si="107"/>
        <v>0.70803658410489179</v>
      </c>
      <c r="AU224" s="3">
        <f t="shared" ca="1" si="108"/>
        <v>5.2977748708592051E-2</v>
      </c>
      <c r="AV224" s="10">
        <f t="shared" ca="1" si="112"/>
        <v>0.70803658410489179</v>
      </c>
      <c r="AW224" s="10">
        <f t="shared" ca="1" si="113"/>
        <v>0.70803658410489179</v>
      </c>
      <c r="AY224" s="3">
        <f t="shared" ca="1" si="119"/>
        <v>8.6909097965560882</v>
      </c>
      <c r="AZ224" s="3">
        <f t="shared" ca="1" si="114"/>
        <v>0.40038276637164466</v>
      </c>
      <c r="BA224" s="3">
        <f t="shared" ca="1" si="109"/>
        <v>2.1837076492392882E-4</v>
      </c>
      <c r="BB224" s="3">
        <f t="shared" ca="1" si="115"/>
        <v>0.22027856979634056</v>
      </c>
      <c r="BC224" s="3">
        <f t="shared" ca="1" si="116"/>
        <v>0.70803658410489179</v>
      </c>
      <c r="BD224" s="3">
        <f t="shared" ca="1" si="110"/>
        <v>5.2977748708592051E-2</v>
      </c>
      <c r="BE224" s="3">
        <f t="shared" ca="1" si="117"/>
        <v>0.70803658410489179</v>
      </c>
      <c r="BF224" s="3">
        <f t="shared" ca="1" si="118"/>
        <v>0.70803658410489179</v>
      </c>
    </row>
    <row r="225" spans="1:58" ht="15" x14ac:dyDescent="0.25">
      <c r="A225" s="72">
        <v>159</v>
      </c>
      <c r="B225" s="72">
        <v>1498730203.247</v>
      </c>
      <c r="C225" s="73">
        <v>3.0089001909331802E-4</v>
      </c>
      <c r="D225" s="73">
        <v>-4.9617316264243402E-6</v>
      </c>
      <c r="E225" s="73">
        <v>1.6674939819160399E-2</v>
      </c>
      <c r="F225" s="73">
        <v>4.4543818938865801E-4</v>
      </c>
      <c r="G225" s="73">
        <v>0.31022528239649499</v>
      </c>
      <c r="H225" s="73">
        <v>-2.8885052230034902E-6</v>
      </c>
      <c r="I225" s="73">
        <v>0.223874642606881</v>
      </c>
      <c r="J225" s="73">
        <v>2.6911808878749701</v>
      </c>
      <c r="K225" s="73"/>
      <c r="L225" s="73"/>
      <c r="M225" s="73"/>
      <c r="O225" s="13">
        <f t="shared" ca="1" si="80"/>
        <v>3.6202789821756435E-5</v>
      </c>
      <c r="P225" s="13">
        <f t="shared" ca="1" si="81"/>
        <v>-1.6249207011264514E-5</v>
      </c>
      <c r="Q225" s="13">
        <f t="shared" ca="1" si="82"/>
        <v>1.5834200201187712E-2</v>
      </c>
      <c r="R225" s="13">
        <f t="shared" ca="1" si="83"/>
        <v>4.3566191049797687E-4</v>
      </c>
      <c r="S225" s="13">
        <f t="shared" ca="1" si="84"/>
        <v>0.30909020376325363</v>
      </c>
      <c r="T225" s="13">
        <f t="shared" ca="1" si="85"/>
        <v>-3.2383267340275766E-6</v>
      </c>
      <c r="U225" s="13">
        <f t="shared" ca="1" si="86"/>
        <v>0.22322079861209249</v>
      </c>
      <c r="V225" s="13">
        <f t="shared" ca="1" si="87"/>
        <v>2.684042106952516</v>
      </c>
      <c r="X225" s="3">
        <f t="shared" ca="1" si="88"/>
        <v>3.6202789821756435E-5</v>
      </c>
      <c r="Y225" s="3">
        <f t="shared" ca="1" si="89"/>
        <v>-1.6249207011264514E-5</v>
      </c>
      <c r="Z225" s="3">
        <f t="shared" ca="1" si="90"/>
        <v>1.5834200201187712E-2</v>
      </c>
      <c r="AA225" s="3">
        <f t="shared" ca="1" si="91"/>
        <v>4.3566191049797687E-4</v>
      </c>
      <c r="AB225" s="3">
        <f t="shared" ca="1" si="92"/>
        <v>0.30909020376325363</v>
      </c>
      <c r="AC225" s="3">
        <f t="shared" ca="1" si="93"/>
        <v>-3.2383267340275766E-6</v>
      </c>
      <c r="AD225" s="3">
        <f t="shared" ca="1" si="94"/>
        <v>0.22322079861209249</v>
      </c>
      <c r="AE225" s="3">
        <f t="shared" ca="1" si="95"/>
        <v>2.684042106952516</v>
      </c>
      <c r="AG225" s="3">
        <f t="shared" ca="1" si="96"/>
        <v>3.6202789821756435E-5</v>
      </c>
      <c r="AH225" s="3">
        <f t="shared" ca="1" si="97"/>
        <v>-1.6249207011264514E-5</v>
      </c>
      <c r="AI225" s="3">
        <f t="shared" ca="1" si="98"/>
        <v>1.5834200201187712E-2</v>
      </c>
      <c r="AJ225" s="3">
        <f t="shared" ca="1" si="99"/>
        <v>4.3566191049797687E-4</v>
      </c>
      <c r="AK225" s="3">
        <f t="shared" ca="1" si="100"/>
        <v>0.30909020376325363</v>
      </c>
      <c r="AL225" s="3">
        <f t="shared" ca="1" si="101"/>
        <v>-3.2383267340275766E-6</v>
      </c>
      <c r="AM225" s="3">
        <f t="shared" ca="1" si="102"/>
        <v>0.22322079861209249</v>
      </c>
      <c r="AN225" s="3">
        <f t="shared" ca="1" si="103"/>
        <v>2.684042106952516</v>
      </c>
      <c r="AP225" s="3">
        <f t="shared" ca="1" si="104"/>
        <v>8.6836854558106502</v>
      </c>
      <c r="AQ225" s="3">
        <f t="shared" ca="1" si="111"/>
        <v>0.40004591219030833</v>
      </c>
      <c r="AR225" s="3">
        <f t="shared" ca="1" si="105"/>
        <v>1.7428476639173561E-4</v>
      </c>
      <c r="AS225" s="3">
        <f t="shared" ca="1" si="106"/>
        <v>0.22304651384570076</v>
      </c>
      <c r="AT225" s="3">
        <f t="shared" ca="1" si="107"/>
        <v>0.70859737425257519</v>
      </c>
      <c r="AU225" s="3">
        <f t="shared" ca="1" si="108"/>
        <v>5.3159948258959831E-2</v>
      </c>
      <c r="AV225" s="10">
        <f t="shared" ca="1" si="112"/>
        <v>0.70859737425257519</v>
      </c>
      <c r="AW225" s="10">
        <f t="shared" ca="1" si="113"/>
        <v>0.70859737425257519</v>
      </c>
      <c r="AY225" s="3">
        <f t="shared" ca="1" si="119"/>
        <v>8.6836854558106502</v>
      </c>
      <c r="AZ225" s="3">
        <f t="shared" ca="1" si="114"/>
        <v>0.40004591219030833</v>
      </c>
      <c r="BA225" s="3">
        <f t="shared" ca="1" si="109"/>
        <v>1.7428476639173561E-4</v>
      </c>
      <c r="BB225" s="3">
        <f t="shared" ca="1" si="115"/>
        <v>0.22304651384570076</v>
      </c>
      <c r="BC225" s="3">
        <f t="shared" ca="1" si="116"/>
        <v>0.70859737425257519</v>
      </c>
      <c r="BD225" s="3">
        <f t="shared" ca="1" si="110"/>
        <v>5.3159948258959831E-2</v>
      </c>
      <c r="BE225" s="3">
        <f t="shared" ca="1" si="117"/>
        <v>0.70859737425257519</v>
      </c>
      <c r="BF225" s="3">
        <f t="shared" ca="1" si="118"/>
        <v>0.70859737425257519</v>
      </c>
    </row>
    <row r="226" spans="1:58" ht="15" x14ac:dyDescent="0.25">
      <c r="A226" s="72">
        <v>160</v>
      </c>
      <c r="B226" s="72">
        <v>1498730203.7750001</v>
      </c>
      <c r="C226" s="73">
        <v>2.5402276744150202E-4</v>
      </c>
      <c r="D226" s="73">
        <v>-5.3385592037237599E-5</v>
      </c>
      <c r="E226" s="73">
        <v>1.73363519359311E-2</v>
      </c>
      <c r="F226" s="73">
        <v>6.0041513617645995E-4</v>
      </c>
      <c r="G226" s="73">
        <v>0.32357262785123098</v>
      </c>
      <c r="H226" s="73">
        <v>-4.5892582855054403E-5</v>
      </c>
      <c r="I226" s="73">
        <v>0.23385212420920201</v>
      </c>
      <c r="J226" s="73">
        <v>2.8110461579267301</v>
      </c>
      <c r="K226" s="73"/>
      <c r="L226" s="73"/>
      <c r="M226" s="73"/>
      <c r="O226" s="13">
        <f t="shared" ca="1" si="80"/>
        <v>-1.0664461830059565E-5</v>
      </c>
      <c r="P226" s="13">
        <f t="shared" ca="1" si="81"/>
        <v>-6.4673067422077777E-5</v>
      </c>
      <c r="Q226" s="13">
        <f t="shared" ca="1" si="82"/>
        <v>1.6495612317958413E-2</v>
      </c>
      <c r="R226" s="13">
        <f t="shared" ca="1" si="83"/>
        <v>5.9063885728577882E-4</v>
      </c>
      <c r="S226" s="13">
        <f t="shared" ca="1" si="84"/>
        <v>0.32243754921798962</v>
      </c>
      <c r="T226" s="13">
        <f t="shared" ca="1" si="85"/>
        <v>-4.6242404366078492E-5</v>
      </c>
      <c r="U226" s="13">
        <f t="shared" ca="1" si="86"/>
        <v>0.23319828021441349</v>
      </c>
      <c r="V226" s="13">
        <f t="shared" ca="1" si="87"/>
        <v>2.8039073770042759</v>
      </c>
      <c r="X226" s="3">
        <f t="shared" ca="1" si="88"/>
        <v>-1.0664461830059565E-5</v>
      </c>
      <c r="Y226" s="3">
        <f t="shared" ca="1" si="89"/>
        <v>-6.4673067422077777E-5</v>
      </c>
      <c r="Z226" s="3">
        <f t="shared" ca="1" si="90"/>
        <v>1.6495612317958413E-2</v>
      </c>
      <c r="AA226" s="3">
        <f t="shared" ca="1" si="91"/>
        <v>5.9063885728577882E-4</v>
      </c>
      <c r="AB226" s="3">
        <f t="shared" ca="1" si="92"/>
        <v>0.32243754921798962</v>
      </c>
      <c r="AC226" s="3">
        <f t="shared" ca="1" si="93"/>
        <v>-4.6242404366078492E-5</v>
      </c>
      <c r="AD226" s="3">
        <f t="shared" ca="1" si="94"/>
        <v>0.23319828021441349</v>
      </c>
      <c r="AE226" s="3">
        <f t="shared" ca="1" si="95"/>
        <v>2.8039073770042759</v>
      </c>
      <c r="AG226" s="3">
        <f t="shared" ca="1" si="96"/>
        <v>-1.0664461830059565E-5</v>
      </c>
      <c r="AH226" s="3">
        <f t="shared" ca="1" si="97"/>
        <v>-6.4673067422077777E-5</v>
      </c>
      <c r="AI226" s="3">
        <f t="shared" ca="1" si="98"/>
        <v>1.6495612317958413E-2</v>
      </c>
      <c r="AJ226" s="3">
        <f t="shared" ca="1" si="99"/>
        <v>5.9063885728577882E-4</v>
      </c>
      <c r="AK226" s="3">
        <f t="shared" ca="1" si="100"/>
        <v>0.32243754921798962</v>
      </c>
      <c r="AL226" s="3">
        <f t="shared" ca="1" si="101"/>
        <v>-4.6242404366078492E-5</v>
      </c>
      <c r="AM226" s="3">
        <f t="shared" ca="1" si="102"/>
        <v>0.23319828021441349</v>
      </c>
      <c r="AN226" s="3">
        <f t="shared" ca="1" si="103"/>
        <v>2.8039073770042759</v>
      </c>
      <c r="AP226" s="3">
        <f t="shared" ca="1" si="104"/>
        <v>8.6959703787744793</v>
      </c>
      <c r="AQ226" s="3">
        <f t="shared" ca="1" si="111"/>
        <v>0.40061873155580768</v>
      </c>
      <c r="AR226" s="3">
        <f t="shared" ca="1" si="105"/>
        <v>2.3662098981340043E-4</v>
      </c>
      <c r="AS226" s="3">
        <f t="shared" ca="1" si="106"/>
        <v>0.2329616592246001</v>
      </c>
      <c r="AT226" s="3">
        <f t="shared" ca="1" si="107"/>
        <v>0.70895552115048599</v>
      </c>
      <c r="AU226" s="3">
        <f t="shared" ca="1" si="108"/>
        <v>5.316486694971298E-2</v>
      </c>
      <c r="AV226" s="10">
        <f t="shared" ca="1" si="112"/>
        <v>0.70895552115048599</v>
      </c>
      <c r="AW226" s="10">
        <f t="shared" ca="1" si="113"/>
        <v>0.70895552115048599</v>
      </c>
      <c r="AY226" s="3">
        <f t="shared" ca="1" si="119"/>
        <v>8.6959703787744793</v>
      </c>
      <c r="AZ226" s="3">
        <f t="shared" ca="1" si="114"/>
        <v>0.40061873155580768</v>
      </c>
      <c r="BA226" s="3">
        <f t="shared" ca="1" si="109"/>
        <v>2.3662098981340043E-4</v>
      </c>
      <c r="BB226" s="3">
        <f t="shared" ca="1" si="115"/>
        <v>0.2329616592246001</v>
      </c>
      <c r="BC226" s="3">
        <f t="shared" ca="1" si="116"/>
        <v>0.70895552115048599</v>
      </c>
      <c r="BD226" s="3">
        <f t="shared" ca="1" si="110"/>
        <v>5.316486694971298E-2</v>
      </c>
      <c r="BE226" s="3">
        <f t="shared" ca="1" si="117"/>
        <v>0.70895552115048599</v>
      </c>
      <c r="BF226" s="3">
        <f t="shared" ca="1" si="118"/>
        <v>0.70895552115048599</v>
      </c>
    </row>
    <row r="227" spans="1:58" ht="15" x14ac:dyDescent="0.25">
      <c r="A227" s="72">
        <v>161</v>
      </c>
      <c r="B227" s="72">
        <v>1498730204.302</v>
      </c>
      <c r="C227" s="73">
        <v>2.6639360495777303E-4</v>
      </c>
      <c r="D227" s="73">
        <v>-2.0315894471066399E-5</v>
      </c>
      <c r="E227" s="73">
        <v>1.76310958087482E-2</v>
      </c>
      <c r="F227" s="73">
        <v>5.8232134969356502E-4</v>
      </c>
      <c r="G227" s="73">
        <v>0.32875005365953203</v>
      </c>
      <c r="H227" s="73">
        <v>2.99734147843982E-5</v>
      </c>
      <c r="I227" s="73">
        <v>0.23735661014465301</v>
      </c>
      <c r="J227" s="73">
        <v>2.85326695072012</v>
      </c>
      <c r="K227" s="73"/>
      <c r="L227" s="73"/>
      <c r="M227" s="73"/>
      <c r="O227" s="13">
        <f t="shared" ca="1" si="80"/>
        <v>1.7063756862114427E-6</v>
      </c>
      <c r="P227" s="13">
        <f t="shared" ca="1" si="81"/>
        <v>-3.1603369855906571E-5</v>
      </c>
      <c r="Q227" s="13">
        <f t="shared" ca="1" si="82"/>
        <v>1.6790356190775513E-2</v>
      </c>
      <c r="R227" s="13">
        <f t="shared" ca="1" si="83"/>
        <v>5.7254507080288389E-4</v>
      </c>
      <c r="S227" s="13">
        <f t="shared" ca="1" si="84"/>
        <v>0.32761497502629067</v>
      </c>
      <c r="T227" s="13">
        <f t="shared" ca="1" si="85"/>
        <v>2.9623593273374113E-5</v>
      </c>
      <c r="U227" s="13">
        <f t="shared" ca="1" si="86"/>
        <v>0.23670276614986449</v>
      </c>
      <c r="V227" s="13">
        <f t="shared" ca="1" si="87"/>
        <v>2.8461281697976659</v>
      </c>
      <c r="X227" s="3">
        <f t="shared" ca="1" si="88"/>
        <v>1.7063756862114427E-6</v>
      </c>
      <c r="Y227" s="3">
        <f t="shared" ca="1" si="89"/>
        <v>-3.1603369855906571E-5</v>
      </c>
      <c r="Z227" s="3">
        <f t="shared" ca="1" si="90"/>
        <v>1.6790129548119405E-2</v>
      </c>
      <c r="AA227" s="3">
        <f t="shared" ca="1" si="91"/>
        <v>5.6705928833122009E-4</v>
      </c>
      <c r="AB227" s="3">
        <f t="shared" ca="1" si="92"/>
        <v>0.32757508076784653</v>
      </c>
      <c r="AC227" s="3">
        <f t="shared" ca="1" si="93"/>
        <v>2.9623593273374113E-5</v>
      </c>
      <c r="AD227" s="3">
        <f t="shared" ca="1" si="94"/>
        <v>0.23664385193670048</v>
      </c>
      <c r="AE227" s="3">
        <f t="shared" ca="1" si="95"/>
        <v>2.8461042637804899</v>
      </c>
      <c r="AG227" s="3">
        <f t="shared" ca="1" si="96"/>
        <v>1.7063756862114427E-6</v>
      </c>
      <c r="AH227" s="3">
        <f t="shared" ca="1" si="97"/>
        <v>-3.1603369855906571E-5</v>
      </c>
      <c r="AI227" s="3">
        <f t="shared" ca="1" si="98"/>
        <v>1.6790129548119405E-2</v>
      </c>
      <c r="AJ227" s="3">
        <f t="shared" ca="1" si="99"/>
        <v>5.6705928833122009E-4</v>
      </c>
      <c r="AK227" s="3">
        <f t="shared" ca="1" si="100"/>
        <v>0.32757508076784653</v>
      </c>
      <c r="AL227" s="3">
        <f t="shared" ca="1" si="101"/>
        <v>2.9623593273374113E-5</v>
      </c>
      <c r="AM227" s="3">
        <f t="shared" ca="1" si="102"/>
        <v>0.23664385193670048</v>
      </c>
      <c r="AN227" s="3">
        <f t="shared" ca="1" si="103"/>
        <v>2.8461042637804899</v>
      </c>
      <c r="AP227" s="3">
        <f t="shared" ca="1" si="104"/>
        <v>8.6874178128434689</v>
      </c>
      <c r="AQ227" s="3">
        <f t="shared" ca="1" si="111"/>
        <v>0.40021994288075824</v>
      </c>
      <c r="AR227" s="3">
        <f t="shared" ca="1" si="105"/>
        <v>2.2914395553338986E-4</v>
      </c>
      <c r="AS227" s="3">
        <f t="shared" ca="1" si="106"/>
        <v>0.2364736221943311</v>
      </c>
      <c r="AT227" s="3">
        <f t="shared" ca="1" si="107"/>
        <v>0.70862148473691489</v>
      </c>
      <c r="AU227" s="3">
        <f t="shared" ca="1" si="108"/>
        <v>5.320602173553704E-2</v>
      </c>
      <c r="AV227" s="10">
        <f t="shared" ca="1" si="112"/>
        <v>0.70862148473691489</v>
      </c>
      <c r="AW227" s="10">
        <f t="shared" ca="1" si="113"/>
        <v>0.70862148473691489</v>
      </c>
      <c r="AY227" s="3">
        <f t="shared" ca="1" si="119"/>
        <v>8.688402845262619</v>
      </c>
      <c r="AZ227" s="3">
        <f t="shared" ca="1" si="114"/>
        <v>0.40026587268733554</v>
      </c>
      <c r="BA227" s="3">
        <f t="shared" ca="1" si="109"/>
        <v>2.2697448090935524E-4</v>
      </c>
      <c r="BB227" s="3">
        <f t="shared" ca="1" si="115"/>
        <v>0.23641687745579112</v>
      </c>
      <c r="BC227" s="3">
        <f t="shared" ca="1" si="116"/>
        <v>0.70849726784688827</v>
      </c>
      <c r="BD227" s="3">
        <f t="shared" ca="1" si="110"/>
        <v>5.321795699964238E-2</v>
      </c>
      <c r="BE227" s="3">
        <f t="shared" ca="1" si="117"/>
        <v>0.70849726784688827</v>
      </c>
      <c r="BF227" s="3">
        <f t="shared" ca="1" si="118"/>
        <v>0.70849726784688827</v>
      </c>
    </row>
    <row r="228" spans="1:58" ht="15" x14ac:dyDescent="0.25">
      <c r="A228" s="72">
        <v>162</v>
      </c>
      <c r="B228" s="72">
        <v>1498730204.829</v>
      </c>
      <c r="C228" s="73">
        <v>3.0564823870450001E-4</v>
      </c>
      <c r="D228" s="73">
        <v>-7.0156231705106406E-5</v>
      </c>
      <c r="E228" s="73">
        <v>1.9696282980289099E-2</v>
      </c>
      <c r="F228" s="73">
        <v>7.4732024490700103E-4</v>
      </c>
      <c r="G228" s="73">
        <v>0.36972056363318601</v>
      </c>
      <c r="H228" s="73">
        <v>-3.1380901028909E-7</v>
      </c>
      <c r="I228" s="73">
        <v>0.26676781488516799</v>
      </c>
      <c r="J228" s="73">
        <v>3.2047491467314502</v>
      </c>
      <c r="K228" s="73"/>
      <c r="L228" s="73"/>
      <c r="M228" s="73"/>
      <c r="O228" s="13">
        <f t="shared" ca="1" si="80"/>
        <v>4.0961009432938429E-5</v>
      </c>
      <c r="P228" s="13">
        <f t="shared" ca="1" si="81"/>
        <v>-8.1443707089946585E-5</v>
      </c>
      <c r="Q228" s="13">
        <f t="shared" ca="1" si="82"/>
        <v>1.8855543362316412E-2</v>
      </c>
      <c r="R228" s="13">
        <f t="shared" ca="1" si="83"/>
        <v>7.375439660163199E-4</v>
      </c>
      <c r="S228" s="13">
        <f t="shared" ca="1" si="84"/>
        <v>0.36858548499994465</v>
      </c>
      <c r="T228" s="13">
        <f t="shared" ca="1" si="85"/>
        <v>-6.6363052131317662E-7</v>
      </c>
      <c r="U228" s="13">
        <f t="shared" ca="1" si="86"/>
        <v>0.26611397089037947</v>
      </c>
      <c r="V228" s="13">
        <f t="shared" ca="1" si="87"/>
        <v>3.197610365808996</v>
      </c>
      <c r="X228" s="3">
        <f t="shared" ca="1" si="88"/>
        <v>4.0961009432938429E-5</v>
      </c>
      <c r="Y228" s="3">
        <f t="shared" ca="1" si="89"/>
        <v>-8.1443707089946585E-5</v>
      </c>
      <c r="Z228" s="3">
        <f t="shared" ca="1" si="90"/>
        <v>1.8855543362316412E-2</v>
      </c>
      <c r="AA228" s="3">
        <f t="shared" ca="1" si="91"/>
        <v>7.375439660163199E-4</v>
      </c>
      <c r="AB228" s="3">
        <f t="shared" ca="1" si="92"/>
        <v>0.36858548499994465</v>
      </c>
      <c r="AC228" s="3">
        <f t="shared" ca="1" si="93"/>
        <v>-6.6363052131317662E-7</v>
      </c>
      <c r="AD228" s="3">
        <f t="shared" ca="1" si="94"/>
        <v>0.26611397089037947</v>
      </c>
      <c r="AE228" s="3">
        <f t="shared" ca="1" si="95"/>
        <v>3.197610365808996</v>
      </c>
      <c r="AG228" s="3">
        <f t="shared" ca="1" si="96"/>
        <v>4.0961009432938429E-5</v>
      </c>
      <c r="AH228" s="3">
        <f t="shared" ca="1" si="97"/>
        <v>-8.1443707089946585E-5</v>
      </c>
      <c r="AI228" s="3">
        <f t="shared" ca="1" si="98"/>
        <v>1.8855543362316412E-2</v>
      </c>
      <c r="AJ228" s="3">
        <f t="shared" ca="1" si="99"/>
        <v>7.375439660163199E-4</v>
      </c>
      <c r="AK228" s="3">
        <f t="shared" ca="1" si="100"/>
        <v>0.36858548499994465</v>
      </c>
      <c r="AL228" s="3">
        <f t="shared" ca="1" si="101"/>
        <v>-6.6363052131317662E-7</v>
      </c>
      <c r="AM228" s="3">
        <f t="shared" ca="1" si="102"/>
        <v>0.26611397089037947</v>
      </c>
      <c r="AN228" s="3">
        <f t="shared" ca="1" si="103"/>
        <v>3.197610365808996</v>
      </c>
      <c r="AP228" s="3">
        <f t="shared" ca="1" si="104"/>
        <v>8.6753561817809413</v>
      </c>
      <c r="AQ228" s="3">
        <f t="shared" ca="1" si="111"/>
        <v>0.39965754176237062</v>
      </c>
      <c r="AR228" s="3">
        <f t="shared" ca="1" si="105"/>
        <v>2.9476500839975182E-4</v>
      </c>
      <c r="AS228" s="3">
        <f t="shared" ca="1" si="106"/>
        <v>0.26581920588197971</v>
      </c>
      <c r="AT228" s="3">
        <f t="shared" ca="1" si="107"/>
        <v>0.7085122275224196</v>
      </c>
      <c r="AU228" s="3">
        <f t="shared" ca="1" si="108"/>
        <v>5.3033223169235567E-2</v>
      </c>
      <c r="AV228" s="10">
        <f t="shared" ca="1" si="112"/>
        <v>0.7085122275224196</v>
      </c>
      <c r="AW228" s="10">
        <f t="shared" ca="1" si="113"/>
        <v>0.7085122275224196</v>
      </c>
      <c r="AY228" s="3">
        <f t="shared" ca="1" si="119"/>
        <v>8.6753561817809413</v>
      </c>
      <c r="AZ228" s="3">
        <f t="shared" ca="1" si="114"/>
        <v>0.39965754176237062</v>
      </c>
      <c r="BA228" s="3">
        <f t="shared" ca="1" si="109"/>
        <v>2.9476500839975182E-4</v>
      </c>
      <c r="BB228" s="3">
        <f t="shared" ca="1" si="115"/>
        <v>0.26581920588197971</v>
      </c>
      <c r="BC228" s="3">
        <f t="shared" ca="1" si="116"/>
        <v>0.7085122275224196</v>
      </c>
      <c r="BD228" s="3">
        <f t="shared" ca="1" si="110"/>
        <v>5.3033223169235567E-2</v>
      </c>
      <c r="BE228" s="3">
        <f t="shared" ca="1" si="117"/>
        <v>0.7085122275224196</v>
      </c>
      <c r="BF228" s="3">
        <f t="shared" ca="1" si="118"/>
        <v>0.7085122275224196</v>
      </c>
    </row>
    <row r="229" spans="1:58" ht="15" x14ac:dyDescent="0.25">
      <c r="A229" s="72">
        <v>163</v>
      </c>
      <c r="B229" s="72">
        <v>1498730205.3559999</v>
      </c>
      <c r="C229" s="73">
        <v>3.8202076581015298E-4</v>
      </c>
      <c r="D229" s="73">
        <v>-3.7795729088294803E-5</v>
      </c>
      <c r="E229" s="73">
        <v>2.0994602702833601E-2</v>
      </c>
      <c r="F229" s="73">
        <v>6.5826983696225499E-4</v>
      </c>
      <c r="G229" s="73">
        <v>0.39456703899595402</v>
      </c>
      <c r="H229" s="73">
        <v>2.1632874280282399E-5</v>
      </c>
      <c r="I229" s="73">
        <v>0.284948380510261</v>
      </c>
      <c r="J229" s="73">
        <v>3.4247218399605401</v>
      </c>
      <c r="K229" s="73"/>
      <c r="L229" s="73"/>
      <c r="M229" s="73"/>
      <c r="O229" s="13">
        <f t="shared" ca="1" si="80"/>
        <v>1.173335365385914E-4</v>
      </c>
      <c r="P229" s="13">
        <f t="shared" ca="1" si="81"/>
        <v>-4.9083204473134975E-5</v>
      </c>
      <c r="Q229" s="13">
        <f t="shared" ca="1" si="82"/>
        <v>2.0153863084860914E-2</v>
      </c>
      <c r="R229" s="13">
        <f t="shared" ca="1" si="83"/>
        <v>6.4849355807157386E-4</v>
      </c>
      <c r="S229" s="13">
        <f t="shared" ca="1" si="84"/>
        <v>0.39343196036271266</v>
      </c>
      <c r="T229" s="13">
        <f t="shared" ca="1" si="85"/>
        <v>2.1283052769258313E-5</v>
      </c>
      <c r="U229" s="13">
        <f t="shared" ca="1" si="86"/>
        <v>0.28429453651547248</v>
      </c>
      <c r="V229" s="13">
        <f t="shared" ca="1" si="87"/>
        <v>3.417583059038086</v>
      </c>
      <c r="X229" s="3">
        <f t="shared" ca="1" si="88"/>
        <v>1.173335365385914E-4</v>
      </c>
      <c r="Y229" s="3">
        <f t="shared" ca="1" si="89"/>
        <v>-4.9083204473134975E-5</v>
      </c>
      <c r="Z229" s="3">
        <f t="shared" ca="1" si="90"/>
        <v>2.0153700253580955E-2</v>
      </c>
      <c r="AA229" s="3">
        <f t="shared" ca="1" si="91"/>
        <v>6.4455230095439514E-4</v>
      </c>
      <c r="AB229" s="3">
        <f t="shared" ca="1" si="92"/>
        <v>0.39340329835672905</v>
      </c>
      <c r="AC229" s="3">
        <f t="shared" ca="1" si="93"/>
        <v>2.1283052769258313E-5</v>
      </c>
      <c r="AD229" s="3">
        <f t="shared" ca="1" si="94"/>
        <v>0.28425220963446052</v>
      </c>
      <c r="AE229" s="3">
        <f t="shared" ca="1" si="95"/>
        <v>3.4175658837744249</v>
      </c>
      <c r="AG229" s="3">
        <f t="shared" ca="1" si="96"/>
        <v>1.173335365385914E-4</v>
      </c>
      <c r="AH229" s="3">
        <f t="shared" ca="1" si="97"/>
        <v>-4.9083204473134975E-5</v>
      </c>
      <c r="AI229" s="3">
        <f t="shared" ca="1" si="98"/>
        <v>2.0153700253580955E-2</v>
      </c>
      <c r="AJ229" s="3">
        <f t="shared" ca="1" si="99"/>
        <v>6.4455230095439514E-4</v>
      </c>
      <c r="AK229" s="3">
        <f t="shared" ca="1" si="100"/>
        <v>0.39340329835672905</v>
      </c>
      <c r="AL229" s="3">
        <f t="shared" ca="1" si="101"/>
        <v>2.1283052769258313E-5</v>
      </c>
      <c r="AM229" s="3">
        <f t="shared" ca="1" si="102"/>
        <v>0.28425220963446052</v>
      </c>
      <c r="AN229" s="3">
        <f t="shared" ca="1" si="103"/>
        <v>3.4175658837744249</v>
      </c>
      <c r="AP229" s="3">
        <f t="shared" ca="1" si="104"/>
        <v>8.6865923548441497</v>
      </c>
      <c r="AQ229" s="3">
        <f t="shared" ca="1" si="111"/>
        <v>0.40018145371269292</v>
      </c>
      <c r="AR229" s="3">
        <f t="shared" ca="1" si="105"/>
        <v>2.5951509479239907E-4</v>
      </c>
      <c r="AS229" s="3">
        <f t="shared" ca="1" si="106"/>
        <v>0.2840350214206801</v>
      </c>
      <c r="AT229" s="3">
        <f t="shared" ca="1" si="107"/>
        <v>0.70879132516060805</v>
      </c>
      <c r="AU229" s="3">
        <f t="shared" ca="1" si="108"/>
        <v>5.3175436417990558E-2</v>
      </c>
      <c r="AV229" s="10">
        <f t="shared" ca="1" si="112"/>
        <v>0.70879132516060805</v>
      </c>
      <c r="AW229" s="10">
        <f t="shared" ca="1" si="113"/>
        <v>0.70879132516060805</v>
      </c>
      <c r="AY229" s="3">
        <f t="shared" ca="1" si="119"/>
        <v>8.6871815718114664</v>
      </c>
      <c r="AZ229" s="3">
        <f t="shared" ca="1" si="114"/>
        <v>0.40020892751167553</v>
      </c>
      <c r="BA229" s="3">
        <f t="shared" ca="1" si="109"/>
        <v>2.5795558509014119E-4</v>
      </c>
      <c r="BB229" s="3">
        <f t="shared" ca="1" si="115"/>
        <v>0.2839942540493704</v>
      </c>
      <c r="BC229" s="3">
        <f t="shared" ca="1" si="116"/>
        <v>0.70871701676594334</v>
      </c>
      <c r="BD229" s="3">
        <f t="shared" ca="1" si="110"/>
        <v>5.3182571966935321E-2</v>
      </c>
      <c r="BE229" s="3">
        <f t="shared" ca="1" si="117"/>
        <v>0.70871701676594334</v>
      </c>
      <c r="BF229" s="3">
        <f t="shared" ca="1" si="118"/>
        <v>0.70871701676594334</v>
      </c>
    </row>
    <row r="230" spans="1:58" ht="15" x14ac:dyDescent="0.25">
      <c r="A230" s="72">
        <v>164</v>
      </c>
      <c r="B230" s="72">
        <v>1498730205.882</v>
      </c>
      <c r="C230" s="73">
        <v>3.4276312981436601E-4</v>
      </c>
      <c r="D230" s="73">
        <v>-4.9617316264243402E-6</v>
      </c>
      <c r="E230" s="73">
        <v>2.1138586528621901E-2</v>
      </c>
      <c r="F230" s="73">
        <v>6.2850876992152905E-4</v>
      </c>
      <c r="G230" s="73">
        <v>0.39704946588969398</v>
      </c>
      <c r="H230" s="73">
        <v>-3.4228300702459499E-5</v>
      </c>
      <c r="I230" s="73">
        <v>0.28690179533520799</v>
      </c>
      <c r="J230" s="73">
        <v>3.4496755169953701</v>
      </c>
      <c r="K230" s="73"/>
      <c r="L230" s="73"/>
      <c r="M230" s="73"/>
      <c r="O230" s="13">
        <f t="shared" ca="1" si="80"/>
        <v>7.8075900542804431E-5</v>
      </c>
      <c r="P230" s="13">
        <f t="shared" ca="1" si="81"/>
        <v>-1.6249207011264514E-5</v>
      </c>
      <c r="Q230" s="13">
        <f t="shared" ca="1" si="82"/>
        <v>2.0297846910649214E-2</v>
      </c>
      <c r="R230" s="13">
        <f t="shared" ca="1" si="83"/>
        <v>6.1873249103084791E-4</v>
      </c>
      <c r="S230" s="13">
        <f t="shared" ca="1" si="84"/>
        <v>0.39591438725645262</v>
      </c>
      <c r="T230" s="13">
        <f t="shared" ca="1" si="85"/>
        <v>-3.4578122213483589E-5</v>
      </c>
      <c r="U230" s="13">
        <f t="shared" ca="1" si="86"/>
        <v>0.28624795134041947</v>
      </c>
      <c r="V230" s="13">
        <f t="shared" ca="1" si="87"/>
        <v>3.442536736072916</v>
      </c>
      <c r="X230" s="3">
        <f t="shared" ca="1" si="88"/>
        <v>7.8075900542804431E-5</v>
      </c>
      <c r="Y230" s="3">
        <f t="shared" ca="1" si="89"/>
        <v>-1.6249207011264514E-5</v>
      </c>
      <c r="Z230" s="3">
        <f t="shared" ca="1" si="90"/>
        <v>2.0297846910649214E-2</v>
      </c>
      <c r="AA230" s="3">
        <f t="shared" ca="1" si="91"/>
        <v>6.1873249103084791E-4</v>
      </c>
      <c r="AB230" s="3">
        <f t="shared" ca="1" si="92"/>
        <v>0.39591438725645262</v>
      </c>
      <c r="AC230" s="3">
        <f t="shared" ca="1" si="93"/>
        <v>-3.4578122213483589E-5</v>
      </c>
      <c r="AD230" s="3">
        <f t="shared" ca="1" si="94"/>
        <v>0.28624795134041947</v>
      </c>
      <c r="AE230" s="3">
        <f t="shared" ca="1" si="95"/>
        <v>3.442536736072916</v>
      </c>
      <c r="AG230" s="3">
        <f t="shared" ca="1" si="96"/>
        <v>7.8075900542804431E-5</v>
      </c>
      <c r="AH230" s="3">
        <f t="shared" ca="1" si="97"/>
        <v>-1.6249207011264514E-5</v>
      </c>
      <c r="AI230" s="3">
        <f t="shared" ca="1" si="98"/>
        <v>2.0297846910649214E-2</v>
      </c>
      <c r="AJ230" s="3">
        <f t="shared" ca="1" si="99"/>
        <v>6.1873249103084791E-4</v>
      </c>
      <c r="AK230" s="3">
        <f t="shared" ca="1" si="100"/>
        <v>0.39591438725645262</v>
      </c>
      <c r="AL230" s="3">
        <f t="shared" ca="1" si="101"/>
        <v>-3.4578122213483589E-5</v>
      </c>
      <c r="AM230" s="3">
        <f t="shared" ca="1" si="102"/>
        <v>0.28624795134041947</v>
      </c>
      <c r="AN230" s="3">
        <f t="shared" ca="1" si="103"/>
        <v>3.442536736072916</v>
      </c>
      <c r="AP230" s="3">
        <f t="shared" ca="1" si="104"/>
        <v>8.6951544244918306</v>
      </c>
      <c r="AQ230" s="3">
        <f t="shared" ca="1" si="111"/>
        <v>0.40058068506939071</v>
      </c>
      <c r="AR230" s="3">
        <f t="shared" ca="1" si="105"/>
        <v>2.4785228513182772E-4</v>
      </c>
      <c r="AS230" s="3">
        <f t="shared" ca="1" si="106"/>
        <v>0.28600009905528762</v>
      </c>
      <c r="AT230" s="3">
        <f t="shared" ca="1" si="107"/>
        <v>0.70886832670270883</v>
      </c>
      <c r="AU230" s="3">
        <f t="shared" ca="1" si="108"/>
        <v>5.3273212980830681E-2</v>
      </c>
      <c r="AV230" s="10">
        <f t="shared" ca="1" si="112"/>
        <v>0.70886832670270883</v>
      </c>
      <c r="AW230" s="10">
        <f t="shared" ca="1" si="113"/>
        <v>0.70886832670270883</v>
      </c>
      <c r="AY230" s="3">
        <f t="shared" ca="1" si="119"/>
        <v>8.6951544244918306</v>
      </c>
      <c r="AZ230" s="3">
        <f t="shared" ca="1" si="114"/>
        <v>0.40058068506939071</v>
      </c>
      <c r="BA230" s="3">
        <f t="shared" ca="1" si="109"/>
        <v>2.4785228513182772E-4</v>
      </c>
      <c r="BB230" s="3">
        <f t="shared" ca="1" si="115"/>
        <v>0.28600009905528762</v>
      </c>
      <c r="BC230" s="3">
        <f t="shared" ca="1" si="116"/>
        <v>0.70886832670270883</v>
      </c>
      <c r="BD230" s="3">
        <f t="shared" ca="1" si="110"/>
        <v>5.3273212980830681E-2</v>
      </c>
      <c r="BE230" s="3">
        <f t="shared" ca="1" si="117"/>
        <v>0.70886832670270883</v>
      </c>
      <c r="BF230" s="3">
        <f t="shared" ca="1" si="118"/>
        <v>0.70886832670270883</v>
      </c>
    </row>
    <row r="231" spans="1:58" ht="15" x14ac:dyDescent="0.25">
      <c r="A231" s="72">
        <v>165</v>
      </c>
      <c r="B231" s="72">
        <v>1498730206.4089999</v>
      </c>
      <c r="C231" s="73">
        <v>4.1033480665855998E-4</v>
      </c>
      <c r="D231" s="73">
        <v>3.5422146552452398E-6</v>
      </c>
      <c r="E231" s="73">
        <v>1.9176356961864899E-2</v>
      </c>
      <c r="F231" s="73">
        <v>6.5398418866218996E-4</v>
      </c>
      <c r="G231" s="73">
        <v>0.35837827457009602</v>
      </c>
      <c r="H231" s="73">
        <v>1.7049419753499498E-5</v>
      </c>
      <c r="I231" s="73">
        <v>0.25908171492918503</v>
      </c>
      <c r="J231" s="73">
        <v>3.1171546178118299</v>
      </c>
      <c r="K231" s="73"/>
      <c r="L231" s="73"/>
      <c r="M231" s="73"/>
      <c r="O231" s="13">
        <f t="shared" ca="1" si="80"/>
        <v>1.456475773869984E-4</v>
      </c>
      <c r="P231" s="13">
        <f t="shared" ca="1" si="81"/>
        <v>-7.7452607295949334E-6</v>
      </c>
      <c r="Q231" s="13">
        <f t="shared" ca="1" si="82"/>
        <v>1.8335617343892212E-2</v>
      </c>
      <c r="R231" s="13">
        <f t="shared" ca="1" si="83"/>
        <v>6.4420790977150883E-4</v>
      </c>
      <c r="S231" s="13">
        <f t="shared" ca="1" si="84"/>
        <v>0.35724319593685466</v>
      </c>
      <c r="T231" s="13">
        <f t="shared" ca="1" si="85"/>
        <v>1.6699598242475412E-5</v>
      </c>
      <c r="U231" s="13">
        <f t="shared" ca="1" si="86"/>
        <v>0.25842787093439651</v>
      </c>
      <c r="V231" s="13">
        <f t="shared" ca="1" si="87"/>
        <v>3.1100158368893758</v>
      </c>
      <c r="X231" s="3">
        <f t="shared" ca="1" si="88"/>
        <v>1.456475773869984E-4</v>
      </c>
      <c r="Y231" s="3">
        <f t="shared" ca="1" si="89"/>
        <v>-7.7452607295949334E-6</v>
      </c>
      <c r="Z231" s="3">
        <f t="shared" ca="1" si="90"/>
        <v>1.8335489579469219E-2</v>
      </c>
      <c r="AA231" s="3">
        <f t="shared" ca="1" si="91"/>
        <v>6.4111542998767593E-4</v>
      </c>
      <c r="AB231" s="3">
        <f t="shared" ca="1" si="92"/>
        <v>0.3572207064946708</v>
      </c>
      <c r="AC231" s="3">
        <f t="shared" ca="1" si="93"/>
        <v>1.6699598242475412E-5</v>
      </c>
      <c r="AD231" s="3">
        <f t="shared" ca="1" si="94"/>
        <v>0.25839465944376028</v>
      </c>
      <c r="AE231" s="3">
        <f t="shared" ca="1" si="95"/>
        <v>3.110002360439077</v>
      </c>
      <c r="AG231" s="3">
        <f t="shared" ca="1" si="96"/>
        <v>1.456475773869984E-4</v>
      </c>
      <c r="AH231" s="3">
        <f t="shared" ca="1" si="97"/>
        <v>-7.7452607295949334E-6</v>
      </c>
      <c r="AI231" s="3">
        <f t="shared" ca="1" si="98"/>
        <v>1.8335489579469219E-2</v>
      </c>
      <c r="AJ231" s="3">
        <f t="shared" ca="1" si="99"/>
        <v>6.4111542998767593E-4</v>
      </c>
      <c r="AK231" s="3">
        <f t="shared" ca="1" si="100"/>
        <v>0.3572207064946708</v>
      </c>
      <c r="AL231" s="3">
        <f t="shared" ca="1" si="101"/>
        <v>1.6699598242475412E-5</v>
      </c>
      <c r="AM231" s="3">
        <f t="shared" ca="1" si="102"/>
        <v>0.25839465944376028</v>
      </c>
      <c r="AN231" s="3">
        <f t="shared" ca="1" si="103"/>
        <v>3.110002360439077</v>
      </c>
      <c r="AP231" s="3">
        <f t="shared" ca="1" si="104"/>
        <v>8.7055985173727244</v>
      </c>
      <c r="AQ231" s="3">
        <f t="shared" ca="1" si="111"/>
        <v>0.40106767767861018</v>
      </c>
      <c r="AR231" s="3">
        <f t="shared" ca="1" si="105"/>
        <v>2.5837097031425067E-4</v>
      </c>
      <c r="AS231" s="3">
        <f t="shared" ca="1" si="106"/>
        <v>0.25816949996408228</v>
      </c>
      <c r="AT231" s="3">
        <f t="shared" ca="1" si="107"/>
        <v>0.70872719726145339</v>
      </c>
      <c r="AU231" s="3">
        <f t="shared" ca="1" si="108"/>
        <v>5.3398029283138311E-2</v>
      </c>
      <c r="AV231" s="10">
        <f t="shared" ca="1" si="112"/>
        <v>0.70872719726145339</v>
      </c>
      <c r="AW231" s="10">
        <f t="shared" ca="1" si="113"/>
        <v>0.70872719726145339</v>
      </c>
      <c r="AY231" s="3">
        <f t="shared" ca="1" si="119"/>
        <v>8.7061088674194025</v>
      </c>
      <c r="AZ231" s="3">
        <f t="shared" ca="1" si="114"/>
        <v>0.40109147472838569</v>
      </c>
      <c r="BA231" s="3">
        <f t="shared" ca="1" si="109"/>
        <v>2.5714593328488006E-4</v>
      </c>
      <c r="BB231" s="3">
        <f t="shared" ca="1" si="115"/>
        <v>0.25813751351047542</v>
      </c>
      <c r="BC231" s="3">
        <f t="shared" ca="1" si="116"/>
        <v>0.70866308059689564</v>
      </c>
      <c r="BD231" s="3">
        <f t="shared" ca="1" si="110"/>
        <v>5.3404222268697586E-2</v>
      </c>
      <c r="BE231" s="3">
        <f t="shared" ca="1" si="117"/>
        <v>0.70866308059689564</v>
      </c>
      <c r="BF231" s="3">
        <f t="shared" ca="1" si="118"/>
        <v>0.70866308059689564</v>
      </c>
    </row>
    <row r="232" spans="1:58" ht="15" x14ac:dyDescent="0.25">
      <c r="A232" s="72">
        <v>166</v>
      </c>
      <c r="B232" s="72">
        <v>1498730206.9360001</v>
      </c>
      <c r="C232" s="73">
        <v>2.20717428176114E-4</v>
      </c>
      <c r="D232" s="73">
        <v>2.8818263045869799E-5</v>
      </c>
      <c r="E232" s="73">
        <v>1.8124137726983101E-2</v>
      </c>
      <c r="F232" s="73">
        <v>5.5946650889820504E-4</v>
      </c>
      <c r="G232" s="73">
        <v>0.33911953553993401</v>
      </c>
      <c r="H232" s="73">
        <v>-4.7686966021689498E-5</v>
      </c>
      <c r="I232" s="73">
        <v>0.244883203731045</v>
      </c>
      <c r="J232" s="73">
        <v>2.9441999570775401</v>
      </c>
      <c r="K232" s="73"/>
      <c r="L232" s="73"/>
      <c r="M232" s="73"/>
      <c r="O232" s="13">
        <f t="shared" ca="1" si="80"/>
        <v>-4.3969801095447586E-5</v>
      </c>
      <c r="P232" s="13">
        <f t="shared" ca="1" si="81"/>
        <v>1.7530787661029624E-5</v>
      </c>
      <c r="Q232" s="13">
        <f t="shared" ca="1" si="82"/>
        <v>1.7283398109010414E-2</v>
      </c>
      <c r="R232" s="13">
        <f t="shared" ca="1" si="83"/>
        <v>5.4969023000752391E-4</v>
      </c>
      <c r="S232" s="13">
        <f t="shared" ca="1" si="84"/>
        <v>0.33798445690669265</v>
      </c>
      <c r="T232" s="13">
        <f t="shared" ca="1" si="85"/>
        <v>-4.8036787532713588E-5</v>
      </c>
      <c r="U232" s="13">
        <f t="shared" ca="1" si="86"/>
        <v>0.24422935973625648</v>
      </c>
      <c r="V232" s="13">
        <f t="shared" ca="1" si="87"/>
        <v>2.937061176155086</v>
      </c>
      <c r="X232" s="3">
        <f t="shared" ca="1" si="88"/>
        <v>-4.3969801095447586E-5</v>
      </c>
      <c r="Y232" s="3">
        <f t="shared" ca="1" si="89"/>
        <v>1.7530787661029624E-5</v>
      </c>
      <c r="Z232" s="3">
        <f t="shared" ca="1" si="90"/>
        <v>1.7283398109010414E-2</v>
      </c>
      <c r="AA232" s="3">
        <f t="shared" ca="1" si="91"/>
        <v>5.4969023000752391E-4</v>
      </c>
      <c r="AB232" s="3">
        <f t="shared" ca="1" si="92"/>
        <v>0.33798445690669265</v>
      </c>
      <c r="AC232" s="3">
        <f t="shared" ca="1" si="93"/>
        <v>-4.8036787532713588E-5</v>
      </c>
      <c r="AD232" s="3">
        <f t="shared" ca="1" si="94"/>
        <v>0.24422935973625648</v>
      </c>
      <c r="AE232" s="3">
        <f t="shared" ca="1" si="95"/>
        <v>2.937061176155086</v>
      </c>
      <c r="AG232" s="3">
        <f t="shared" ca="1" si="96"/>
        <v>-4.3969801095447586E-5</v>
      </c>
      <c r="AH232" s="3">
        <f t="shared" ca="1" si="97"/>
        <v>1.7530787661029624E-5</v>
      </c>
      <c r="AI232" s="3">
        <f t="shared" ca="1" si="98"/>
        <v>1.7269277152537239E-2</v>
      </c>
      <c r="AJ232" s="3">
        <f t="shared" ca="1" si="99"/>
        <v>5.4189259987346078E-4</v>
      </c>
      <c r="AK232" s="3">
        <f t="shared" ca="1" si="100"/>
        <v>0.33798445690669265</v>
      </c>
      <c r="AL232" s="3">
        <f t="shared" ca="1" si="101"/>
        <v>-4.8036787532713588E-5</v>
      </c>
      <c r="AM232" s="3">
        <f t="shared" ca="1" si="102"/>
        <v>0.24422935973625648</v>
      </c>
      <c r="AN232" s="3">
        <f t="shared" ca="1" si="103"/>
        <v>2.937061176155086</v>
      </c>
      <c r="AP232" s="3">
        <f t="shared" ca="1" si="104"/>
        <v>8.6899297175843806</v>
      </c>
      <c r="AQ232" s="3">
        <f t="shared" ca="1" si="111"/>
        <v>0.40033706737290758</v>
      </c>
      <c r="AR232" s="3">
        <f t="shared" ca="1" si="105"/>
        <v>2.2006137464475117E-4</v>
      </c>
      <c r="AS232" s="3">
        <f t="shared" ca="1" si="106"/>
        <v>0.24400929836161173</v>
      </c>
      <c r="AT232" s="3">
        <f t="shared" ca="1" si="107"/>
        <v>0.70866629151705984</v>
      </c>
      <c r="AU232" s="3">
        <f t="shared" ca="1" si="108"/>
        <v>5.3103788122030475E-2</v>
      </c>
      <c r="AV232" s="10">
        <f t="shared" ca="1" si="112"/>
        <v>0.70866629151705984</v>
      </c>
      <c r="AW232" s="10">
        <f t="shared" ca="1" si="113"/>
        <v>0.70866629151705984</v>
      </c>
      <c r="AY232" s="3">
        <f t="shared" ca="1" si="119"/>
        <v>8.6899297175843806</v>
      </c>
      <c r="AZ232" s="3">
        <f t="shared" ca="1" si="114"/>
        <v>0.40033706737290758</v>
      </c>
      <c r="BA232" s="3">
        <f t="shared" ca="1" si="109"/>
        <v>2.1693969426442173E-4</v>
      </c>
      <c r="BB232" s="3">
        <f t="shared" ca="1" si="115"/>
        <v>0.24401242004199206</v>
      </c>
      <c r="BC232" s="3">
        <f t="shared" ca="1" si="116"/>
        <v>0.70867535768655954</v>
      </c>
      <c r="BD232" s="3">
        <f t="shared" ca="1" si="110"/>
        <v>5.3060401036001313E-2</v>
      </c>
      <c r="BE232" s="3">
        <f t="shared" ca="1" si="117"/>
        <v>0.70867535768655954</v>
      </c>
      <c r="BF232" s="3">
        <f t="shared" ca="1" si="118"/>
        <v>0.70867535768655954</v>
      </c>
    </row>
    <row r="233" spans="1:58" ht="15" x14ac:dyDescent="0.25">
      <c r="A233" s="72">
        <v>167</v>
      </c>
      <c r="B233" s="72">
        <v>1498730207.4630001</v>
      </c>
      <c r="C233" s="73">
        <v>2.61397671358377E-4</v>
      </c>
      <c r="D233" s="73">
        <v>4.65355032527001E-5</v>
      </c>
      <c r="E233" s="73">
        <v>1.6731429142118798E-2</v>
      </c>
      <c r="F233" s="73">
        <v>4.26871135912406E-4</v>
      </c>
      <c r="G233" s="73">
        <v>0.31408550637351301</v>
      </c>
      <c r="H233" s="73">
        <v>-5.93260578185308E-5</v>
      </c>
      <c r="I233" s="73">
        <v>0.22717463475077701</v>
      </c>
      <c r="J233" s="73">
        <v>2.7326455722863399</v>
      </c>
      <c r="K233" s="73"/>
      <c r="L233" s="73"/>
      <c r="M233" s="73"/>
      <c r="O233" s="13">
        <f t="shared" ca="1" si="80"/>
        <v>-3.2895579131845794E-6</v>
      </c>
      <c r="P233" s="13">
        <f t="shared" ca="1" si="81"/>
        <v>3.5248027867859928E-5</v>
      </c>
      <c r="Q233" s="13">
        <f t="shared" ca="1" si="82"/>
        <v>1.5890689524146111E-2</v>
      </c>
      <c r="R233" s="13">
        <f t="shared" ca="1" si="83"/>
        <v>4.1709485702172487E-4</v>
      </c>
      <c r="S233" s="13">
        <f t="shared" ca="1" si="84"/>
        <v>0.31295042774027165</v>
      </c>
      <c r="T233" s="13">
        <f t="shared" ca="1" si="85"/>
        <v>-5.967587932955489E-5</v>
      </c>
      <c r="U233" s="13">
        <f t="shared" ca="1" si="86"/>
        <v>0.22652079075598849</v>
      </c>
      <c r="V233" s="13">
        <f t="shared" ca="1" si="87"/>
        <v>2.7255067913638857</v>
      </c>
      <c r="X233" s="3">
        <f t="shared" ca="1" si="88"/>
        <v>-3.2895579131845794E-6</v>
      </c>
      <c r="Y233" s="3">
        <f t="shared" ca="1" si="89"/>
        <v>3.5248027867859928E-5</v>
      </c>
      <c r="Z233" s="3">
        <f t="shared" ca="1" si="90"/>
        <v>1.5890689524146111E-2</v>
      </c>
      <c r="AA233" s="3">
        <f t="shared" ca="1" si="91"/>
        <v>4.1709485702172487E-4</v>
      </c>
      <c r="AB233" s="3">
        <f t="shared" ca="1" si="92"/>
        <v>0.31295042774027165</v>
      </c>
      <c r="AC233" s="3">
        <f t="shared" ca="1" si="93"/>
        <v>-5.967587932955489E-5</v>
      </c>
      <c r="AD233" s="3">
        <f t="shared" ca="1" si="94"/>
        <v>0.22652079075598849</v>
      </c>
      <c r="AE233" s="3">
        <f t="shared" ca="1" si="95"/>
        <v>2.7255067913638857</v>
      </c>
      <c r="AG233" s="3">
        <f t="shared" ca="1" si="96"/>
        <v>-3.2895579131845794E-6</v>
      </c>
      <c r="AH233" s="3">
        <f t="shared" ca="1" si="97"/>
        <v>3.5248027867859928E-5</v>
      </c>
      <c r="AI233" s="3">
        <f t="shared" ca="1" si="98"/>
        <v>1.5862297424663111E-2</v>
      </c>
      <c r="AJ233" s="3">
        <f t="shared" ca="1" si="99"/>
        <v>4.0141666334422659E-4</v>
      </c>
      <c r="AK233" s="3">
        <f t="shared" ca="1" si="100"/>
        <v>0.31295042774027165</v>
      </c>
      <c r="AL233" s="3">
        <f t="shared" ca="1" si="101"/>
        <v>-5.967587932955489E-5</v>
      </c>
      <c r="AM233" s="3">
        <f t="shared" ca="1" si="102"/>
        <v>0.22652079075598849</v>
      </c>
      <c r="AN233" s="3">
        <f t="shared" ca="1" si="103"/>
        <v>2.7255067913638857</v>
      </c>
      <c r="AP233" s="3">
        <f t="shared" ca="1" si="104"/>
        <v>8.7090687526584176</v>
      </c>
      <c r="AQ233" s="3">
        <f t="shared" ca="1" si="111"/>
        <v>0.40122949118800666</v>
      </c>
      <c r="AR233" s="3">
        <f t="shared" ca="1" si="105"/>
        <v>1.6735075725996107E-4</v>
      </c>
      <c r="AS233" s="3">
        <f t="shared" ca="1" si="106"/>
        <v>0.22635343999872853</v>
      </c>
      <c r="AT233" s="3">
        <f t="shared" ca="1" si="107"/>
        <v>0.70918985899498288</v>
      </c>
      <c r="AU233" s="3">
        <f t="shared" ca="1" si="108"/>
        <v>5.2849144307702461E-2</v>
      </c>
      <c r="AV233" s="10">
        <f t="shared" ca="1" si="112"/>
        <v>0.70918985899498288</v>
      </c>
      <c r="AW233" s="10">
        <f t="shared" ca="1" si="113"/>
        <v>0.70918985899498288</v>
      </c>
      <c r="AY233" s="3">
        <f t="shared" ca="1" si="119"/>
        <v>8.7090687526584176</v>
      </c>
      <c r="AZ233" s="3">
        <f t="shared" ca="1" si="114"/>
        <v>0.40122949118800666</v>
      </c>
      <c r="BA233" s="3">
        <f t="shared" ca="1" si="109"/>
        <v>1.6106020358799139E-4</v>
      </c>
      <c r="BB233" s="3">
        <f t="shared" ca="1" si="115"/>
        <v>0.2263597305524005</v>
      </c>
      <c r="BC233" s="3">
        <f t="shared" ca="1" si="116"/>
        <v>0.70920956798138768</v>
      </c>
      <c r="BD233" s="3">
        <f t="shared" ca="1" si="110"/>
        <v>5.2754718061409273E-2</v>
      </c>
      <c r="BE233" s="3">
        <f t="shared" ca="1" si="117"/>
        <v>0.70920956798138768</v>
      </c>
      <c r="BF233" s="3">
        <f t="shared" ca="1" si="118"/>
        <v>0.70920956798138768</v>
      </c>
    </row>
    <row r="234" spans="1:58" ht="15" x14ac:dyDescent="0.25">
      <c r="A234" s="72">
        <v>168</v>
      </c>
      <c r="B234" s="72">
        <v>1498730207.99</v>
      </c>
      <c r="C234" s="73">
        <v>2.4117629069371401E-4</v>
      </c>
      <c r="D234" s="73">
        <v>-1.70088640897956E-5</v>
      </c>
      <c r="E234" s="73">
        <v>1.55643815696086E-2</v>
      </c>
      <c r="F234" s="73">
        <v>6.10414474575002E-4</v>
      </c>
      <c r="G234" s="73">
        <v>0.28984576806424101</v>
      </c>
      <c r="H234" s="73">
        <v>1.31040383223868E-5</v>
      </c>
      <c r="I234" s="73">
        <v>0.20932569471651</v>
      </c>
      <c r="J234" s="73">
        <v>2.5194360812379202</v>
      </c>
      <c r="K234" s="73"/>
      <c r="L234" s="73"/>
      <c r="M234" s="73"/>
      <c r="O234" s="13">
        <f t="shared" ca="1" si="80"/>
        <v>-2.3510938577847573E-5</v>
      </c>
      <c r="P234" s="13">
        <f t="shared" ca="1" si="81"/>
        <v>-2.8296339474635775E-5</v>
      </c>
      <c r="Q234" s="13">
        <f t="shared" ca="1" si="82"/>
        <v>1.4723641951635915E-2</v>
      </c>
      <c r="R234" s="13">
        <f t="shared" ca="1" si="83"/>
        <v>6.0063819568432087E-4</v>
      </c>
      <c r="S234" s="13">
        <f t="shared" ca="1" si="84"/>
        <v>0.28871068943099965</v>
      </c>
      <c r="T234" s="13">
        <f t="shared" ca="1" si="85"/>
        <v>1.2754216811362714E-5</v>
      </c>
      <c r="U234" s="13">
        <f t="shared" ca="1" si="86"/>
        <v>0.20867185072172148</v>
      </c>
      <c r="V234" s="13">
        <f t="shared" ca="1" si="87"/>
        <v>2.5122973003154661</v>
      </c>
      <c r="X234" s="3">
        <f t="shared" ca="1" si="88"/>
        <v>-2.3510938577847573E-5</v>
      </c>
      <c r="Y234" s="3">
        <f t="shared" ca="1" si="89"/>
        <v>-2.8296339474635775E-5</v>
      </c>
      <c r="Z234" s="3">
        <f t="shared" ca="1" si="90"/>
        <v>1.4723544372333228E-2</v>
      </c>
      <c r="AA234" s="3">
        <f t="shared" ca="1" si="91"/>
        <v>5.9827633301702391E-4</v>
      </c>
      <c r="AB234" s="3">
        <f t="shared" ca="1" si="92"/>
        <v>0.28869351325601539</v>
      </c>
      <c r="AC234" s="3">
        <f t="shared" ca="1" si="93"/>
        <v>1.2754216811362714E-5</v>
      </c>
      <c r="AD234" s="3">
        <f t="shared" ca="1" si="94"/>
        <v>0.20864648564730157</v>
      </c>
      <c r="AE234" s="3">
        <f t="shared" ca="1" si="95"/>
        <v>2.5122870077583359</v>
      </c>
      <c r="AG234" s="3">
        <f t="shared" ca="1" si="96"/>
        <v>-2.3510938577847573E-5</v>
      </c>
      <c r="AH234" s="3">
        <f t="shared" ca="1" si="97"/>
        <v>-2.8296339474635775E-5</v>
      </c>
      <c r="AI234" s="3">
        <f t="shared" ca="1" si="98"/>
        <v>1.4723544372333228E-2</v>
      </c>
      <c r="AJ234" s="3">
        <f t="shared" ca="1" si="99"/>
        <v>5.9827633301702391E-4</v>
      </c>
      <c r="AK234" s="3">
        <f t="shared" ca="1" si="100"/>
        <v>0.28869351325601539</v>
      </c>
      <c r="AL234" s="3">
        <f t="shared" ca="1" si="101"/>
        <v>1.2754216811362714E-5</v>
      </c>
      <c r="AM234" s="3">
        <f t="shared" ca="1" si="102"/>
        <v>0.20864648564730157</v>
      </c>
      <c r="AN234" s="3">
        <f t="shared" ca="1" si="103"/>
        <v>2.5122870077583359</v>
      </c>
      <c r="AP234" s="3">
        <f t="shared" ca="1" si="104"/>
        <v>8.7017813759053499</v>
      </c>
      <c r="AQ234" s="3">
        <f t="shared" ca="1" si="111"/>
        <v>0.40088968919360246</v>
      </c>
      <c r="AR234" s="3">
        <f t="shared" ca="1" si="105"/>
        <v>2.4078965958569356E-4</v>
      </c>
      <c r="AS234" s="3">
        <f t="shared" ca="1" si="106"/>
        <v>0.2084310610621358</v>
      </c>
      <c r="AT234" s="3">
        <f t="shared" ca="1" si="107"/>
        <v>0.7081636403678131</v>
      </c>
      <c r="AU234" s="3">
        <f t="shared" ca="1" si="108"/>
        <v>5.3033604686277741E-2</v>
      </c>
      <c r="AV234" s="10">
        <f t="shared" ca="1" si="112"/>
        <v>0.7081636403678131</v>
      </c>
      <c r="AW234" s="10">
        <f t="shared" ca="1" si="113"/>
        <v>0.7081636403678131</v>
      </c>
      <c r="AY234" s="3">
        <f t="shared" ca="1" si="119"/>
        <v>8.7022634468770441</v>
      </c>
      <c r="AZ234" s="3">
        <f t="shared" ca="1" si="114"/>
        <v>0.40091216750184855</v>
      </c>
      <c r="BA234" s="3">
        <f t="shared" ca="1" si="109"/>
        <v>2.3985626143491282E-4</v>
      </c>
      <c r="BB234" s="3">
        <f t="shared" ca="1" si="115"/>
        <v>0.20840662938586665</v>
      </c>
      <c r="BC234" s="3">
        <f t="shared" ca="1" si="116"/>
        <v>0.70810300480771915</v>
      </c>
      <c r="BD234" s="3">
        <f t="shared" ca="1" si="110"/>
        <v>5.3039414976218266E-2</v>
      </c>
      <c r="BE234" s="3">
        <f t="shared" ca="1" si="117"/>
        <v>0.70810300480771915</v>
      </c>
      <c r="BF234" s="3">
        <f t="shared" ca="1" si="118"/>
        <v>0.70810300480771915</v>
      </c>
    </row>
    <row r="235" spans="1:58" ht="15" x14ac:dyDescent="0.25">
      <c r="A235" s="72">
        <v>169</v>
      </c>
      <c r="B235" s="72">
        <v>1498730208.517</v>
      </c>
      <c r="C235" s="73">
        <v>2.7305488863900202E-4</v>
      </c>
      <c r="D235" s="73">
        <v>-5.7164915860938897E-5</v>
      </c>
      <c r="E235" s="73">
        <v>1.66795264415995E-2</v>
      </c>
      <c r="F235" s="73">
        <v>4.0640016929726502E-4</v>
      </c>
      <c r="G235" s="73">
        <v>0.30924473228398602</v>
      </c>
      <c r="H235" s="73">
        <v>1.04218581727796E-4</v>
      </c>
      <c r="I235" s="73">
        <v>0.22304898855914401</v>
      </c>
      <c r="J235" s="73">
        <v>2.6806845672713999</v>
      </c>
      <c r="K235" s="73"/>
      <c r="L235" s="73"/>
      <c r="M235" s="73"/>
      <c r="O235" s="13">
        <f t="shared" ca="1" si="80"/>
        <v>8.3676593674404318E-6</v>
      </c>
      <c r="P235" s="13">
        <f t="shared" ca="1" si="81"/>
        <v>-6.8452391245779075E-5</v>
      </c>
      <c r="Q235" s="13">
        <f t="shared" ca="1" si="82"/>
        <v>1.5838786823626813E-2</v>
      </c>
      <c r="R235" s="13">
        <f t="shared" ca="1" si="83"/>
        <v>3.9662389040658389E-4</v>
      </c>
      <c r="S235" s="13">
        <f t="shared" ca="1" si="84"/>
        <v>0.30810965365074466</v>
      </c>
      <c r="T235" s="13">
        <f t="shared" ca="1" si="85"/>
        <v>1.0386876021677191E-4</v>
      </c>
      <c r="U235" s="13">
        <f t="shared" ca="1" si="86"/>
        <v>0.2223951445643555</v>
      </c>
      <c r="V235" s="13">
        <f t="shared" ca="1" si="87"/>
        <v>2.6735457863489458</v>
      </c>
      <c r="X235" s="3">
        <f t="shared" ca="1" si="88"/>
        <v>8.3676593674404318E-6</v>
      </c>
      <c r="Y235" s="3">
        <f t="shared" ca="1" si="89"/>
        <v>-6.8452391245779075E-5</v>
      </c>
      <c r="Z235" s="3">
        <f t="shared" ca="1" si="90"/>
        <v>1.5837992149885356E-2</v>
      </c>
      <c r="AA235" s="3">
        <f t="shared" ca="1" si="91"/>
        <v>3.7738917370991782E-4</v>
      </c>
      <c r="AB235" s="3">
        <f t="shared" ca="1" si="92"/>
        <v>0.3079697730114811</v>
      </c>
      <c r="AC235" s="3">
        <f t="shared" ca="1" si="93"/>
        <v>1.0386876021677191E-4</v>
      </c>
      <c r="AD235" s="3">
        <f t="shared" ca="1" si="94"/>
        <v>0.22218857454349342</v>
      </c>
      <c r="AE235" s="3">
        <f t="shared" ca="1" si="95"/>
        <v>2.6734619650399338</v>
      </c>
      <c r="AG235" s="3">
        <f t="shared" ca="1" si="96"/>
        <v>8.3676593674404318E-6</v>
      </c>
      <c r="AH235" s="3">
        <f t="shared" ca="1" si="97"/>
        <v>-6.8452391245779075E-5</v>
      </c>
      <c r="AI235" s="3">
        <f t="shared" ca="1" si="98"/>
        <v>1.5837992149885356E-2</v>
      </c>
      <c r="AJ235" s="3">
        <f t="shared" ca="1" si="99"/>
        <v>3.7738917370991782E-4</v>
      </c>
      <c r="AK235" s="3">
        <f t="shared" ca="1" si="100"/>
        <v>0.3079697730114811</v>
      </c>
      <c r="AL235" s="3">
        <f t="shared" ca="1" si="101"/>
        <v>1.0386876021677191E-4</v>
      </c>
      <c r="AM235" s="3">
        <f t="shared" ca="1" si="102"/>
        <v>0.22218857454349342</v>
      </c>
      <c r="AN235" s="3">
        <f t="shared" ca="1" si="103"/>
        <v>2.6734619650399338</v>
      </c>
      <c r="AP235" s="3">
        <f t="shared" ca="1" si="104"/>
        <v>8.6772542004786484</v>
      </c>
      <c r="AQ235" s="3">
        <f t="shared" ca="1" si="111"/>
        <v>0.39974604059415531</v>
      </c>
      <c r="AR235" s="3">
        <f t="shared" ca="1" si="105"/>
        <v>1.5854882979508209E-4</v>
      </c>
      <c r="AS235" s="3">
        <f t="shared" ca="1" si="106"/>
        <v>0.22223659573456042</v>
      </c>
      <c r="AT235" s="3">
        <f t="shared" ca="1" si="107"/>
        <v>0.70853555399152768</v>
      </c>
      <c r="AU235" s="3">
        <f t="shared" ca="1" si="108"/>
        <v>5.3304149935461162E-2</v>
      </c>
      <c r="AV235" s="10">
        <f t="shared" ca="1" si="112"/>
        <v>0.70853555399152768</v>
      </c>
      <c r="AW235" s="10">
        <f t="shared" ca="1" si="113"/>
        <v>0.70853555399152768</v>
      </c>
      <c r="AY235" s="3">
        <f t="shared" ca="1" si="119"/>
        <v>8.6809232571674073</v>
      </c>
      <c r="AZ235" s="3">
        <f t="shared" ca="1" si="114"/>
        <v>0.39991711819964326</v>
      </c>
      <c r="BA235" s="3">
        <f t="shared" ca="1" si="109"/>
        <v>1.509243907898149E-4</v>
      </c>
      <c r="BB235" s="3">
        <f t="shared" ca="1" si="115"/>
        <v>0.2220376501527036</v>
      </c>
      <c r="BC235" s="3">
        <f t="shared" ca="1" si="116"/>
        <v>0.70807204622905029</v>
      </c>
      <c r="BD235" s="3">
        <f t="shared" ca="1" si="110"/>
        <v>5.3348757581300268E-2</v>
      </c>
      <c r="BE235" s="3">
        <f t="shared" ca="1" si="117"/>
        <v>0.70807204622905029</v>
      </c>
      <c r="BF235" s="3">
        <f t="shared" ca="1" si="118"/>
        <v>0.70807204622905029</v>
      </c>
    </row>
    <row r="236" spans="1:58" ht="15" x14ac:dyDescent="0.25">
      <c r="A236" s="72">
        <v>170</v>
      </c>
      <c r="B236" s="72">
        <v>1498730209.0439999</v>
      </c>
      <c r="C236" s="73">
        <v>2.7519602497345902E-4</v>
      </c>
      <c r="D236" s="73">
        <v>-9.4721163991057201E-5</v>
      </c>
      <c r="E236" s="73">
        <v>1.72515685463005E-2</v>
      </c>
      <c r="F236" s="73">
        <v>5.1899567782999305E-4</v>
      </c>
      <c r="G236" s="73">
        <v>0.32255129953212203</v>
      </c>
      <c r="H236" s="73">
        <v>-5.8122077197049402E-5</v>
      </c>
      <c r="I236" s="73">
        <v>0.23280636987339701</v>
      </c>
      <c r="J236" s="73">
        <v>2.7997095036784598</v>
      </c>
      <c r="K236" s="73"/>
      <c r="L236" s="73"/>
      <c r="M236" s="73"/>
      <c r="O236" s="13">
        <f t="shared" ca="1" si="80"/>
        <v>1.050879570189744E-5</v>
      </c>
      <c r="P236" s="13">
        <f t="shared" ca="1" si="81"/>
        <v>-1.0600863937589738E-4</v>
      </c>
      <c r="Q236" s="13">
        <f t="shared" ca="1" si="82"/>
        <v>1.6410828928327813E-2</v>
      </c>
      <c r="R236" s="13">
        <f t="shared" ca="1" si="83"/>
        <v>5.0921939893931191E-4</v>
      </c>
      <c r="S236" s="13">
        <f t="shared" ca="1" si="84"/>
        <v>0.32141622089888067</v>
      </c>
      <c r="T236" s="13">
        <f t="shared" ca="1" si="85"/>
        <v>-5.8471898708073492E-5</v>
      </c>
      <c r="U236" s="13">
        <f t="shared" ca="1" si="86"/>
        <v>0.23215252587860849</v>
      </c>
      <c r="V236" s="13">
        <f t="shared" ca="1" si="87"/>
        <v>2.7925707227560057</v>
      </c>
      <c r="X236" s="3">
        <f t="shared" ca="1" si="88"/>
        <v>1.050879570189744E-5</v>
      </c>
      <c r="Y236" s="3">
        <f t="shared" ca="1" si="89"/>
        <v>-1.0600863937589738E-4</v>
      </c>
      <c r="Z236" s="3">
        <f t="shared" ca="1" si="90"/>
        <v>1.6410828928327813E-2</v>
      </c>
      <c r="AA236" s="3">
        <f t="shared" ca="1" si="91"/>
        <v>5.0921939893931191E-4</v>
      </c>
      <c r="AB236" s="3">
        <f t="shared" ca="1" si="92"/>
        <v>0.32141622089888067</v>
      </c>
      <c r="AC236" s="3">
        <f t="shared" ca="1" si="93"/>
        <v>-5.8471898708073492E-5</v>
      </c>
      <c r="AD236" s="3">
        <f t="shared" ca="1" si="94"/>
        <v>0.23215252587860849</v>
      </c>
      <c r="AE236" s="3">
        <f t="shared" ca="1" si="95"/>
        <v>2.7925707227560057</v>
      </c>
      <c r="AG236" s="3">
        <f t="shared" ca="1" si="96"/>
        <v>1.050879570189744E-5</v>
      </c>
      <c r="AH236" s="3">
        <f t="shared" ca="1" si="97"/>
        <v>-1.0600863937589738E-4</v>
      </c>
      <c r="AI236" s="3">
        <f t="shared" ca="1" si="98"/>
        <v>1.6410828928327813E-2</v>
      </c>
      <c r="AJ236" s="3">
        <f t="shared" ca="1" si="99"/>
        <v>5.0921939893931191E-4</v>
      </c>
      <c r="AK236" s="3">
        <f t="shared" ca="1" si="100"/>
        <v>0.32141622089888067</v>
      </c>
      <c r="AL236" s="3">
        <f t="shared" ca="1" si="101"/>
        <v>-5.8471898708073492E-5</v>
      </c>
      <c r="AM236" s="3">
        <f t="shared" ca="1" si="102"/>
        <v>0.23215252587860849</v>
      </c>
      <c r="AN236" s="3">
        <f t="shared" ca="1" si="103"/>
        <v>2.7925707227560057</v>
      </c>
      <c r="AP236" s="3">
        <f t="shared" ca="1" si="104"/>
        <v>8.6883316434566762</v>
      </c>
      <c r="AQ236" s="3">
        <f t="shared" ca="1" si="111"/>
        <v>0.4002625527080157</v>
      </c>
      <c r="AR236" s="3">
        <f t="shared" ca="1" si="105"/>
        <v>2.0382145650789041E-4</v>
      </c>
      <c r="AS236" s="3">
        <f t="shared" ca="1" si="106"/>
        <v>0.23194870442210061</v>
      </c>
      <c r="AT236" s="3">
        <f t="shared" ca="1" si="107"/>
        <v>0.70842929608936478</v>
      </c>
      <c r="AU236" s="3">
        <f t="shared" ca="1" si="108"/>
        <v>5.3011988361488474E-2</v>
      </c>
      <c r="AV236" s="10">
        <f t="shared" ca="1" si="112"/>
        <v>0.70842929608936478</v>
      </c>
      <c r="AW236" s="10">
        <f t="shared" ca="1" si="113"/>
        <v>0.70842929608936478</v>
      </c>
      <c r="AY236" s="3">
        <f t="shared" ca="1" si="119"/>
        <v>8.6883316434566762</v>
      </c>
      <c r="AZ236" s="3">
        <f t="shared" ca="1" si="114"/>
        <v>0.4002625527080157</v>
      </c>
      <c r="BA236" s="3">
        <f t="shared" ca="1" si="109"/>
        <v>2.0382145650789041E-4</v>
      </c>
      <c r="BB236" s="3">
        <f t="shared" ca="1" si="115"/>
        <v>0.23194870442210061</v>
      </c>
      <c r="BC236" s="3">
        <f t="shared" ca="1" si="116"/>
        <v>0.70842929608936478</v>
      </c>
      <c r="BD236" s="3">
        <f t="shared" ca="1" si="110"/>
        <v>5.3011988361488474E-2</v>
      </c>
      <c r="BE236" s="3">
        <f t="shared" ca="1" si="117"/>
        <v>0.70842929608936478</v>
      </c>
      <c r="BF236" s="3">
        <f t="shared" ca="1" si="118"/>
        <v>0.70842929608936478</v>
      </c>
    </row>
    <row r="237" spans="1:58" ht="15" x14ac:dyDescent="0.25">
      <c r="A237" s="72">
        <v>171</v>
      </c>
      <c r="B237" s="72">
        <v>1498730209.5710001</v>
      </c>
      <c r="C237" s="73">
        <v>3.1230978425013899E-4</v>
      </c>
      <c r="D237" s="73">
        <v>2.1495229501720999E-5</v>
      </c>
      <c r="E237" s="73">
        <v>1.6673008615923E-2</v>
      </c>
      <c r="F237" s="73">
        <v>4.8352553305153998E-4</v>
      </c>
      <c r="G237" s="73">
        <v>0.31257726350396298</v>
      </c>
      <c r="H237" s="73">
        <v>1.9979026058052098E-5</v>
      </c>
      <c r="I237" s="73">
        <v>0.22582165418042999</v>
      </c>
      <c r="J237" s="73">
        <v>2.7149447492548999</v>
      </c>
      <c r="K237" s="73"/>
      <c r="L237" s="73"/>
      <c r="M237" s="73"/>
      <c r="O237" s="13">
        <f t="shared" ca="1" si="80"/>
        <v>4.7622554978577402E-5</v>
      </c>
      <c r="P237" s="13">
        <f t="shared" ca="1" si="81"/>
        <v>1.0207754116880826E-5</v>
      </c>
      <c r="Q237" s="13">
        <f t="shared" ca="1" si="82"/>
        <v>1.5832268997950313E-2</v>
      </c>
      <c r="R237" s="13">
        <f t="shared" ca="1" si="83"/>
        <v>4.7374925416085884E-4</v>
      </c>
      <c r="S237" s="13">
        <f t="shared" ca="1" si="84"/>
        <v>0.31144218487072162</v>
      </c>
      <c r="T237" s="13">
        <f t="shared" ca="1" si="85"/>
        <v>1.9629204547028012E-5</v>
      </c>
      <c r="U237" s="13">
        <f t="shared" ca="1" si="86"/>
        <v>0.22516781018564147</v>
      </c>
      <c r="V237" s="13">
        <f t="shared" ca="1" si="87"/>
        <v>2.7078059683324458</v>
      </c>
      <c r="X237" s="3">
        <f t="shared" ca="1" si="88"/>
        <v>4.7622554978577402E-5</v>
      </c>
      <c r="Y237" s="3">
        <f t="shared" ca="1" si="89"/>
        <v>1.0207754116880826E-5</v>
      </c>
      <c r="Z237" s="3">
        <f t="shared" ca="1" si="90"/>
        <v>1.5832118819846842E-2</v>
      </c>
      <c r="AA237" s="3">
        <f t="shared" ca="1" si="91"/>
        <v>4.7011426142911706E-4</v>
      </c>
      <c r="AB237" s="3">
        <f t="shared" ca="1" si="92"/>
        <v>0.31141575011137201</v>
      </c>
      <c r="AC237" s="3">
        <f t="shared" ca="1" si="93"/>
        <v>1.9629204547028012E-5</v>
      </c>
      <c r="AD237" s="3">
        <f t="shared" ca="1" si="94"/>
        <v>0.2251287724115858</v>
      </c>
      <c r="AE237" s="3">
        <f t="shared" ca="1" si="95"/>
        <v>2.7077901277118728</v>
      </c>
      <c r="AG237" s="3">
        <f t="shared" ca="1" si="96"/>
        <v>4.7622554978577402E-5</v>
      </c>
      <c r="AH237" s="3">
        <f t="shared" ca="1" si="97"/>
        <v>1.0207754116880826E-5</v>
      </c>
      <c r="AI237" s="3">
        <f t="shared" ca="1" si="98"/>
        <v>1.5823896528050236E-2</v>
      </c>
      <c r="AJ237" s="3">
        <f t="shared" ca="1" si="99"/>
        <v>4.6557388979026387E-4</v>
      </c>
      <c r="AK237" s="3">
        <f t="shared" ca="1" si="100"/>
        <v>0.31141575011137201</v>
      </c>
      <c r="AL237" s="3">
        <f t="shared" ca="1" si="101"/>
        <v>1.9629204547028012E-5</v>
      </c>
      <c r="AM237" s="3">
        <f t="shared" ca="1" si="102"/>
        <v>0.2251287724115858</v>
      </c>
      <c r="AN237" s="3">
        <f t="shared" ca="1" si="103"/>
        <v>2.7077901277118728</v>
      </c>
      <c r="AP237" s="3">
        <f t="shared" ca="1" si="104"/>
        <v>8.6944097488156427</v>
      </c>
      <c r="AQ237" s="3">
        <f t="shared" ca="1" si="111"/>
        <v>0.40054596221449135</v>
      </c>
      <c r="AR237" s="3">
        <f t="shared" ca="1" si="105"/>
        <v>1.8975835085625884E-4</v>
      </c>
      <c r="AS237" s="3">
        <f t="shared" ca="1" si="106"/>
        <v>0.22497805183478523</v>
      </c>
      <c r="AT237" s="3">
        <f t="shared" ca="1" si="107"/>
        <v>0.70889533452713405</v>
      </c>
      <c r="AU237" s="3">
        <f t="shared" ca="1" si="108"/>
        <v>5.2818718978131188E-2</v>
      </c>
      <c r="AV237" s="10">
        <f t="shared" ca="1" si="112"/>
        <v>0.70889533452713405</v>
      </c>
      <c r="AW237" s="10">
        <f t="shared" ca="1" si="113"/>
        <v>0.70889533452713405</v>
      </c>
      <c r="AY237" s="3">
        <f t="shared" ca="1" si="119"/>
        <v>8.6950969138313727</v>
      </c>
      <c r="AZ237" s="3">
        <f t="shared" ca="1" si="114"/>
        <v>0.40057800345195743</v>
      </c>
      <c r="BA237" s="3">
        <f t="shared" ca="1" si="109"/>
        <v>1.8649865923154558E-4</v>
      </c>
      <c r="BB237" s="3">
        <f t="shared" ca="1" si="115"/>
        <v>0.22494227375235426</v>
      </c>
      <c r="BC237" s="3">
        <f t="shared" ca="1" si="116"/>
        <v>0.70881455358017675</v>
      </c>
      <c r="BD237" s="3">
        <f t="shared" ca="1" si="110"/>
        <v>5.2799538112998971E-2</v>
      </c>
      <c r="BE237" s="3">
        <f t="shared" ca="1" si="117"/>
        <v>0.70881455358017675</v>
      </c>
      <c r="BF237" s="3">
        <f t="shared" ca="1" si="118"/>
        <v>0.70881455358017675</v>
      </c>
    </row>
    <row r="238" spans="1:58" ht="15" x14ac:dyDescent="0.25">
      <c r="A238" s="72">
        <v>172</v>
      </c>
      <c r="B238" s="72">
        <v>1498730210.098</v>
      </c>
      <c r="C238" s="73">
        <v>2.7543392929406201E-4</v>
      </c>
      <c r="D238" s="73">
        <v>4.53543440628895E-5</v>
      </c>
      <c r="E238" s="73">
        <v>1.7331037669013501E-2</v>
      </c>
      <c r="F238" s="73">
        <v>5.81845201843519E-4</v>
      </c>
      <c r="G238" s="73">
        <v>0.32231080086687902</v>
      </c>
      <c r="H238" s="73">
        <v>-5.0000727962194501E-5</v>
      </c>
      <c r="I238" s="73">
        <v>0.23277879349748101</v>
      </c>
      <c r="J238" s="73">
        <v>2.7963948808546801</v>
      </c>
      <c r="K238" s="73"/>
      <c r="L238" s="73"/>
      <c r="M238" s="73"/>
      <c r="O238" s="13">
        <f t="shared" ca="1" si="80"/>
        <v>1.0746700022500424E-5</v>
      </c>
      <c r="P238" s="13">
        <f t="shared" ca="1" si="81"/>
        <v>3.4066868678049329E-5</v>
      </c>
      <c r="Q238" s="13">
        <f t="shared" ca="1" si="82"/>
        <v>1.6490298051040814E-2</v>
      </c>
      <c r="R238" s="13">
        <f t="shared" ca="1" si="83"/>
        <v>5.7206892295283787E-4</v>
      </c>
      <c r="S238" s="13">
        <f t="shared" ca="1" si="84"/>
        <v>0.32117572223363766</v>
      </c>
      <c r="T238" s="13">
        <f t="shared" ca="1" si="85"/>
        <v>-5.0350549473218591E-5</v>
      </c>
      <c r="U238" s="13">
        <f t="shared" ca="1" si="86"/>
        <v>0.2321249495026925</v>
      </c>
      <c r="V238" s="13">
        <f t="shared" ca="1" si="87"/>
        <v>2.789256099932226</v>
      </c>
      <c r="X238" s="3">
        <f t="shared" ca="1" si="88"/>
        <v>1.0746700022500424E-5</v>
      </c>
      <c r="Y238" s="3">
        <f t="shared" ca="1" si="89"/>
        <v>3.4066868678049329E-5</v>
      </c>
      <c r="Z238" s="3">
        <f t="shared" ca="1" si="90"/>
        <v>1.6490298051040814E-2</v>
      </c>
      <c r="AA238" s="3">
        <f t="shared" ca="1" si="91"/>
        <v>5.7206892295283787E-4</v>
      </c>
      <c r="AB238" s="3">
        <f t="shared" ca="1" si="92"/>
        <v>0.32117572223363766</v>
      </c>
      <c r="AC238" s="3">
        <f t="shared" ca="1" si="93"/>
        <v>-5.0350549473218591E-5</v>
      </c>
      <c r="AD238" s="3">
        <f t="shared" ca="1" si="94"/>
        <v>0.2321249495026925</v>
      </c>
      <c r="AE238" s="3">
        <f t="shared" ca="1" si="95"/>
        <v>2.789256099932226</v>
      </c>
      <c r="AG238" s="3">
        <f t="shared" ca="1" si="96"/>
        <v>1.0746700022500424E-5</v>
      </c>
      <c r="AH238" s="3">
        <f t="shared" ca="1" si="97"/>
        <v>3.4066868678049329E-5</v>
      </c>
      <c r="AI238" s="3">
        <f t="shared" ca="1" si="98"/>
        <v>1.6462857369020038E-2</v>
      </c>
      <c r="AJ238" s="3">
        <f t="shared" ca="1" si="99"/>
        <v>5.5691610455622703E-4</v>
      </c>
      <c r="AK238" s="3">
        <f t="shared" ca="1" si="100"/>
        <v>0.32117572223363766</v>
      </c>
      <c r="AL238" s="3">
        <f t="shared" ca="1" si="101"/>
        <v>-5.0350549473218591E-5</v>
      </c>
      <c r="AM238" s="3">
        <f t="shared" ca="1" si="102"/>
        <v>0.2321249495026925</v>
      </c>
      <c r="AN238" s="3">
        <f t="shared" ca="1" si="103"/>
        <v>2.789256099932226</v>
      </c>
      <c r="AP238" s="3">
        <f t="shared" ca="1" si="104"/>
        <v>8.6845172497290921</v>
      </c>
      <c r="AQ238" s="3">
        <f t="shared" ca="1" si="111"/>
        <v>0.40008469663013757</v>
      </c>
      <c r="AR238" s="3">
        <f t="shared" ca="1" si="105"/>
        <v>2.2887602149111567E-4</v>
      </c>
      <c r="AS238" s="3">
        <f t="shared" ca="1" si="106"/>
        <v>0.23189607348120139</v>
      </c>
      <c r="AT238" s="3">
        <f t="shared" ca="1" si="107"/>
        <v>0.70895566465218884</v>
      </c>
      <c r="AU238" s="3">
        <f t="shared" ca="1" si="108"/>
        <v>5.3284638050729118E-2</v>
      </c>
      <c r="AV238" s="10">
        <f t="shared" ca="1" si="112"/>
        <v>0.70895566465218884</v>
      </c>
      <c r="AW238" s="10">
        <f t="shared" ca="1" si="113"/>
        <v>0.70895566465218884</v>
      </c>
      <c r="AY238" s="3">
        <f t="shared" ca="1" si="119"/>
        <v>8.6845172497290921</v>
      </c>
      <c r="AZ238" s="3">
        <f t="shared" ca="1" si="114"/>
        <v>0.40008469663013757</v>
      </c>
      <c r="BA238" s="3">
        <f t="shared" ca="1" si="109"/>
        <v>2.2281361073981607E-4</v>
      </c>
      <c r="BB238" s="3">
        <f t="shared" ca="1" si="115"/>
        <v>0.23190213589195269</v>
      </c>
      <c r="BC238" s="3">
        <f t="shared" ca="1" si="116"/>
        <v>0.70897419873247336</v>
      </c>
      <c r="BD238" s="3">
        <f t="shared" ca="1" si="110"/>
        <v>5.3195969743775745E-2</v>
      </c>
      <c r="BE238" s="3">
        <f t="shared" ca="1" si="117"/>
        <v>0.70897419873247336</v>
      </c>
      <c r="BF238" s="3">
        <f t="shared" ca="1" si="118"/>
        <v>0.70897419873247336</v>
      </c>
    </row>
    <row r="239" spans="1:58" ht="15" x14ac:dyDescent="0.25">
      <c r="A239" s="72">
        <v>173</v>
      </c>
      <c r="B239" s="72">
        <v>1498730210.625</v>
      </c>
      <c r="C239" s="73">
        <v>3.2372968000372702E-4</v>
      </c>
      <c r="D239" s="73">
        <v>-5.2204550389862298E-5</v>
      </c>
      <c r="E239" s="73">
        <v>1.69550032506946E-2</v>
      </c>
      <c r="F239" s="73">
        <v>5.9398704291792098E-4</v>
      </c>
      <c r="G239" s="73">
        <v>0.31621610979588699</v>
      </c>
      <c r="H239" s="73">
        <v>2.9051904176246001E-5</v>
      </c>
      <c r="I239" s="73">
        <v>0.22828650740245701</v>
      </c>
      <c r="J239" s="73">
        <v>2.74544334540749</v>
      </c>
      <c r="K239" s="73"/>
      <c r="L239" s="73"/>
      <c r="M239" s="73"/>
      <c r="O239" s="13">
        <f t="shared" ca="1" si="80"/>
        <v>5.904245073216544E-5</v>
      </c>
      <c r="P239" s="13">
        <f t="shared" ca="1" si="81"/>
        <v>-6.3492025774702476E-5</v>
      </c>
      <c r="Q239" s="13">
        <f t="shared" ca="1" si="82"/>
        <v>1.6114263632721913E-2</v>
      </c>
      <c r="R239" s="13">
        <f t="shared" ca="1" si="83"/>
        <v>5.8421076402723985E-4</v>
      </c>
      <c r="S239" s="13">
        <f t="shared" ca="1" si="84"/>
        <v>0.31508103116264563</v>
      </c>
      <c r="T239" s="13">
        <f t="shared" ca="1" si="85"/>
        <v>2.8702082665221914E-5</v>
      </c>
      <c r="U239" s="13">
        <f t="shared" ca="1" si="86"/>
        <v>0.2276326634076685</v>
      </c>
      <c r="V239" s="13">
        <f t="shared" ca="1" si="87"/>
        <v>2.7383045644850359</v>
      </c>
      <c r="X239" s="3">
        <f t="shared" ca="1" si="88"/>
        <v>5.904245073216544E-5</v>
      </c>
      <c r="Y239" s="3">
        <f t="shared" ca="1" si="89"/>
        <v>-6.3492025774702476E-5</v>
      </c>
      <c r="Z239" s="3">
        <f t="shared" ca="1" si="90"/>
        <v>1.6114044040311533E-2</v>
      </c>
      <c r="AA239" s="3">
        <f t="shared" ca="1" si="91"/>
        <v>5.7889562954871465E-4</v>
      </c>
      <c r="AB239" s="3">
        <f t="shared" ca="1" si="92"/>
        <v>0.31504237790768208</v>
      </c>
      <c r="AC239" s="3">
        <f t="shared" ca="1" si="93"/>
        <v>2.8702082665221914E-5</v>
      </c>
      <c r="AD239" s="3">
        <f t="shared" ca="1" si="94"/>
        <v>0.2275755818578111</v>
      </c>
      <c r="AE239" s="3">
        <f t="shared" ca="1" si="95"/>
        <v>2.7382814021199962</v>
      </c>
      <c r="AG239" s="3">
        <f t="shared" ca="1" si="96"/>
        <v>5.904245073216544E-5</v>
      </c>
      <c r="AH239" s="3">
        <f t="shared" ca="1" si="97"/>
        <v>-6.3492025774702476E-5</v>
      </c>
      <c r="AI239" s="3">
        <f t="shared" ca="1" si="98"/>
        <v>1.6114044040311533E-2</v>
      </c>
      <c r="AJ239" s="3">
        <f t="shared" ca="1" si="99"/>
        <v>5.7889562954871465E-4</v>
      </c>
      <c r="AK239" s="3">
        <f t="shared" ca="1" si="100"/>
        <v>0.31504237790768208</v>
      </c>
      <c r="AL239" s="3">
        <f t="shared" ca="1" si="101"/>
        <v>2.8702082665221914E-5</v>
      </c>
      <c r="AM239" s="3">
        <f t="shared" ca="1" si="102"/>
        <v>0.2275755818578111</v>
      </c>
      <c r="AN239" s="3">
        <f t="shared" ca="1" si="103"/>
        <v>2.7382814021199962</v>
      </c>
      <c r="AP239" s="3">
        <f t="shared" ca="1" si="104"/>
        <v>8.6907947278854625</v>
      </c>
      <c r="AQ239" s="3">
        <f t="shared" ca="1" si="111"/>
        <v>0.40037740096093838</v>
      </c>
      <c r="AR239" s="3">
        <f t="shared" ca="1" si="105"/>
        <v>2.3390478731463038E-4</v>
      </c>
      <c r="AS239" s="3">
        <f t="shared" ca="1" si="106"/>
        <v>0.22739875862035386</v>
      </c>
      <c r="AT239" s="3">
        <f t="shared" ca="1" si="107"/>
        <v>0.70839614632233272</v>
      </c>
      <c r="AU239" s="3">
        <f t="shared" ca="1" si="108"/>
        <v>5.3116021364639963E-2</v>
      </c>
      <c r="AV239" s="10">
        <f t="shared" ca="1" si="112"/>
        <v>0.70839614632233272</v>
      </c>
      <c r="AW239" s="10">
        <f t="shared" ca="1" si="113"/>
        <v>0.70839614632233272</v>
      </c>
      <c r="AY239" s="3">
        <f t="shared" ca="1" si="119"/>
        <v>8.6917874995293616</v>
      </c>
      <c r="AZ239" s="3">
        <f t="shared" ca="1" si="114"/>
        <v>0.4004236918482863</v>
      </c>
      <c r="BA239" s="3">
        <f t="shared" ca="1" si="109"/>
        <v>2.3180352517873423E-4</v>
      </c>
      <c r="BB239" s="3">
        <f t="shared" ca="1" si="115"/>
        <v>0.22734377833263236</v>
      </c>
      <c r="BC239" s="3">
        <f t="shared" ca="1" si="116"/>
        <v>0.70827102119932683</v>
      </c>
      <c r="BD239" s="3">
        <f t="shared" ca="1" si="110"/>
        <v>5.3128023714422573E-2</v>
      </c>
      <c r="BE239" s="3">
        <f t="shared" ca="1" si="117"/>
        <v>0.70827102119932683</v>
      </c>
      <c r="BF239" s="3">
        <f t="shared" ca="1" si="118"/>
        <v>0.70827102119932683</v>
      </c>
    </row>
    <row r="240" spans="1:58" ht="15" x14ac:dyDescent="0.25">
      <c r="A240" s="72">
        <v>174</v>
      </c>
      <c r="B240" s="72">
        <v>1498730211.152</v>
      </c>
      <c r="C240" s="73">
        <v>3.3396011418455299E-4</v>
      </c>
      <c r="D240" s="73">
        <v>5.4331189171376099E-5</v>
      </c>
      <c r="E240" s="73">
        <v>1.68630083636639E-2</v>
      </c>
      <c r="F240" s="73">
        <v>4.8995291551187105E-4</v>
      </c>
      <c r="G240" s="73">
        <v>0.314663811003215</v>
      </c>
      <c r="H240" s="73">
        <v>4.61366849904334E-5</v>
      </c>
      <c r="I240" s="73">
        <v>0.22721752106774801</v>
      </c>
      <c r="J240" s="73">
        <v>2.7322075791223202</v>
      </c>
      <c r="K240" s="73"/>
      <c r="L240" s="73"/>
      <c r="M240" s="73"/>
      <c r="O240" s="13">
        <f t="shared" ca="1" si="80"/>
        <v>6.9272884912991405E-5</v>
      </c>
      <c r="P240" s="13">
        <f t="shared" ca="1" si="81"/>
        <v>4.3043713786535928E-5</v>
      </c>
      <c r="Q240" s="13">
        <f t="shared" ca="1" si="82"/>
        <v>1.6022268745691213E-2</v>
      </c>
      <c r="R240" s="13">
        <f t="shared" ca="1" si="83"/>
        <v>4.8017663662118992E-4</v>
      </c>
      <c r="S240" s="13">
        <f t="shared" ca="1" si="84"/>
        <v>0.31352873236997364</v>
      </c>
      <c r="T240" s="13">
        <f t="shared" ca="1" si="85"/>
        <v>4.5786863479409311E-5</v>
      </c>
      <c r="U240" s="13">
        <f t="shared" ca="1" si="86"/>
        <v>0.22656367707295949</v>
      </c>
      <c r="V240" s="13">
        <f t="shared" ca="1" si="87"/>
        <v>2.725068798199866</v>
      </c>
      <c r="X240" s="3">
        <f t="shared" ca="1" si="88"/>
        <v>6.9272884912991405E-5</v>
      </c>
      <c r="Y240" s="3">
        <f t="shared" ca="1" si="89"/>
        <v>4.3043713786535928E-5</v>
      </c>
      <c r="Z240" s="3">
        <f t="shared" ca="1" si="90"/>
        <v>1.6021918441922928E-2</v>
      </c>
      <c r="AA240" s="3">
        <f t="shared" ca="1" si="91"/>
        <v>4.7169769313888237E-4</v>
      </c>
      <c r="AB240" s="3">
        <f t="shared" ca="1" si="92"/>
        <v>0.31346707094530651</v>
      </c>
      <c r="AC240" s="3">
        <f t="shared" ca="1" si="93"/>
        <v>4.5786863479409311E-5</v>
      </c>
      <c r="AD240" s="3">
        <f t="shared" ca="1" si="94"/>
        <v>0.22647261799682908</v>
      </c>
      <c r="AE240" s="3">
        <f t="shared" ca="1" si="95"/>
        <v>2.7250318485450866</v>
      </c>
      <c r="AG240" s="3">
        <f t="shared" ca="1" si="96"/>
        <v>6.9272884912991405E-5</v>
      </c>
      <c r="AH240" s="3">
        <f t="shared" ca="1" si="97"/>
        <v>4.3043713786535928E-5</v>
      </c>
      <c r="AI240" s="3">
        <f t="shared" ca="1" si="98"/>
        <v>1.5987246958782748E-2</v>
      </c>
      <c r="AJ240" s="3">
        <f t="shared" ca="1" si="99"/>
        <v>4.5255200692137184E-4</v>
      </c>
      <c r="AK240" s="3">
        <f t="shared" ca="1" si="100"/>
        <v>0.31346707094530651</v>
      </c>
      <c r="AL240" s="3">
        <f t="shared" ca="1" si="101"/>
        <v>4.5786863479409311E-5</v>
      </c>
      <c r="AM240" s="3">
        <f t="shared" ca="1" si="102"/>
        <v>0.22647261799682908</v>
      </c>
      <c r="AN240" s="3">
        <f t="shared" ca="1" si="103"/>
        <v>2.7250318485450866</v>
      </c>
      <c r="AP240" s="3">
        <f t="shared" ca="1" si="104"/>
        <v>8.691607871473165</v>
      </c>
      <c r="AQ240" s="3">
        <f t="shared" ca="1" si="111"/>
        <v>0.40041531615898984</v>
      </c>
      <c r="AR240" s="3">
        <f t="shared" ca="1" si="105"/>
        <v>1.9227007976483414E-4</v>
      </c>
      <c r="AS240" s="3">
        <f t="shared" ca="1" si="106"/>
        <v>0.22637140699319466</v>
      </c>
      <c r="AT240" s="3">
        <f t="shared" ca="1" si="107"/>
        <v>0.70865379953630159</v>
      </c>
      <c r="AU240" s="3">
        <f t="shared" ca="1" si="108"/>
        <v>5.3079347196554362E-2</v>
      </c>
      <c r="AV240" s="10">
        <f t="shared" ca="1" si="112"/>
        <v>0.70865379953630159</v>
      </c>
      <c r="AW240" s="10">
        <f t="shared" ca="1" si="113"/>
        <v>0.70865379953630159</v>
      </c>
      <c r="AY240" s="3">
        <f t="shared" ca="1" si="119"/>
        <v>8.6931997046048508</v>
      </c>
      <c r="AZ240" s="3">
        <f t="shared" ca="1" si="114"/>
        <v>0.40048954015907906</v>
      </c>
      <c r="BA240" s="3">
        <f t="shared" ca="1" si="109"/>
        <v>1.8124234515000856E-4</v>
      </c>
      <c r="BB240" s="3">
        <f t="shared" ca="1" si="115"/>
        <v>0.22629137565167906</v>
      </c>
      <c r="BC240" s="3">
        <f t="shared" ca="1" si="116"/>
        <v>0.70847726988990445</v>
      </c>
      <c r="BD240" s="3">
        <f t="shared" ca="1" si="110"/>
        <v>5.2983671150837588E-2</v>
      </c>
      <c r="BE240" s="3">
        <f t="shared" ca="1" si="117"/>
        <v>0.70847726988990445</v>
      </c>
      <c r="BF240" s="3">
        <f t="shared" ca="1" si="118"/>
        <v>0.70847726988990445</v>
      </c>
    </row>
    <row r="241" spans="1:58" ht="15" x14ac:dyDescent="0.25">
      <c r="A241" s="72">
        <v>175</v>
      </c>
      <c r="B241" s="72">
        <v>1498730211.6789999</v>
      </c>
      <c r="C241" s="73">
        <v>4.0819338054972498E-4</v>
      </c>
      <c r="D241" s="73">
        <v>5.6221061648603E-5</v>
      </c>
      <c r="E241" s="73">
        <v>1.7090958489914401E-2</v>
      </c>
      <c r="F241" s="73">
        <v>6.5969839048126203E-4</v>
      </c>
      <c r="G241" s="73">
        <v>0.32002315570454398</v>
      </c>
      <c r="H241" s="73">
        <v>2.7634212264747801E-5</v>
      </c>
      <c r="I241" s="73">
        <v>0.23081033014563601</v>
      </c>
      <c r="J241" s="73">
        <v>2.7771500974273899</v>
      </c>
      <c r="K241" s="73"/>
      <c r="L241" s="73"/>
      <c r="M241" s="73"/>
      <c r="O241" s="13">
        <f t="shared" ca="1" si="80"/>
        <v>1.4350615127816339E-4</v>
      </c>
      <c r="P241" s="13">
        <f t="shared" ca="1" si="81"/>
        <v>4.4933586263762829E-5</v>
      </c>
      <c r="Q241" s="13">
        <f t="shared" ca="1" si="82"/>
        <v>1.6250218871941714E-2</v>
      </c>
      <c r="R241" s="13">
        <f t="shared" ca="1" si="83"/>
        <v>6.4992211159058089E-4</v>
      </c>
      <c r="S241" s="13">
        <f t="shared" ca="1" si="84"/>
        <v>0.31888807707130262</v>
      </c>
      <c r="T241" s="13">
        <f t="shared" ca="1" si="85"/>
        <v>2.7284390753723715E-5</v>
      </c>
      <c r="U241" s="13">
        <f t="shared" ca="1" si="86"/>
        <v>0.23015648615084749</v>
      </c>
      <c r="V241" s="13">
        <f t="shared" ca="1" si="87"/>
        <v>2.7700113165049358</v>
      </c>
      <c r="X241" s="3">
        <f t="shared" ca="1" si="88"/>
        <v>1.4350615127816339E-4</v>
      </c>
      <c r="Y241" s="3">
        <f t="shared" ca="1" si="89"/>
        <v>4.4933586263762829E-5</v>
      </c>
      <c r="Z241" s="3">
        <f t="shared" ca="1" si="90"/>
        <v>1.6250010125935327E-2</v>
      </c>
      <c r="AA241" s="3">
        <f t="shared" ca="1" si="91"/>
        <v>6.4486950939051854E-4</v>
      </c>
      <c r="AB241" s="3">
        <f t="shared" ca="1" si="92"/>
        <v>0.318851333029951</v>
      </c>
      <c r="AC241" s="3">
        <f t="shared" ca="1" si="93"/>
        <v>2.7284390753723715E-5</v>
      </c>
      <c r="AD241" s="3">
        <f t="shared" ca="1" si="94"/>
        <v>0.23010222404975528</v>
      </c>
      <c r="AE241" s="3">
        <f t="shared" ca="1" si="95"/>
        <v>2.7699892982066161</v>
      </c>
      <c r="AG241" s="3">
        <f t="shared" ca="1" si="96"/>
        <v>1.4350615127816339E-4</v>
      </c>
      <c r="AH241" s="3">
        <f t="shared" ca="1" si="97"/>
        <v>4.4933586263762829E-5</v>
      </c>
      <c r="AI241" s="3">
        <f t="shared" ca="1" si="98"/>
        <v>1.6213816360539108E-2</v>
      </c>
      <c r="AJ241" s="3">
        <f t="shared" ca="1" si="99"/>
        <v>6.2488321481798698E-4</v>
      </c>
      <c r="AK241" s="3">
        <f t="shared" ca="1" si="100"/>
        <v>0.318851333029951</v>
      </c>
      <c r="AL241" s="3">
        <f t="shared" ca="1" si="101"/>
        <v>2.7284390753723715E-5</v>
      </c>
      <c r="AM241" s="3">
        <f t="shared" ca="1" si="102"/>
        <v>0.23010222404975528</v>
      </c>
      <c r="AN241" s="3">
        <f t="shared" ca="1" si="103"/>
        <v>2.7699892982066161</v>
      </c>
      <c r="AP241" s="3">
        <f t="shared" ca="1" si="104"/>
        <v>8.6864687508701302</v>
      </c>
      <c r="AQ241" s="3">
        <f t="shared" ca="1" si="111"/>
        <v>0.40017569035346506</v>
      </c>
      <c r="AR241" s="3">
        <f t="shared" ca="1" si="105"/>
        <v>2.6008302968174245E-4</v>
      </c>
      <c r="AS241" s="3">
        <f t="shared" ca="1" si="106"/>
        <v>0.22989640312116574</v>
      </c>
      <c r="AT241" s="3">
        <f t="shared" ca="1" si="107"/>
        <v>0.70780421678658645</v>
      </c>
      <c r="AU241" s="3">
        <f t="shared" ca="1" si="108"/>
        <v>5.2897726349065456E-2</v>
      </c>
      <c r="AV241" s="10" t="str">
        <f t="shared" ca="1" si="112"/>
        <v>rejected</v>
      </c>
      <c r="AW241" s="10" t="e">
        <f t="shared" ca="1" si="113"/>
        <v>#N/A</v>
      </c>
      <c r="AY241" s="3">
        <f t="shared" ca="1" si="119"/>
        <v>8.6874007139447009</v>
      </c>
      <c r="AZ241" s="3">
        <f t="shared" ca="1" si="114"/>
        <v>0.4002191455988125</v>
      </c>
      <c r="BA241" s="3">
        <f t="shared" ca="1" si="109"/>
        <v>2.5009022633349395E-4</v>
      </c>
      <c r="BB241" s="3">
        <f t="shared" ca="1" si="115"/>
        <v>0.22985213382342179</v>
      </c>
      <c r="BC241" s="3">
        <f t="shared" ca="1" si="116"/>
        <v>0.70771123476997533</v>
      </c>
      <c r="BD241" s="3">
        <f t="shared" ca="1" si="110"/>
        <v>5.2791106044998648E-2</v>
      </c>
      <c r="BE241" s="3" t="str">
        <f t="shared" ca="1" si="117"/>
        <v>rejected</v>
      </c>
      <c r="BF241" s="3" t="e">
        <f t="shared" ca="1" si="118"/>
        <v>#N/A</v>
      </c>
    </row>
    <row r="242" spans="1:58" ht="15" x14ac:dyDescent="0.25">
      <c r="A242" s="72">
        <v>176</v>
      </c>
      <c r="B242" s="72">
        <v>1498730212.2049999</v>
      </c>
      <c r="C242" s="73">
        <v>4.4198086116549402E-4</v>
      </c>
      <c r="D242" s="73">
        <v>8.0317251273706402E-5</v>
      </c>
      <c r="E242" s="73">
        <v>1.7465352233216699E-2</v>
      </c>
      <c r="F242" s="73">
        <v>5.7541722808092703E-4</v>
      </c>
      <c r="G242" s="73">
        <v>0.32560329637581797</v>
      </c>
      <c r="H242" s="73">
        <v>6.7964790638740898E-6</v>
      </c>
      <c r="I242" s="73">
        <v>0.23537103705721399</v>
      </c>
      <c r="J242" s="73">
        <v>2.8295387408964201</v>
      </c>
      <c r="K242" s="73"/>
      <c r="L242" s="73"/>
      <c r="M242" s="73"/>
      <c r="O242" s="13">
        <f t="shared" ca="1" si="80"/>
        <v>1.7729363189393244E-4</v>
      </c>
      <c r="P242" s="13">
        <f t="shared" ca="1" si="81"/>
        <v>6.9029775888866223E-5</v>
      </c>
      <c r="Q242" s="13">
        <f t="shared" ca="1" si="82"/>
        <v>1.6624612615244012E-2</v>
      </c>
      <c r="R242" s="13">
        <f t="shared" ca="1" si="83"/>
        <v>5.6564094919024589E-4</v>
      </c>
      <c r="S242" s="13">
        <f t="shared" ca="1" si="84"/>
        <v>0.32446821774257661</v>
      </c>
      <c r="T242" s="13">
        <f t="shared" ca="1" si="85"/>
        <v>6.4466575528500033E-6</v>
      </c>
      <c r="U242" s="13">
        <f t="shared" ca="1" si="86"/>
        <v>0.23471719306242547</v>
      </c>
      <c r="V242" s="13">
        <f t="shared" ca="1" si="87"/>
        <v>2.822399959973966</v>
      </c>
      <c r="X242" s="3">
        <f t="shared" ca="1" si="88"/>
        <v>1.7729363189393244E-4</v>
      </c>
      <c r="Y242" s="3">
        <f t="shared" ca="1" si="89"/>
        <v>6.9029775888866223E-5</v>
      </c>
      <c r="Z242" s="3">
        <f t="shared" ca="1" si="90"/>
        <v>1.6624563293489648E-2</v>
      </c>
      <c r="AA242" s="3">
        <f t="shared" ca="1" si="91"/>
        <v>5.6444713854486312E-4</v>
      </c>
      <c r="AB242" s="3">
        <f t="shared" ca="1" si="92"/>
        <v>0.3244595359928597</v>
      </c>
      <c r="AC242" s="3">
        <f t="shared" ca="1" si="93"/>
        <v>6.4466575528500033E-6</v>
      </c>
      <c r="AD242" s="3">
        <f t="shared" ca="1" si="94"/>
        <v>0.23470437220866344</v>
      </c>
      <c r="AE242" s="3">
        <f t="shared" ca="1" si="95"/>
        <v>2.8223947575697617</v>
      </c>
      <c r="AG242" s="3">
        <f t="shared" ca="1" si="96"/>
        <v>1.7729363189393244E-4</v>
      </c>
      <c r="AH242" s="3">
        <f t="shared" ca="1" si="97"/>
        <v>6.9029775888866223E-5</v>
      </c>
      <c r="AI242" s="3">
        <f t="shared" ca="1" si="98"/>
        <v>1.6568960175162763E-2</v>
      </c>
      <c r="AJ242" s="3">
        <f t="shared" ca="1" si="99"/>
        <v>5.3374294709457261E-4</v>
      </c>
      <c r="AK242" s="3">
        <f t="shared" ca="1" si="100"/>
        <v>0.3244595359928597</v>
      </c>
      <c r="AL242" s="3">
        <f t="shared" ca="1" si="101"/>
        <v>6.4466575528500033E-6</v>
      </c>
      <c r="AM242" s="3">
        <f t="shared" ca="1" si="102"/>
        <v>0.23470437220866344</v>
      </c>
      <c r="AN242" s="3">
        <f t="shared" ca="1" si="103"/>
        <v>2.8223947575697617</v>
      </c>
      <c r="AP242" s="3">
        <f t="shared" ca="1" si="104"/>
        <v>8.6985405831432576</v>
      </c>
      <c r="AQ242" s="3">
        <f t="shared" ca="1" si="111"/>
        <v>0.40073857586398581</v>
      </c>
      <c r="AR242" s="3">
        <f t="shared" ca="1" si="105"/>
        <v>2.266741484288523E-4</v>
      </c>
      <c r="AS242" s="3">
        <f t="shared" ca="1" si="106"/>
        <v>0.23449051891399661</v>
      </c>
      <c r="AT242" s="3">
        <f t="shared" ca="1" si="107"/>
        <v>0.70903658053065199</v>
      </c>
      <c r="AU242" s="3">
        <f t="shared" ca="1" si="108"/>
        <v>5.3261402575247641E-2</v>
      </c>
      <c r="AV242" s="10">
        <f t="shared" ca="1" si="112"/>
        <v>0.70903658053065199</v>
      </c>
      <c r="AW242" s="10">
        <f t="shared" ca="1" si="113"/>
        <v>0.70903658053065199</v>
      </c>
      <c r="AY242" s="3">
        <f t="shared" ca="1" si="119"/>
        <v>8.6987573009161707</v>
      </c>
      <c r="AZ242" s="3">
        <f t="shared" ca="1" si="114"/>
        <v>0.40074868106898365</v>
      </c>
      <c r="BA242" s="3">
        <f t="shared" ca="1" si="109"/>
        <v>2.1389678207802228E-4</v>
      </c>
      <c r="BB242" s="3">
        <f t="shared" ca="1" si="115"/>
        <v>0.23449047542658541</v>
      </c>
      <c r="BC242" s="3">
        <f t="shared" ca="1" si="116"/>
        <v>0.70904652502139365</v>
      </c>
      <c r="BD242" s="3">
        <f t="shared" ca="1" si="110"/>
        <v>5.3085878754105156E-2</v>
      </c>
      <c r="BE242" s="3">
        <f t="shared" ca="1" si="117"/>
        <v>0.70904652502139365</v>
      </c>
      <c r="BF242" s="3">
        <f t="shared" ca="1" si="118"/>
        <v>0.70904652502139365</v>
      </c>
    </row>
    <row r="243" spans="1:58" ht="15" x14ac:dyDescent="0.25">
      <c r="A243" s="72">
        <v>177</v>
      </c>
      <c r="B243" s="72">
        <v>1498730212.7320001</v>
      </c>
      <c r="C243" s="73">
        <v>3.2872592546326698E-4</v>
      </c>
      <c r="D243" s="73">
        <v>2.07865517045659E-5</v>
      </c>
      <c r="E243" s="73">
        <v>1.72305549566109E-2</v>
      </c>
      <c r="F243" s="73">
        <v>6.4088926610778897E-4</v>
      </c>
      <c r="G243" s="73">
        <v>0.32091677457783702</v>
      </c>
      <c r="H243" s="73">
        <v>2.2743330703107099E-5</v>
      </c>
      <c r="I243" s="73">
        <v>0.231459843165542</v>
      </c>
      <c r="J243" s="73">
        <v>2.78375112672457</v>
      </c>
      <c r="K243" s="73"/>
      <c r="L243" s="73"/>
      <c r="M243" s="73"/>
      <c r="O243" s="13">
        <f t="shared" ca="1" si="80"/>
        <v>6.4038696191705399E-5</v>
      </c>
      <c r="P243" s="13">
        <f t="shared" ca="1" si="81"/>
        <v>9.4990763197257264E-6</v>
      </c>
      <c r="Q243" s="13">
        <f t="shared" ca="1" si="82"/>
        <v>1.6389815338638213E-2</v>
      </c>
      <c r="R243" s="13">
        <f t="shared" ca="1" si="83"/>
        <v>6.3111298721710784E-4</v>
      </c>
      <c r="S243" s="13">
        <f t="shared" ca="1" si="84"/>
        <v>0.31978169594459566</v>
      </c>
      <c r="T243" s="13">
        <f t="shared" ca="1" si="85"/>
        <v>2.2393509192083013E-5</v>
      </c>
      <c r="U243" s="13">
        <f t="shared" ca="1" si="86"/>
        <v>0.23080599917075348</v>
      </c>
      <c r="V243" s="13">
        <f t="shared" ca="1" si="87"/>
        <v>2.7766123458021159</v>
      </c>
      <c r="X243" s="3">
        <f t="shared" ca="1" si="88"/>
        <v>6.4038696191705399E-5</v>
      </c>
      <c r="Y243" s="3">
        <f t="shared" ca="1" si="89"/>
        <v>9.4990763197257264E-6</v>
      </c>
      <c r="Z243" s="3">
        <f t="shared" ca="1" si="90"/>
        <v>1.6389644011535656E-2</v>
      </c>
      <c r="AA243" s="3">
        <f t="shared" ca="1" si="91"/>
        <v>6.2696609257568753E-4</v>
      </c>
      <c r="AB243" s="3">
        <f t="shared" ca="1" si="92"/>
        <v>0.31975153848074794</v>
      </c>
      <c r="AC243" s="3">
        <f t="shared" ca="1" si="93"/>
        <v>2.2393509192083013E-5</v>
      </c>
      <c r="AD243" s="3">
        <f t="shared" ca="1" si="94"/>
        <v>0.23076146385858329</v>
      </c>
      <c r="AE243" s="3">
        <f t="shared" ca="1" si="95"/>
        <v>2.7765942744084655</v>
      </c>
      <c r="AG243" s="3">
        <f t="shared" ca="1" si="96"/>
        <v>6.4038696191705399E-5</v>
      </c>
      <c r="AH243" s="3">
        <f t="shared" ca="1" si="97"/>
        <v>9.4990763197257264E-6</v>
      </c>
      <c r="AI243" s="3">
        <f t="shared" ca="1" si="98"/>
        <v>1.6381992555945649E-2</v>
      </c>
      <c r="AJ243" s="3">
        <f t="shared" ca="1" si="99"/>
        <v>6.2274093822502967E-4</v>
      </c>
      <c r="AK243" s="3">
        <f t="shared" ca="1" si="100"/>
        <v>0.31975153848074794</v>
      </c>
      <c r="AL243" s="3">
        <f t="shared" ca="1" si="101"/>
        <v>2.2393509192083013E-5</v>
      </c>
      <c r="AM243" s="3">
        <f t="shared" ca="1" si="102"/>
        <v>0.23076146385858329</v>
      </c>
      <c r="AN243" s="3">
        <f t="shared" ca="1" si="103"/>
        <v>2.7765942744084655</v>
      </c>
      <c r="AP243" s="3">
        <f t="shared" ca="1" si="104"/>
        <v>8.682837013545587</v>
      </c>
      <c r="AQ243" s="3">
        <f t="shared" ca="1" si="111"/>
        <v>0.4000063515267408</v>
      </c>
      <c r="AR243" s="3">
        <f t="shared" ca="1" si="105"/>
        <v>2.5244920341785788E-4</v>
      </c>
      <c r="AS243" s="3">
        <f t="shared" ca="1" si="106"/>
        <v>0.23055354996733562</v>
      </c>
      <c r="AT243" s="3">
        <f t="shared" ca="1" si="107"/>
        <v>0.70799293189918178</v>
      </c>
      <c r="AU243" s="3">
        <f t="shared" ca="1" si="108"/>
        <v>5.3180289375958194E-2</v>
      </c>
      <c r="AV243" s="10">
        <f t="shared" ca="1" si="112"/>
        <v>0.70799293189918178</v>
      </c>
      <c r="AW243" s="10">
        <f t="shared" ca="1" si="113"/>
        <v>0.70799293189918178</v>
      </c>
      <c r="AY243" s="3">
        <f t="shared" ca="1" si="119"/>
        <v>8.6835994209786822</v>
      </c>
      <c r="AZ243" s="3">
        <f t="shared" ca="1" si="114"/>
        <v>0.40004190060696904</v>
      </c>
      <c r="BA243" s="3">
        <f t="shared" ca="1" si="109"/>
        <v>2.4912246851330796E-4</v>
      </c>
      <c r="BB243" s="3">
        <f t="shared" ca="1" si="115"/>
        <v>0.23051234139006999</v>
      </c>
      <c r="BC243" s="3">
        <f t="shared" ca="1" si="116"/>
        <v>0.70790184783248722</v>
      </c>
      <c r="BD243" s="3">
        <f t="shared" ca="1" si="110"/>
        <v>5.3164696298700548E-2</v>
      </c>
      <c r="BE243" s="3">
        <f t="shared" ca="1" si="117"/>
        <v>0.70790184783248722</v>
      </c>
      <c r="BF243" s="3">
        <f t="shared" ca="1" si="118"/>
        <v>0.70790184783248722</v>
      </c>
    </row>
    <row r="244" spans="1:58" ht="15" x14ac:dyDescent="0.25">
      <c r="A244" s="72">
        <v>178</v>
      </c>
      <c r="B244" s="72">
        <v>1498730213.2590001</v>
      </c>
      <c r="C244" s="73">
        <v>3.69410569030755E-4</v>
      </c>
      <c r="D244" s="73">
        <v>4.2283336749914901E-5</v>
      </c>
      <c r="E244" s="73">
        <v>1.68989843724578E-2</v>
      </c>
      <c r="F244" s="73">
        <v>4.8352553305153998E-4</v>
      </c>
      <c r="G244" s="73">
        <v>0.31378061327935303</v>
      </c>
      <c r="H244" s="73">
        <v>1.46868970512839E-5</v>
      </c>
      <c r="I244" s="73">
        <v>0.22686071496872501</v>
      </c>
      <c r="J244" s="73">
        <v>2.7267286039081502</v>
      </c>
      <c r="K244" s="73"/>
      <c r="L244" s="73"/>
      <c r="M244" s="73"/>
      <c r="O244" s="13">
        <f t="shared" ca="1" si="80"/>
        <v>1.0472333975919342E-4</v>
      </c>
      <c r="P244" s="13">
        <f t="shared" ca="1" si="81"/>
        <v>3.099586136507473E-5</v>
      </c>
      <c r="Q244" s="13">
        <f t="shared" ca="1" si="82"/>
        <v>1.6058244754485113E-2</v>
      </c>
      <c r="R244" s="13">
        <f t="shared" ca="1" si="83"/>
        <v>4.7374925416085884E-4</v>
      </c>
      <c r="S244" s="13">
        <f t="shared" ca="1" si="84"/>
        <v>0.31264553464611167</v>
      </c>
      <c r="T244" s="13">
        <f t="shared" ca="1" si="85"/>
        <v>1.4337075540259813E-5</v>
      </c>
      <c r="U244" s="13">
        <f t="shared" ca="1" si="86"/>
        <v>0.22620687097393649</v>
      </c>
      <c r="V244" s="13">
        <f t="shared" ca="1" si="87"/>
        <v>2.7195898229856961</v>
      </c>
      <c r="X244" s="3">
        <f t="shared" ca="1" si="88"/>
        <v>1.0472333975919342E-4</v>
      </c>
      <c r="Y244" s="3">
        <f t="shared" ca="1" si="89"/>
        <v>3.099586136507473E-5</v>
      </c>
      <c r="Z244" s="3">
        <f t="shared" ca="1" si="90"/>
        <v>1.6058135065128685E-2</v>
      </c>
      <c r="AA244" s="3">
        <f t="shared" ca="1" si="91"/>
        <v>4.7109427314731762E-4</v>
      </c>
      <c r="AB244" s="3">
        <f t="shared" ca="1" si="92"/>
        <v>0.31262622682644042</v>
      </c>
      <c r="AC244" s="3">
        <f t="shared" ca="1" si="93"/>
        <v>1.4337075540259813E-5</v>
      </c>
      <c r="AD244" s="3">
        <f t="shared" ca="1" si="94"/>
        <v>0.22617835797361502</v>
      </c>
      <c r="AE244" s="3">
        <f t="shared" ca="1" si="95"/>
        <v>2.7195782530734656</v>
      </c>
      <c r="AG244" s="3">
        <f t="shared" ca="1" si="96"/>
        <v>1.0472333975919342E-4</v>
      </c>
      <c r="AH244" s="3">
        <f t="shared" ca="1" si="97"/>
        <v>3.099586136507473E-5</v>
      </c>
      <c r="AI244" s="3">
        <f t="shared" ca="1" si="98"/>
        <v>1.6033168063209098E-2</v>
      </c>
      <c r="AJ244" s="3">
        <f t="shared" ca="1" si="99"/>
        <v>4.5730742755401737E-4</v>
      </c>
      <c r="AK244" s="3">
        <f t="shared" ca="1" si="100"/>
        <v>0.31262622682644042</v>
      </c>
      <c r="AL244" s="3">
        <f t="shared" ca="1" si="101"/>
        <v>1.4337075540259813E-5</v>
      </c>
      <c r="AM244" s="3">
        <f t="shared" ca="1" si="102"/>
        <v>0.22617835797361502</v>
      </c>
      <c r="AN244" s="3">
        <f t="shared" ca="1" si="103"/>
        <v>2.7195782530734656</v>
      </c>
      <c r="AP244" s="3">
        <f t="shared" ca="1" si="104"/>
        <v>8.6986363840572416</v>
      </c>
      <c r="AQ244" s="3">
        <f t="shared" ca="1" si="111"/>
        <v>0.40074304290782886</v>
      </c>
      <c r="AR244" s="3">
        <f t="shared" ca="1" si="105"/>
        <v>1.8985171768773698E-4</v>
      </c>
      <c r="AS244" s="3">
        <f t="shared" ca="1" si="106"/>
        <v>0.22601701925624876</v>
      </c>
      <c r="AT244" s="3">
        <f t="shared" ca="1" si="107"/>
        <v>0.70925437193024177</v>
      </c>
      <c r="AU244" s="3">
        <f t="shared" ca="1" si="108"/>
        <v>5.3392955942548816E-2</v>
      </c>
      <c r="AV244" s="10">
        <f t="shared" ca="1" si="112"/>
        <v>0.70925437193024177</v>
      </c>
      <c r="AW244" s="10">
        <f t="shared" ca="1" si="113"/>
        <v>0.70925437193024177</v>
      </c>
      <c r="AY244" s="3">
        <f t="shared" ca="1" si="119"/>
        <v>8.6991366037350542</v>
      </c>
      <c r="AZ244" s="3">
        <f t="shared" ca="1" si="114"/>
        <v>0.40076636736338483</v>
      </c>
      <c r="BA244" s="3">
        <f t="shared" ca="1" si="109"/>
        <v>1.8327343650911782E-4</v>
      </c>
      <c r="BB244" s="3">
        <f t="shared" ca="1" si="115"/>
        <v>0.2259950845371059</v>
      </c>
      <c r="BC244" s="3">
        <f t="shared" ca="1" si="116"/>
        <v>0.70920880090948513</v>
      </c>
      <c r="BD244" s="3">
        <f t="shared" ca="1" si="110"/>
        <v>5.3316006520751844E-2</v>
      </c>
      <c r="BE244" s="3">
        <f t="shared" ca="1" si="117"/>
        <v>0.70920880090948513</v>
      </c>
      <c r="BF244" s="3">
        <f t="shared" ca="1" si="118"/>
        <v>0.70920880090948513</v>
      </c>
    </row>
    <row r="245" spans="1:58" ht="15" x14ac:dyDescent="0.25">
      <c r="A245" s="72">
        <v>179</v>
      </c>
      <c r="B245" s="72">
        <v>1498730213.7850001</v>
      </c>
      <c r="C245" s="73">
        <v>1.9835589512541099E-4</v>
      </c>
      <c r="D245" s="73">
        <v>-1.22845158521407E-5</v>
      </c>
      <c r="E245" s="73">
        <v>1.6489802445833E-2</v>
      </c>
      <c r="F245" s="73">
        <v>4.7614599678422903E-4</v>
      </c>
      <c r="G245" s="73">
        <v>0.30905031694311702</v>
      </c>
      <c r="H245" s="73">
        <v>2.9264559710593001E-5</v>
      </c>
      <c r="I245" s="73">
        <v>0.223246888659068</v>
      </c>
      <c r="J245" s="73">
        <v>2.6835893173117702</v>
      </c>
      <c r="K245" s="73"/>
      <c r="L245" s="73"/>
      <c r="M245" s="73"/>
      <c r="O245" s="13">
        <f t="shared" ca="1" si="80"/>
        <v>-6.6331334146150594E-5</v>
      </c>
      <c r="P245" s="13">
        <f t="shared" ca="1" si="81"/>
        <v>-2.3571991236980872E-5</v>
      </c>
      <c r="Q245" s="13">
        <f t="shared" ca="1" si="82"/>
        <v>1.5649062827860313E-2</v>
      </c>
      <c r="R245" s="13">
        <f t="shared" ca="1" si="83"/>
        <v>4.6636971789354789E-4</v>
      </c>
      <c r="S245" s="13">
        <f t="shared" ca="1" si="84"/>
        <v>0.30791523830987566</v>
      </c>
      <c r="T245" s="13">
        <f t="shared" ca="1" si="85"/>
        <v>2.8914738199568914E-5</v>
      </c>
      <c r="U245" s="13">
        <f t="shared" ca="1" si="86"/>
        <v>0.22259304466427948</v>
      </c>
      <c r="V245" s="13">
        <f t="shared" ca="1" si="87"/>
        <v>2.6764505363893161</v>
      </c>
      <c r="X245" s="3">
        <f t="shared" ca="1" si="88"/>
        <v>-6.6331334146150594E-5</v>
      </c>
      <c r="Y245" s="3">
        <f t="shared" ca="1" si="89"/>
        <v>-2.3571991236980872E-5</v>
      </c>
      <c r="Z245" s="3">
        <f t="shared" ca="1" si="90"/>
        <v>1.5648841608475964E-2</v>
      </c>
      <c r="AA245" s="3">
        <f t="shared" ca="1" si="91"/>
        <v>4.6101520324962352E-4</v>
      </c>
      <c r="AB245" s="3">
        <f t="shared" ca="1" si="92"/>
        <v>0.3078762986705168</v>
      </c>
      <c r="AC245" s="3">
        <f t="shared" ca="1" si="93"/>
        <v>2.8914738199568914E-5</v>
      </c>
      <c r="AD245" s="3">
        <f t="shared" ca="1" si="94"/>
        <v>0.2225355401936317</v>
      </c>
      <c r="AE245" s="3">
        <f t="shared" ca="1" si="95"/>
        <v>2.6764272024128579</v>
      </c>
      <c r="AG245" s="3">
        <f t="shared" ca="1" si="96"/>
        <v>-6.6331334146150594E-5</v>
      </c>
      <c r="AH245" s="3">
        <f t="shared" ca="1" si="97"/>
        <v>-2.3571991236980872E-5</v>
      </c>
      <c r="AI245" s="3">
        <f t="shared" ca="1" si="98"/>
        <v>1.5648841608475964E-2</v>
      </c>
      <c r="AJ245" s="3">
        <f t="shared" ca="1" si="99"/>
        <v>4.6101520324962352E-4</v>
      </c>
      <c r="AK245" s="3">
        <f t="shared" ca="1" si="100"/>
        <v>0.3078762986705168</v>
      </c>
      <c r="AL245" s="3">
        <f t="shared" ca="1" si="101"/>
        <v>2.8914738199568914E-5</v>
      </c>
      <c r="AM245" s="3">
        <f t="shared" ca="1" si="102"/>
        <v>0.2225355401936317</v>
      </c>
      <c r="AN245" s="3">
        <f t="shared" ca="1" si="103"/>
        <v>2.6764272024128579</v>
      </c>
      <c r="AP245" s="3">
        <f t="shared" ca="1" si="104"/>
        <v>8.6921665555760033</v>
      </c>
      <c r="AQ245" s="3">
        <f t="shared" ca="1" si="111"/>
        <v>0.40044136646425321</v>
      </c>
      <c r="AR245" s="3">
        <f t="shared" ca="1" si="105"/>
        <v>1.8675372711084059E-4</v>
      </c>
      <c r="AS245" s="3">
        <f t="shared" ca="1" si="106"/>
        <v>0.22240629093716865</v>
      </c>
      <c r="AT245" s="3">
        <f t="shared" ca="1" si="107"/>
        <v>0.70891101423462755</v>
      </c>
      <c r="AU245" s="3">
        <f t="shared" ca="1" si="108"/>
        <v>5.279157555139239E-2</v>
      </c>
      <c r="AV245" s="10">
        <f t="shared" ca="1" si="112"/>
        <v>0.70891101423462755</v>
      </c>
      <c r="AW245" s="10">
        <f t="shared" ca="1" si="113"/>
        <v>0.70891101423462755</v>
      </c>
      <c r="AY245" s="3">
        <f t="shared" ca="1" si="119"/>
        <v>8.6931901350325056</v>
      </c>
      <c r="AZ245" s="3">
        <f t="shared" ca="1" si="114"/>
        <v>0.40048909394853816</v>
      </c>
      <c r="BA245" s="3">
        <f t="shared" ca="1" si="109"/>
        <v>1.8463156104594287E-4</v>
      </c>
      <c r="BB245" s="3">
        <f t="shared" ca="1" si="115"/>
        <v>0.22235090863258575</v>
      </c>
      <c r="BC245" s="3">
        <f t="shared" ca="1" si="116"/>
        <v>0.70878209348387322</v>
      </c>
      <c r="BD245" s="3">
        <f t="shared" ca="1" si="110"/>
        <v>5.2803868103003367E-2</v>
      </c>
      <c r="BE245" s="3">
        <f t="shared" ca="1" si="117"/>
        <v>0.70878209348387322</v>
      </c>
      <c r="BF245" s="3">
        <f t="shared" ca="1" si="118"/>
        <v>0.70878209348387322</v>
      </c>
    </row>
    <row r="246" spans="1:58" ht="15" x14ac:dyDescent="0.25">
      <c r="A246" s="72">
        <v>180</v>
      </c>
      <c r="B246" s="72">
        <v>1498730214.312</v>
      </c>
      <c r="C246" s="73">
        <v>1.0011381606709799E-4</v>
      </c>
      <c r="D246" s="73">
        <v>-1.02279482330948E-4</v>
      </c>
      <c r="E246" s="73">
        <v>1.66276263993064E-2</v>
      </c>
      <c r="F246" s="73">
        <v>5.1494868490481699E-4</v>
      </c>
      <c r="G246" s="73">
        <v>0.31107703560275302</v>
      </c>
      <c r="H246" s="73">
        <v>1.30804137565718E-5</v>
      </c>
      <c r="I246" s="73">
        <v>0.22464825960402299</v>
      </c>
      <c r="J246" s="73">
        <v>2.7021401321254599</v>
      </c>
      <c r="K246" s="73"/>
      <c r="L246" s="73"/>
      <c r="M246" s="73"/>
      <c r="O246" s="13">
        <f t="shared" ca="1" si="80"/>
        <v>-1.6457341320446359E-4</v>
      </c>
      <c r="P246" s="13">
        <f t="shared" ca="1" si="81"/>
        <v>-1.1356695771578817E-4</v>
      </c>
      <c r="Q246" s="13">
        <f t="shared" ca="1" si="82"/>
        <v>1.5786886781333713E-2</v>
      </c>
      <c r="R246" s="13">
        <f t="shared" ca="1" si="83"/>
        <v>5.0517240601413585E-4</v>
      </c>
      <c r="S246" s="13">
        <f t="shared" ca="1" si="84"/>
        <v>0.30994195696951166</v>
      </c>
      <c r="T246" s="13">
        <f t="shared" ca="1" si="85"/>
        <v>1.2730592245547714E-5</v>
      </c>
      <c r="U246" s="13">
        <f t="shared" ca="1" si="86"/>
        <v>0.22399441560923447</v>
      </c>
      <c r="V246" s="13">
        <f t="shared" ca="1" si="87"/>
        <v>2.6950013512030058</v>
      </c>
      <c r="X246" s="3">
        <f t="shared" ca="1" si="88"/>
        <v>-1.6457341320446359E-4</v>
      </c>
      <c r="Y246" s="3">
        <f t="shared" ca="1" si="89"/>
        <v>-1.1356695771578817E-4</v>
      </c>
      <c r="Z246" s="3">
        <f t="shared" ca="1" si="90"/>
        <v>1.5786789382776632E-2</v>
      </c>
      <c r="AA246" s="3">
        <f t="shared" ca="1" si="91"/>
        <v>5.0281491821209748E-4</v>
      </c>
      <c r="AB246" s="3">
        <f t="shared" ca="1" si="92"/>
        <v>0.3099248126098621</v>
      </c>
      <c r="AC246" s="3">
        <f t="shared" ca="1" si="93"/>
        <v>1.2730592245547714E-5</v>
      </c>
      <c r="AD246" s="3">
        <f t="shared" ca="1" si="94"/>
        <v>0.22396909751840272</v>
      </c>
      <c r="AE246" s="3">
        <f t="shared" ca="1" si="95"/>
        <v>2.6949910777107231</v>
      </c>
      <c r="AG246" s="3">
        <f t="shared" ca="1" si="96"/>
        <v>-1.6457341320446359E-4</v>
      </c>
      <c r="AH246" s="3">
        <f t="shared" ca="1" si="97"/>
        <v>-1.1356695771578817E-4</v>
      </c>
      <c r="AI246" s="3">
        <f t="shared" ca="1" si="98"/>
        <v>1.5786789382776632E-2</v>
      </c>
      <c r="AJ246" s="3">
        <f t="shared" ca="1" si="99"/>
        <v>5.0281491821209748E-4</v>
      </c>
      <c r="AK246" s="3">
        <f t="shared" ca="1" si="100"/>
        <v>0.3099248126098621</v>
      </c>
      <c r="AL246" s="3">
        <f t="shared" ca="1" si="101"/>
        <v>1.2730592245547714E-5</v>
      </c>
      <c r="AM246" s="3">
        <f t="shared" ca="1" si="102"/>
        <v>0.22396909751840272</v>
      </c>
      <c r="AN246" s="3">
        <f t="shared" ca="1" si="103"/>
        <v>2.6949910777107231</v>
      </c>
      <c r="AP246" s="3">
        <f t="shared" ca="1" si="104"/>
        <v>8.6951807930544476</v>
      </c>
      <c r="AQ246" s="3">
        <f t="shared" ca="1" si="111"/>
        <v>0.40058191458754916</v>
      </c>
      <c r="AR246" s="3">
        <f t="shared" ca="1" si="105"/>
        <v>2.0236292959794128E-4</v>
      </c>
      <c r="AS246" s="3">
        <f t="shared" ca="1" si="106"/>
        <v>0.22379205267963653</v>
      </c>
      <c r="AT246" s="3">
        <f t="shared" ca="1" si="107"/>
        <v>0.70853987765777382</v>
      </c>
      <c r="AU246" s="3">
        <f t="shared" ca="1" si="108"/>
        <v>5.2927048123918304E-2</v>
      </c>
      <c r="AV246" s="10">
        <f t="shared" ca="1" si="112"/>
        <v>0.70853987765777382</v>
      </c>
      <c r="AW246" s="10">
        <f t="shared" ca="1" si="113"/>
        <v>0.70853987765777382</v>
      </c>
      <c r="AY246" s="3">
        <f t="shared" ca="1" si="119"/>
        <v>8.6956286430129026</v>
      </c>
      <c r="AZ246" s="3">
        <f t="shared" ca="1" si="114"/>
        <v>0.40060279702419532</v>
      </c>
      <c r="BA246" s="3">
        <f t="shared" ca="1" si="109"/>
        <v>2.0142906262125826E-4</v>
      </c>
      <c r="BB246" s="3">
        <f t="shared" ca="1" si="115"/>
        <v>0.22376766845578147</v>
      </c>
      <c r="BC246" s="3">
        <f t="shared" ca="1" si="116"/>
        <v>0.70848348995342425</v>
      </c>
      <c r="BD246" s="3">
        <f t="shared" ca="1" si="110"/>
        <v>5.2932438932311428E-2</v>
      </c>
      <c r="BE246" s="3">
        <f t="shared" ca="1" si="117"/>
        <v>0.70848348995342425</v>
      </c>
      <c r="BF246" s="3">
        <f t="shared" ca="1" si="118"/>
        <v>0.70848348995342425</v>
      </c>
    </row>
    <row r="247" spans="1:58" ht="15" x14ac:dyDescent="0.25">
      <c r="A247" s="72">
        <v>181</v>
      </c>
      <c r="B247" s="72">
        <v>1498730214.839</v>
      </c>
      <c r="C247" s="73">
        <v>2.6068396859886398E-4</v>
      </c>
      <c r="D247" s="73">
        <v>-1.6536430278375002E-5</v>
      </c>
      <c r="E247" s="73">
        <v>1.6402435147319101E-2</v>
      </c>
      <c r="F247" s="73">
        <v>3.8830989683816399E-4</v>
      </c>
      <c r="G247" s="73">
        <v>0.306965746634487</v>
      </c>
      <c r="H247" s="73">
        <v>-3.2929560917300098E-5</v>
      </c>
      <c r="I247" s="73">
        <v>0.221704520470453</v>
      </c>
      <c r="J247" s="73">
        <v>2.6664908148361901</v>
      </c>
      <c r="K247" s="73"/>
      <c r="L247" s="73"/>
      <c r="M247" s="73"/>
      <c r="O247" s="13">
        <f t="shared" ca="1" si="80"/>
        <v>-4.0032606726976019E-6</v>
      </c>
      <c r="P247" s="13">
        <f t="shared" ca="1" si="81"/>
        <v>-2.7823905663215173E-5</v>
      </c>
      <c r="Q247" s="13">
        <f t="shared" ca="1" si="82"/>
        <v>1.5561695529346416E-2</v>
      </c>
      <c r="R247" s="13">
        <f t="shared" ca="1" si="83"/>
        <v>3.7853361794748286E-4</v>
      </c>
      <c r="S247" s="13">
        <f t="shared" ca="1" si="84"/>
        <v>0.30583066800124564</v>
      </c>
      <c r="T247" s="13">
        <f t="shared" ca="1" si="85"/>
        <v>-3.3279382428324188E-5</v>
      </c>
      <c r="U247" s="13">
        <f t="shared" ca="1" si="86"/>
        <v>0.22105067647566448</v>
      </c>
      <c r="V247" s="13">
        <f t="shared" ca="1" si="87"/>
        <v>2.659352033913736</v>
      </c>
      <c r="X247" s="3">
        <f t="shared" ca="1" si="88"/>
        <v>-4.0032606726976019E-6</v>
      </c>
      <c r="Y247" s="3">
        <f t="shared" ca="1" si="89"/>
        <v>-2.7823905663215173E-5</v>
      </c>
      <c r="Z247" s="3">
        <f t="shared" ca="1" si="90"/>
        <v>1.5561695529346416E-2</v>
      </c>
      <c r="AA247" s="3">
        <f t="shared" ca="1" si="91"/>
        <v>3.7853361794748286E-4</v>
      </c>
      <c r="AB247" s="3">
        <f t="shared" ca="1" si="92"/>
        <v>0.30583066800124564</v>
      </c>
      <c r="AC247" s="3">
        <f t="shared" ca="1" si="93"/>
        <v>-3.3279382428324188E-5</v>
      </c>
      <c r="AD247" s="3">
        <f t="shared" ca="1" si="94"/>
        <v>0.22105067647566448</v>
      </c>
      <c r="AE247" s="3">
        <f t="shared" ca="1" si="95"/>
        <v>2.659352033913736</v>
      </c>
      <c r="AG247" s="3">
        <f t="shared" ca="1" si="96"/>
        <v>-4.0032606726976019E-6</v>
      </c>
      <c r="AH247" s="3">
        <f t="shared" ca="1" si="97"/>
        <v>-2.7823905663215173E-5</v>
      </c>
      <c r="AI247" s="3">
        <f t="shared" ca="1" si="98"/>
        <v>1.5561695529346416E-2</v>
      </c>
      <c r="AJ247" s="3">
        <f t="shared" ca="1" si="99"/>
        <v>3.7853361794748286E-4</v>
      </c>
      <c r="AK247" s="3">
        <f t="shared" ca="1" si="100"/>
        <v>0.30583066800124564</v>
      </c>
      <c r="AL247" s="3">
        <f t="shared" ca="1" si="101"/>
        <v>-3.3279382428324188E-5</v>
      </c>
      <c r="AM247" s="3">
        <f t="shared" ca="1" si="102"/>
        <v>0.22105067647566448</v>
      </c>
      <c r="AN247" s="3">
        <f t="shared" ca="1" si="103"/>
        <v>2.659352033913736</v>
      </c>
      <c r="AP247" s="3">
        <f t="shared" ca="1" si="104"/>
        <v>8.6955047748936174</v>
      </c>
      <c r="AQ247" s="3">
        <f t="shared" ca="1" si="111"/>
        <v>0.40059702127566826</v>
      </c>
      <c r="AR247" s="3">
        <f t="shared" ca="1" si="105"/>
        <v>1.5163943980246348E-4</v>
      </c>
      <c r="AS247" s="3">
        <f t="shared" ca="1" si="106"/>
        <v>0.22089903703586203</v>
      </c>
      <c r="AT247" s="3">
        <f t="shared" ca="1" si="107"/>
        <v>0.70876889443744218</v>
      </c>
      <c r="AU247" s="3">
        <f t="shared" ca="1" si="108"/>
        <v>5.2875439196579124E-2</v>
      </c>
      <c r="AV247" s="10">
        <f t="shared" ca="1" si="112"/>
        <v>0.70876889443744218</v>
      </c>
      <c r="AW247" s="10">
        <f t="shared" ca="1" si="113"/>
        <v>0.70876889443744218</v>
      </c>
      <c r="AY247" s="3">
        <f t="shared" ca="1" si="119"/>
        <v>8.6955047748936174</v>
      </c>
      <c r="AZ247" s="3">
        <f t="shared" ca="1" si="114"/>
        <v>0.40059702127566826</v>
      </c>
      <c r="BA247" s="3">
        <f t="shared" ca="1" si="109"/>
        <v>1.5163943980246348E-4</v>
      </c>
      <c r="BB247" s="3">
        <f t="shared" ca="1" si="115"/>
        <v>0.22089903703586203</v>
      </c>
      <c r="BC247" s="3">
        <f t="shared" ca="1" si="116"/>
        <v>0.70876889443744218</v>
      </c>
      <c r="BD247" s="3">
        <f t="shared" ca="1" si="110"/>
        <v>5.2875439196579124E-2</v>
      </c>
      <c r="BE247" s="3">
        <f t="shared" ca="1" si="117"/>
        <v>0.70876889443744218</v>
      </c>
      <c r="BF247" s="3">
        <f t="shared" ca="1" si="118"/>
        <v>0.70876889443744218</v>
      </c>
    </row>
    <row r="248" spans="1:58" ht="15" x14ac:dyDescent="0.25">
      <c r="A248" s="72">
        <v>182</v>
      </c>
      <c r="B248" s="72">
        <v>1498730215.3659999</v>
      </c>
      <c r="C248" s="73">
        <v>1.7766002883559299E-4</v>
      </c>
      <c r="D248" s="73">
        <v>-1.15978787556927E-4</v>
      </c>
      <c r="E248" s="73">
        <v>1.52511941376686E-2</v>
      </c>
      <c r="F248" s="73">
        <v>4.1187492159639198E-4</v>
      </c>
      <c r="G248" s="73">
        <v>0.28430513864465501</v>
      </c>
      <c r="H248" s="73">
        <v>-2.30349666781669E-5</v>
      </c>
      <c r="I248" s="73">
        <v>0.20527463788615</v>
      </c>
      <c r="J248" s="73">
        <v>2.4683629026368901</v>
      </c>
      <c r="K248" s="73"/>
      <c r="L248" s="73"/>
      <c r="M248" s="73"/>
      <c r="O248" s="13">
        <f t="shared" ca="1" si="80"/>
        <v>-8.7027200435968596E-5</v>
      </c>
      <c r="P248" s="13">
        <f t="shared" ca="1" si="81"/>
        <v>-1.2726626294176717E-4</v>
      </c>
      <c r="Q248" s="13">
        <f t="shared" ca="1" si="82"/>
        <v>1.4410454519695914E-2</v>
      </c>
      <c r="R248" s="13">
        <f t="shared" ca="1" si="83"/>
        <v>4.0209864270571085E-4</v>
      </c>
      <c r="S248" s="13">
        <f t="shared" ca="1" si="84"/>
        <v>0.28317006001141365</v>
      </c>
      <c r="T248" s="13">
        <f t="shared" ca="1" si="85"/>
        <v>-2.3384788189190986E-5</v>
      </c>
      <c r="U248" s="13">
        <f t="shared" ca="1" si="86"/>
        <v>0.20462079389136148</v>
      </c>
      <c r="V248" s="13">
        <f t="shared" ca="1" si="87"/>
        <v>2.4612241217144359</v>
      </c>
      <c r="X248" s="3">
        <f t="shared" ca="1" si="88"/>
        <v>-8.7027200435968596E-5</v>
      </c>
      <c r="Y248" s="3">
        <f t="shared" ca="1" si="89"/>
        <v>-1.2726626294176717E-4</v>
      </c>
      <c r="Z248" s="3">
        <f t="shared" ca="1" si="90"/>
        <v>1.4410454519695914E-2</v>
      </c>
      <c r="AA248" s="3">
        <f t="shared" ca="1" si="91"/>
        <v>4.0209864270571085E-4</v>
      </c>
      <c r="AB248" s="3">
        <f t="shared" ca="1" si="92"/>
        <v>0.28317006001141365</v>
      </c>
      <c r="AC248" s="3">
        <f t="shared" ca="1" si="93"/>
        <v>-2.3384788189190986E-5</v>
      </c>
      <c r="AD248" s="3">
        <f t="shared" ca="1" si="94"/>
        <v>0.20462079389136148</v>
      </c>
      <c r="AE248" s="3">
        <f t="shared" ca="1" si="95"/>
        <v>2.4612241217144359</v>
      </c>
      <c r="AG248" s="3">
        <f t="shared" ca="1" si="96"/>
        <v>-8.7027200435968596E-5</v>
      </c>
      <c r="AH248" s="3">
        <f t="shared" ca="1" si="97"/>
        <v>-1.2726626294176717E-4</v>
      </c>
      <c r="AI248" s="3">
        <f t="shared" ca="1" si="98"/>
        <v>1.4410454519695914E-2</v>
      </c>
      <c r="AJ248" s="3">
        <f t="shared" ca="1" si="99"/>
        <v>4.0209864270571085E-4</v>
      </c>
      <c r="AK248" s="3">
        <f t="shared" ca="1" si="100"/>
        <v>0.28317006001141365</v>
      </c>
      <c r="AL248" s="3">
        <f t="shared" ca="1" si="101"/>
        <v>-2.3384788189190986E-5</v>
      </c>
      <c r="AM248" s="3">
        <f t="shared" ca="1" si="102"/>
        <v>0.20462079389136148</v>
      </c>
      <c r="AN248" s="3">
        <f t="shared" ca="1" si="103"/>
        <v>2.4612241217144359</v>
      </c>
      <c r="AP248" s="3">
        <f t="shared" ca="1" si="104"/>
        <v>8.6916820288671488</v>
      </c>
      <c r="AQ248" s="3">
        <f t="shared" ca="1" si="111"/>
        <v>0.40041877396651987</v>
      </c>
      <c r="AR248" s="3">
        <f t="shared" ca="1" si="105"/>
        <v>1.6100784552582246E-4</v>
      </c>
      <c r="AS248" s="3">
        <f t="shared" ca="1" si="106"/>
        <v>0.20445978604583565</v>
      </c>
      <c r="AT248" s="3">
        <f t="shared" ca="1" si="107"/>
        <v>0.7086774266671465</v>
      </c>
      <c r="AU248" s="3">
        <f t="shared" ca="1" si="108"/>
        <v>5.2858282218688199E-2</v>
      </c>
      <c r="AV248" s="10">
        <f t="shared" ca="1" si="112"/>
        <v>0.7086774266671465</v>
      </c>
      <c r="AW248" s="10">
        <f t="shared" ca="1" si="113"/>
        <v>0.7086774266671465</v>
      </c>
      <c r="AY248" s="3">
        <f t="shared" ca="1" si="119"/>
        <v>8.6916820288671488</v>
      </c>
      <c r="AZ248" s="3">
        <f t="shared" ca="1" si="114"/>
        <v>0.40041877396651987</v>
      </c>
      <c r="BA248" s="3">
        <f t="shared" ca="1" si="109"/>
        <v>1.6100784552582246E-4</v>
      </c>
      <c r="BB248" s="3">
        <f t="shared" ca="1" si="115"/>
        <v>0.20445978604583565</v>
      </c>
      <c r="BC248" s="3">
        <f t="shared" ca="1" si="116"/>
        <v>0.7086774266671465</v>
      </c>
      <c r="BD248" s="3">
        <f t="shared" ca="1" si="110"/>
        <v>5.2858282218688199E-2</v>
      </c>
      <c r="BE248" s="3">
        <f t="shared" ca="1" si="117"/>
        <v>0.7086774266671465</v>
      </c>
      <c r="BF248" s="3">
        <f t="shared" ca="1" si="118"/>
        <v>0.7086774266671465</v>
      </c>
    </row>
    <row r="249" spans="1:58" ht="15" x14ac:dyDescent="0.25">
      <c r="A249" s="72">
        <v>183</v>
      </c>
      <c r="B249" s="72">
        <v>1498730215.8929999</v>
      </c>
      <c r="C249" s="73">
        <v>2.76147642595744E-4</v>
      </c>
      <c r="D249" s="73">
        <v>5.1732620392753702E-5</v>
      </c>
      <c r="E249" s="73">
        <v>1.52275703771427E-2</v>
      </c>
      <c r="F249" s="73">
        <v>5.02569749502984E-4</v>
      </c>
      <c r="G249" s="73">
        <v>0.282006667617063</v>
      </c>
      <c r="H249" s="73">
        <v>-3.4554018323744901E-6</v>
      </c>
      <c r="I249" s="73">
        <v>0.20361573106525599</v>
      </c>
      <c r="J249" s="73">
        <v>2.4481384931607799</v>
      </c>
      <c r="K249" s="73"/>
      <c r="L249" s="73"/>
      <c r="M249" s="73"/>
      <c r="O249" s="13">
        <f t="shared" ca="1" si="80"/>
        <v>1.1460413324182418E-5</v>
      </c>
      <c r="P249" s="13">
        <f t="shared" ca="1" si="81"/>
        <v>4.0445145007913531E-5</v>
      </c>
      <c r="Q249" s="13">
        <f t="shared" ca="1" si="82"/>
        <v>1.4386830759170015E-2</v>
      </c>
      <c r="R249" s="13">
        <f t="shared" ca="1" si="83"/>
        <v>4.9279347061230287E-4</v>
      </c>
      <c r="S249" s="13">
        <f t="shared" ca="1" si="84"/>
        <v>0.28087158898382164</v>
      </c>
      <c r="T249" s="13">
        <f t="shared" ca="1" si="85"/>
        <v>-3.8052233433985765E-6</v>
      </c>
      <c r="U249" s="13">
        <f t="shared" ca="1" si="86"/>
        <v>0.20296188707046747</v>
      </c>
      <c r="V249" s="13">
        <f t="shared" ca="1" si="87"/>
        <v>2.4409997122383258</v>
      </c>
      <c r="X249" s="3">
        <f t="shared" ca="1" si="88"/>
        <v>1.1460413324182418E-5</v>
      </c>
      <c r="Y249" s="3">
        <f t="shared" ca="1" si="89"/>
        <v>4.0445145007913531E-5</v>
      </c>
      <c r="Z249" s="3">
        <f t="shared" ca="1" si="90"/>
        <v>1.4386830759170015E-2</v>
      </c>
      <c r="AA249" s="3">
        <f t="shared" ca="1" si="91"/>
        <v>4.9279347061230287E-4</v>
      </c>
      <c r="AB249" s="3">
        <f t="shared" ca="1" si="92"/>
        <v>0.28087158898382164</v>
      </c>
      <c r="AC249" s="3">
        <f t="shared" ca="1" si="93"/>
        <v>-3.8052233433985765E-6</v>
      </c>
      <c r="AD249" s="3">
        <f t="shared" ca="1" si="94"/>
        <v>0.20296188707046747</v>
      </c>
      <c r="AE249" s="3">
        <f t="shared" ca="1" si="95"/>
        <v>2.4409997122383258</v>
      </c>
      <c r="AG249" s="3">
        <f t="shared" ca="1" si="96"/>
        <v>1.1460413324182418E-5</v>
      </c>
      <c r="AH249" s="3">
        <f t="shared" ca="1" si="97"/>
        <v>4.0445145007913531E-5</v>
      </c>
      <c r="AI249" s="3">
        <f t="shared" ca="1" si="98"/>
        <v>1.4354252409397542E-2</v>
      </c>
      <c r="AJ249" s="3">
        <f t="shared" ca="1" si="99"/>
        <v>4.7480361826862704E-4</v>
      </c>
      <c r="AK249" s="3">
        <f t="shared" ca="1" si="100"/>
        <v>0.28087158898382164</v>
      </c>
      <c r="AL249" s="3">
        <f t="shared" ca="1" si="101"/>
        <v>-3.8052233433985765E-6</v>
      </c>
      <c r="AM249" s="3">
        <f t="shared" ca="1" si="102"/>
        <v>0.20296188707046747</v>
      </c>
      <c r="AN249" s="3">
        <f t="shared" ca="1" si="103"/>
        <v>2.4409997122383258</v>
      </c>
      <c r="AP249" s="3">
        <f t="shared" ca="1" si="104"/>
        <v>8.6908032281575078</v>
      </c>
      <c r="AQ249" s="3">
        <f t="shared" ca="1" si="111"/>
        <v>0.40037779731076156</v>
      </c>
      <c r="AR249" s="3">
        <f t="shared" ca="1" si="105"/>
        <v>1.9730356429287934E-4</v>
      </c>
      <c r="AS249" s="3">
        <f t="shared" ca="1" si="106"/>
        <v>0.2027645835061746</v>
      </c>
      <c r="AT249" s="3">
        <f t="shared" ca="1" si="107"/>
        <v>0.70858904436245995</v>
      </c>
      <c r="AU249" s="3">
        <f t="shared" ca="1" si="108"/>
        <v>5.3197973491313041E-2</v>
      </c>
      <c r="AV249" s="10">
        <f t="shared" ca="1" si="112"/>
        <v>0.70858904436245995</v>
      </c>
      <c r="AW249" s="10">
        <f t="shared" ca="1" si="113"/>
        <v>0.70858904436245995</v>
      </c>
      <c r="AY249" s="3">
        <f t="shared" ca="1" si="119"/>
        <v>8.6908032281575078</v>
      </c>
      <c r="AZ249" s="3">
        <f t="shared" ca="1" si="114"/>
        <v>0.40037779731076156</v>
      </c>
      <c r="BA249" s="3">
        <f t="shared" ca="1" si="109"/>
        <v>1.9010082683757257E-4</v>
      </c>
      <c r="BB249" s="3">
        <f t="shared" ca="1" si="115"/>
        <v>0.2027717862436299</v>
      </c>
      <c r="BC249" s="3">
        <f t="shared" ca="1" si="116"/>
        <v>0.70861421533049584</v>
      </c>
      <c r="BD249" s="3">
        <f t="shared" ca="1" si="110"/>
        <v>5.3077509004269427E-2</v>
      </c>
      <c r="BE249" s="3">
        <f t="shared" ca="1" si="117"/>
        <v>0.70861421533049584</v>
      </c>
      <c r="BF249" s="3">
        <f t="shared" ca="1" si="118"/>
        <v>0.70861421533049584</v>
      </c>
    </row>
    <row r="250" spans="1:58" ht="15" x14ac:dyDescent="0.25">
      <c r="A250" s="72">
        <v>184</v>
      </c>
      <c r="B250" s="72">
        <v>1498730216.4200001</v>
      </c>
      <c r="C250" s="73">
        <v>2.7686135640780203E-4</v>
      </c>
      <c r="D250" s="73">
        <v>-6.0944225288249398E-5</v>
      </c>
      <c r="E250" s="73">
        <v>1.52707203149294E-2</v>
      </c>
      <c r="F250" s="73">
        <v>4.6138708780512299E-4</v>
      </c>
      <c r="G250" s="73">
        <v>0.283386391665016</v>
      </c>
      <c r="H250" s="73">
        <v>-6.1191018545364996E-5</v>
      </c>
      <c r="I250" s="73">
        <v>0.20449662362988399</v>
      </c>
      <c r="J250" s="73">
        <v>2.45931960467591</v>
      </c>
      <c r="K250" s="73"/>
      <c r="L250" s="73"/>
      <c r="M250" s="73"/>
      <c r="O250" s="13">
        <f t="shared" ca="1" si="80"/>
        <v>1.2174127136240442E-5</v>
      </c>
      <c r="P250" s="13">
        <f t="shared" ca="1" si="81"/>
        <v>-7.223170067308957E-5</v>
      </c>
      <c r="Q250" s="13">
        <f t="shared" ca="1" si="82"/>
        <v>1.4429980696956715E-2</v>
      </c>
      <c r="R250" s="13">
        <f t="shared" ca="1" si="83"/>
        <v>4.5161080891444185E-4</v>
      </c>
      <c r="S250" s="13">
        <f t="shared" ca="1" si="84"/>
        <v>0.28225131303177464</v>
      </c>
      <c r="T250" s="13">
        <f t="shared" ca="1" si="85"/>
        <v>-6.1540840056389085E-5</v>
      </c>
      <c r="U250" s="13">
        <f t="shared" ca="1" si="86"/>
        <v>0.20384277963509548</v>
      </c>
      <c r="V250" s="13">
        <f t="shared" ca="1" si="87"/>
        <v>2.4521808237534559</v>
      </c>
      <c r="X250" s="3">
        <f t="shared" ca="1" si="88"/>
        <v>1.2174127136240442E-5</v>
      </c>
      <c r="Y250" s="3">
        <f t="shared" ca="1" si="89"/>
        <v>-7.223170067308957E-5</v>
      </c>
      <c r="Z250" s="3">
        <f t="shared" ca="1" si="90"/>
        <v>1.4429980696956715E-2</v>
      </c>
      <c r="AA250" s="3">
        <f t="shared" ca="1" si="91"/>
        <v>4.5161080891444185E-4</v>
      </c>
      <c r="AB250" s="3">
        <f t="shared" ca="1" si="92"/>
        <v>0.28225131303177464</v>
      </c>
      <c r="AC250" s="3">
        <f t="shared" ca="1" si="93"/>
        <v>-6.1540840056389085E-5</v>
      </c>
      <c r="AD250" s="3">
        <f t="shared" ca="1" si="94"/>
        <v>0.20384277963509548</v>
      </c>
      <c r="AE250" s="3">
        <f t="shared" ca="1" si="95"/>
        <v>2.4521808237534559</v>
      </c>
      <c r="AG250" s="3">
        <f t="shared" ca="1" si="96"/>
        <v>1.2174127136240442E-5</v>
      </c>
      <c r="AH250" s="3">
        <f t="shared" ca="1" si="97"/>
        <v>-7.223170067308957E-5</v>
      </c>
      <c r="AI250" s="3">
        <f t="shared" ca="1" si="98"/>
        <v>1.4429980696956715E-2</v>
      </c>
      <c r="AJ250" s="3">
        <f t="shared" ca="1" si="99"/>
        <v>4.5161080891444185E-4</v>
      </c>
      <c r="AK250" s="3">
        <f t="shared" ca="1" si="100"/>
        <v>0.28225131303177464</v>
      </c>
      <c r="AL250" s="3">
        <f t="shared" ca="1" si="101"/>
        <v>-6.1540840056389085E-5</v>
      </c>
      <c r="AM250" s="3">
        <f t="shared" ca="1" si="102"/>
        <v>0.20384277963509548</v>
      </c>
      <c r="AN250" s="3">
        <f t="shared" ca="1" si="103"/>
        <v>2.4521808237534559</v>
      </c>
      <c r="AP250" s="3">
        <f t="shared" ca="1" si="104"/>
        <v>8.6879341584405658</v>
      </c>
      <c r="AQ250" s="3">
        <f t="shared" ca="1" si="111"/>
        <v>0.40024401888595557</v>
      </c>
      <c r="AR250" s="3">
        <f t="shared" ca="1" si="105"/>
        <v>1.8075452513225353E-4</v>
      </c>
      <c r="AS250" s="3">
        <f t="shared" ca="1" si="106"/>
        <v>0.20366202510996323</v>
      </c>
      <c r="AT250" s="3">
        <f t="shared" ca="1" si="107"/>
        <v>0.70836393994713098</v>
      </c>
      <c r="AU250" s="3">
        <f t="shared" ca="1" si="108"/>
        <v>5.3078765591231612E-2</v>
      </c>
      <c r="AV250" s="10">
        <f t="shared" ca="1" si="112"/>
        <v>0.70836393994713098</v>
      </c>
      <c r="AW250" s="10">
        <f t="shared" ca="1" si="113"/>
        <v>0.70836393994713098</v>
      </c>
      <c r="AY250" s="3">
        <f t="shared" ca="1" si="119"/>
        <v>8.6879341584405658</v>
      </c>
      <c r="AZ250" s="3">
        <f t="shared" ca="1" si="114"/>
        <v>0.40024401888595557</v>
      </c>
      <c r="BA250" s="3">
        <f t="shared" ca="1" si="109"/>
        <v>1.8075452513225353E-4</v>
      </c>
      <c r="BB250" s="3">
        <f t="shared" ca="1" si="115"/>
        <v>0.20366202510996323</v>
      </c>
      <c r="BC250" s="3">
        <f t="shared" ca="1" si="116"/>
        <v>0.70836393994713098</v>
      </c>
      <c r="BD250" s="3">
        <f t="shared" ca="1" si="110"/>
        <v>5.3078765591231612E-2</v>
      </c>
      <c r="BE250" s="3">
        <f t="shared" ca="1" si="117"/>
        <v>0.70836393994713098</v>
      </c>
      <c r="BF250" s="3">
        <f t="shared" ca="1" si="118"/>
        <v>0.70836393994713098</v>
      </c>
    </row>
    <row r="251" spans="1:58" ht="15" x14ac:dyDescent="0.25">
      <c r="A251" s="72">
        <v>185</v>
      </c>
      <c r="B251" s="72">
        <v>1498730216.947</v>
      </c>
      <c r="C251" s="73">
        <v>3.1706805827630001E-4</v>
      </c>
      <c r="D251" s="73">
        <v>5.4319903940314998E-6</v>
      </c>
      <c r="E251" s="73">
        <v>1.5797587074805199E-2</v>
      </c>
      <c r="F251" s="73">
        <v>5.7970253932662804E-4</v>
      </c>
      <c r="G251" s="73">
        <v>0.29058082507015498</v>
      </c>
      <c r="H251" s="73">
        <v>-3.7179918773530202E-5</v>
      </c>
      <c r="I251" s="73">
        <v>0.20976833237851</v>
      </c>
      <c r="J251" s="73">
        <v>2.5225675347281502</v>
      </c>
      <c r="K251" s="73"/>
      <c r="L251" s="73"/>
      <c r="M251" s="73"/>
      <c r="O251" s="13">
        <f t="shared" ca="1" si="80"/>
        <v>5.2380829004738429E-5</v>
      </c>
      <c r="P251" s="13">
        <f t="shared" ca="1" si="81"/>
        <v>-5.8554849908086734E-6</v>
      </c>
      <c r="Q251" s="13">
        <f t="shared" ca="1" si="82"/>
        <v>1.4956847456832513E-2</v>
      </c>
      <c r="R251" s="13">
        <f t="shared" ca="1" si="83"/>
        <v>5.699262604359469E-4</v>
      </c>
      <c r="S251" s="13">
        <f t="shared" ca="1" si="84"/>
        <v>0.28944574643691362</v>
      </c>
      <c r="T251" s="13">
        <f t="shared" ca="1" si="85"/>
        <v>-3.7529740284554292E-5</v>
      </c>
      <c r="U251" s="13">
        <f t="shared" ca="1" si="86"/>
        <v>0.20911448838372149</v>
      </c>
      <c r="V251" s="13">
        <f t="shared" ca="1" si="87"/>
        <v>2.5154287538056961</v>
      </c>
      <c r="X251" s="3">
        <f t="shared" ca="1" si="88"/>
        <v>5.2380829004738429E-5</v>
      </c>
      <c r="Y251" s="3">
        <f t="shared" ca="1" si="89"/>
        <v>-5.8554849908086734E-6</v>
      </c>
      <c r="Z251" s="3">
        <f t="shared" ca="1" si="90"/>
        <v>1.4956847456832513E-2</v>
      </c>
      <c r="AA251" s="3">
        <f t="shared" ca="1" si="91"/>
        <v>5.699262604359469E-4</v>
      </c>
      <c r="AB251" s="3">
        <f t="shared" ca="1" si="92"/>
        <v>0.28944574643691362</v>
      </c>
      <c r="AC251" s="3">
        <f t="shared" ca="1" si="93"/>
        <v>-3.7529740284554292E-5</v>
      </c>
      <c r="AD251" s="3">
        <f t="shared" ca="1" si="94"/>
        <v>0.20911448838372149</v>
      </c>
      <c r="AE251" s="3">
        <f t="shared" ca="1" si="95"/>
        <v>2.5154287538056961</v>
      </c>
      <c r="AG251" s="3">
        <f t="shared" ca="1" si="96"/>
        <v>5.2380829004738429E-5</v>
      </c>
      <c r="AH251" s="3">
        <f t="shared" ca="1" si="97"/>
        <v>-5.8554849908086734E-6</v>
      </c>
      <c r="AI251" s="3">
        <f t="shared" ca="1" si="98"/>
        <v>1.4956847456832513E-2</v>
      </c>
      <c r="AJ251" s="3">
        <f t="shared" ca="1" si="99"/>
        <v>5.699262604359469E-4</v>
      </c>
      <c r="AK251" s="3">
        <f t="shared" ca="1" si="100"/>
        <v>0.28944574643691362</v>
      </c>
      <c r="AL251" s="3">
        <f t="shared" ca="1" si="101"/>
        <v>-3.7529740284554292E-5</v>
      </c>
      <c r="AM251" s="3">
        <f t="shared" ca="1" si="102"/>
        <v>0.20911448838372149</v>
      </c>
      <c r="AN251" s="3">
        <f t="shared" ca="1" si="103"/>
        <v>2.5154287538056961</v>
      </c>
      <c r="AP251" s="3">
        <f t="shared" ca="1" si="104"/>
        <v>8.690501708077262</v>
      </c>
      <c r="AQ251" s="3">
        <f t="shared" ca="1" si="111"/>
        <v>0.40036373806590531</v>
      </c>
      <c r="AR251" s="3">
        <f t="shared" ca="1" si="105"/>
        <v>2.2817780805005838E-4</v>
      </c>
      <c r="AS251" s="3">
        <f t="shared" ca="1" si="106"/>
        <v>0.20888631057567142</v>
      </c>
      <c r="AT251" s="3">
        <f t="shared" ca="1" si="107"/>
        <v>0.70837061977806715</v>
      </c>
      <c r="AU251" s="3">
        <f t="shared" ca="1" si="108"/>
        <v>5.366550737283006E-2</v>
      </c>
      <c r="AV251" s="10">
        <f t="shared" ca="1" si="112"/>
        <v>0.70837061977806715</v>
      </c>
      <c r="AW251" s="10">
        <f t="shared" ca="1" si="113"/>
        <v>0.70837061977806715</v>
      </c>
      <c r="AY251" s="3">
        <f t="shared" ca="1" si="119"/>
        <v>8.690501708077262</v>
      </c>
      <c r="AZ251" s="3">
        <f t="shared" ca="1" si="114"/>
        <v>0.40036373806590531</v>
      </c>
      <c r="BA251" s="3">
        <f t="shared" ca="1" si="109"/>
        <v>2.2817780805005838E-4</v>
      </c>
      <c r="BB251" s="3">
        <f t="shared" ca="1" si="115"/>
        <v>0.20888631057567142</v>
      </c>
      <c r="BC251" s="3">
        <f t="shared" ca="1" si="116"/>
        <v>0.70837061977806715</v>
      </c>
      <c r="BD251" s="3">
        <f t="shared" ca="1" si="110"/>
        <v>5.366550737283006E-2</v>
      </c>
      <c r="BE251" s="3">
        <f t="shared" ca="1" si="117"/>
        <v>0.70837061977806715</v>
      </c>
      <c r="BF251" s="3">
        <f t="shared" ca="1" si="118"/>
        <v>0.70837061977806715</v>
      </c>
    </row>
    <row r="252" spans="1:58" ht="15" x14ac:dyDescent="0.25">
      <c r="A252" s="72">
        <v>186</v>
      </c>
      <c r="B252" s="72">
        <v>1498730217.473</v>
      </c>
      <c r="C252" s="73">
        <v>3.4894907911444799E-4</v>
      </c>
      <c r="D252" s="73">
        <v>8.0553491323702602E-5</v>
      </c>
      <c r="E252" s="73">
        <v>1.5301336190326901E-2</v>
      </c>
      <c r="F252" s="73">
        <v>4.9733255378347498E-4</v>
      </c>
      <c r="G252" s="73">
        <v>0.28026399326259299</v>
      </c>
      <c r="H252" s="73">
        <v>7.5421596681063196E-5</v>
      </c>
      <c r="I252" s="73">
        <v>0.20258224404733999</v>
      </c>
      <c r="J252" s="73">
        <v>2.4351711899027202</v>
      </c>
      <c r="K252" s="73"/>
      <c r="L252" s="73"/>
      <c r="M252" s="73"/>
      <c r="O252" s="13">
        <f t="shared" ca="1" si="80"/>
        <v>8.426184984288641E-5</v>
      </c>
      <c r="P252" s="13">
        <f t="shared" ca="1" si="81"/>
        <v>6.9266015938862423E-5</v>
      </c>
      <c r="Q252" s="13">
        <f t="shared" ca="1" si="82"/>
        <v>1.4460596572354215E-2</v>
      </c>
      <c r="R252" s="13">
        <f t="shared" ca="1" si="83"/>
        <v>4.8755627489279385E-4</v>
      </c>
      <c r="S252" s="13">
        <f t="shared" ca="1" si="84"/>
        <v>0.27912891462935163</v>
      </c>
      <c r="T252" s="13">
        <f t="shared" ca="1" si="85"/>
        <v>7.5071775170039106E-5</v>
      </c>
      <c r="U252" s="13">
        <f t="shared" ca="1" si="86"/>
        <v>0.20192840005255147</v>
      </c>
      <c r="V252" s="13">
        <f t="shared" ca="1" si="87"/>
        <v>2.4280324089802661</v>
      </c>
      <c r="X252" s="3">
        <f t="shared" ca="1" si="88"/>
        <v>8.426184984288641E-5</v>
      </c>
      <c r="Y252" s="3">
        <f t="shared" ca="1" si="89"/>
        <v>6.9266015938862423E-5</v>
      </c>
      <c r="Z252" s="3">
        <f t="shared" ca="1" si="90"/>
        <v>1.4460022217097373E-2</v>
      </c>
      <c r="AA252" s="3">
        <f t="shared" ca="1" si="91"/>
        <v>4.736542669714713E-4</v>
      </c>
      <c r="AB252" s="3">
        <f t="shared" ca="1" si="92"/>
        <v>0.27902781505061863</v>
      </c>
      <c r="AC252" s="3">
        <f t="shared" ca="1" si="93"/>
        <v>7.5071775170039106E-5</v>
      </c>
      <c r="AD252" s="3">
        <f t="shared" ca="1" si="94"/>
        <v>0.20177910031959362</v>
      </c>
      <c r="AE252" s="3">
        <f t="shared" ca="1" si="95"/>
        <v>2.4279718266218029</v>
      </c>
      <c r="AG252" s="3">
        <f t="shared" ca="1" si="96"/>
        <v>8.426184984288641E-5</v>
      </c>
      <c r="AH252" s="3">
        <f t="shared" ca="1" si="97"/>
        <v>6.9266015938862423E-5</v>
      </c>
      <c r="AI252" s="3">
        <f t="shared" ca="1" si="98"/>
        <v>1.4404228808663296E-2</v>
      </c>
      <c r="AJ252" s="3">
        <f t="shared" ca="1" si="99"/>
        <v>4.4284499681232058E-4</v>
      </c>
      <c r="AK252" s="3">
        <f t="shared" ca="1" si="100"/>
        <v>0.27902781505061863</v>
      </c>
      <c r="AL252" s="3">
        <f t="shared" ca="1" si="101"/>
        <v>7.5071775170039106E-5</v>
      </c>
      <c r="AM252" s="3">
        <f t="shared" ca="1" si="102"/>
        <v>0.20177910031959362</v>
      </c>
      <c r="AN252" s="3">
        <f t="shared" ca="1" si="103"/>
        <v>2.4279718266218029</v>
      </c>
      <c r="AP252" s="3">
        <f t="shared" ca="1" si="104"/>
        <v>8.6986058474249806</v>
      </c>
      <c r="AQ252" s="3">
        <f t="shared" ca="1" si="111"/>
        <v>0.40074161903329936</v>
      </c>
      <c r="AR252" s="3">
        <f t="shared" ca="1" si="105"/>
        <v>1.9538409097038257E-4</v>
      </c>
      <c r="AS252" s="3">
        <f t="shared" ca="1" si="106"/>
        <v>0.20173301596158108</v>
      </c>
      <c r="AT252" s="3">
        <f t="shared" ca="1" si="107"/>
        <v>0.70906497094056364</v>
      </c>
      <c r="AU252" s="3">
        <f t="shared" ca="1" si="108"/>
        <v>5.3853997451527205E-2</v>
      </c>
      <c r="AV252" s="10">
        <f t="shared" ca="1" si="112"/>
        <v>0.70906497094056364</v>
      </c>
      <c r="AW252" s="10">
        <f t="shared" ca="1" si="113"/>
        <v>0.70906497094056364</v>
      </c>
      <c r="AY252" s="3">
        <f t="shared" ca="1" si="119"/>
        <v>8.7015404761039434</v>
      </c>
      <c r="AZ252" s="3">
        <f t="shared" ca="1" si="114"/>
        <v>0.40087845637191832</v>
      </c>
      <c r="BA252" s="3">
        <f t="shared" ca="1" si="109"/>
        <v>1.7752701873415016E-4</v>
      </c>
      <c r="BB252" s="3">
        <f t="shared" ca="1" si="115"/>
        <v>0.20160157330085945</v>
      </c>
      <c r="BC252" s="3">
        <f t="shared" ca="1" si="116"/>
        <v>0.70873931200074236</v>
      </c>
      <c r="BD252" s="3">
        <f t="shared" ca="1" si="110"/>
        <v>5.3682035324873117E-2</v>
      </c>
      <c r="BE252" s="3">
        <f t="shared" ca="1" si="117"/>
        <v>0.70873931200074236</v>
      </c>
      <c r="BF252" s="3">
        <f t="shared" ca="1" si="118"/>
        <v>0.70873931200074236</v>
      </c>
    </row>
    <row r="253" spans="1:58" ht="15" x14ac:dyDescent="0.25">
      <c r="A253" s="72">
        <v>187</v>
      </c>
      <c r="B253" s="72">
        <v>1498730218</v>
      </c>
      <c r="C253" s="73">
        <v>2.3855943606260999E-4</v>
      </c>
      <c r="D253" s="73">
        <v>3.5196433074349799E-5</v>
      </c>
      <c r="E253" s="73">
        <v>1.50930700792573E-2</v>
      </c>
      <c r="F253" s="73">
        <v>4.8995291551187105E-4</v>
      </c>
      <c r="G253" s="73">
        <v>0.28050967451527498</v>
      </c>
      <c r="H253" s="73">
        <v>-5.6658394790243803E-5</v>
      </c>
      <c r="I253" s="73">
        <v>0.202458782622841</v>
      </c>
      <c r="J253" s="73">
        <v>2.4352937259109102</v>
      </c>
      <c r="K253" s="73"/>
      <c r="L253" s="73"/>
      <c r="M253" s="73"/>
      <c r="O253" s="13">
        <f t="shared" ca="1" si="80"/>
        <v>-2.6127793208951595E-5</v>
      </c>
      <c r="P253" s="13">
        <f t="shared" ca="1" si="81"/>
        <v>2.3908957689509627E-5</v>
      </c>
      <c r="Q253" s="13">
        <f t="shared" ca="1" si="82"/>
        <v>1.4252330461284615E-2</v>
      </c>
      <c r="R253" s="13">
        <f t="shared" ca="1" si="83"/>
        <v>4.8017663662118992E-4</v>
      </c>
      <c r="S253" s="13">
        <f t="shared" ca="1" si="84"/>
        <v>0.27937459588203362</v>
      </c>
      <c r="T253" s="13">
        <f t="shared" ca="1" si="85"/>
        <v>-5.7008216301267892E-5</v>
      </c>
      <c r="U253" s="13">
        <f t="shared" ca="1" si="86"/>
        <v>0.20180493862805249</v>
      </c>
      <c r="V253" s="13">
        <f t="shared" ca="1" si="87"/>
        <v>2.4281549449884561</v>
      </c>
      <c r="X253" s="3">
        <f t="shared" ca="1" si="88"/>
        <v>-2.6127793208951595E-5</v>
      </c>
      <c r="Y253" s="3">
        <f t="shared" ca="1" si="89"/>
        <v>2.3908957689509627E-5</v>
      </c>
      <c r="Z253" s="3">
        <f t="shared" ca="1" si="90"/>
        <v>1.4252330461284615E-2</v>
      </c>
      <c r="AA253" s="3">
        <f t="shared" ca="1" si="91"/>
        <v>4.8017663662118992E-4</v>
      </c>
      <c r="AB253" s="3">
        <f t="shared" ca="1" si="92"/>
        <v>0.27937459588203362</v>
      </c>
      <c r="AC253" s="3">
        <f t="shared" ca="1" si="93"/>
        <v>-5.7008216301267892E-5</v>
      </c>
      <c r="AD253" s="3">
        <f t="shared" ca="1" si="94"/>
        <v>0.20180493862805249</v>
      </c>
      <c r="AE253" s="3">
        <f t="shared" ca="1" si="95"/>
        <v>2.4281549449884561</v>
      </c>
      <c r="AG253" s="3">
        <f t="shared" ca="1" si="96"/>
        <v>-2.6127793208951595E-5</v>
      </c>
      <c r="AH253" s="3">
        <f t="shared" ca="1" si="97"/>
        <v>2.3908957689509627E-5</v>
      </c>
      <c r="AI253" s="3">
        <f t="shared" ca="1" si="98"/>
        <v>1.4233071922684946E-2</v>
      </c>
      <c r="AJ253" s="3">
        <f t="shared" ca="1" si="99"/>
        <v>4.695420198225281E-4</v>
      </c>
      <c r="AK253" s="3">
        <f t="shared" ca="1" si="100"/>
        <v>0.27937459588203362</v>
      </c>
      <c r="AL253" s="3">
        <f t="shared" ca="1" si="101"/>
        <v>-5.7008216301267892E-5</v>
      </c>
      <c r="AM253" s="3">
        <f t="shared" ca="1" si="102"/>
        <v>0.20180493862805249</v>
      </c>
      <c r="AN253" s="3">
        <f t="shared" ca="1" si="103"/>
        <v>2.4281549449884561</v>
      </c>
      <c r="AP253" s="3">
        <f t="shared" ca="1" si="104"/>
        <v>8.6913949255921192</v>
      </c>
      <c r="AQ253" s="3">
        <f t="shared" ca="1" si="111"/>
        <v>0.40040538693030564</v>
      </c>
      <c r="AR253" s="3">
        <f t="shared" ca="1" si="105"/>
        <v>1.9226531198120032E-4</v>
      </c>
      <c r="AS253" s="3">
        <f t="shared" ca="1" si="106"/>
        <v>0.2016126733160713</v>
      </c>
      <c r="AT253" s="3">
        <f t="shared" ca="1" si="107"/>
        <v>0.70831456267151838</v>
      </c>
      <c r="AU253" s="3">
        <f t="shared" ca="1" si="108"/>
        <v>5.2986714451135904E-2</v>
      </c>
      <c r="AV253" s="10">
        <f t="shared" ca="1" si="112"/>
        <v>0.70831456267151838</v>
      </c>
      <c r="AW253" s="10">
        <f t="shared" ca="1" si="113"/>
        <v>0.70831456267151838</v>
      </c>
      <c r="AY253" s="3">
        <f t="shared" ca="1" si="119"/>
        <v>8.6913949255921192</v>
      </c>
      <c r="AZ253" s="3">
        <f t="shared" ca="1" si="114"/>
        <v>0.40040538693030564</v>
      </c>
      <c r="BA253" s="3">
        <f t="shared" ca="1" si="109"/>
        <v>1.880071541270766E-4</v>
      </c>
      <c r="BB253" s="3">
        <f t="shared" ca="1" si="115"/>
        <v>0.2016169314739254</v>
      </c>
      <c r="BC253" s="3">
        <f t="shared" ca="1" si="116"/>
        <v>0.70832952262006033</v>
      </c>
      <c r="BD253" s="3">
        <f t="shared" ca="1" si="110"/>
        <v>5.2915115866729034E-2</v>
      </c>
      <c r="BE253" s="3">
        <f t="shared" ca="1" si="117"/>
        <v>0.70832952262006033</v>
      </c>
      <c r="BF253" s="3">
        <f t="shared" ca="1" si="118"/>
        <v>0.70832952262006033</v>
      </c>
    </row>
    <row r="254" spans="1:58" ht="15" x14ac:dyDescent="0.25">
      <c r="A254" s="72">
        <v>188</v>
      </c>
      <c r="B254" s="72">
        <v>1498730218.527</v>
      </c>
      <c r="C254" s="73">
        <v>2.9327691487487798E-4</v>
      </c>
      <c r="D254" s="73">
        <v>6.6851661405978395E-5</v>
      </c>
      <c r="E254" s="73">
        <v>1.4814966633729399E-2</v>
      </c>
      <c r="F254" s="73">
        <v>4.3996325312424501E-4</v>
      </c>
      <c r="G254" s="73">
        <v>0.27372018964827299</v>
      </c>
      <c r="H254" s="73">
        <v>-2.1932347415096201E-7</v>
      </c>
      <c r="I254" s="73">
        <v>0.197684163478344</v>
      </c>
      <c r="J254" s="73">
        <v>2.3776736433201102</v>
      </c>
      <c r="K254" s="73"/>
      <c r="L254" s="73"/>
      <c r="M254" s="73"/>
      <c r="O254" s="13">
        <f t="shared" ca="1" si="80"/>
        <v>2.8589685603316395E-5</v>
      </c>
      <c r="P254" s="13">
        <f t="shared" ca="1" si="81"/>
        <v>5.5564186021138223E-5</v>
      </c>
      <c r="Q254" s="13">
        <f t="shared" ca="1" si="82"/>
        <v>1.3974227015756714E-2</v>
      </c>
      <c r="R254" s="13">
        <f t="shared" ca="1" si="83"/>
        <v>4.3018697423356388E-4</v>
      </c>
      <c r="S254" s="13">
        <f t="shared" ca="1" si="84"/>
        <v>0.27258511101503163</v>
      </c>
      <c r="T254" s="13">
        <f t="shared" ca="1" si="85"/>
        <v>-5.6914498517504868E-7</v>
      </c>
      <c r="U254" s="13">
        <f t="shared" ca="1" si="86"/>
        <v>0.19703031948355548</v>
      </c>
      <c r="V254" s="13">
        <f t="shared" ca="1" si="87"/>
        <v>2.3705348623976561</v>
      </c>
      <c r="X254" s="3">
        <f t="shared" ca="1" si="88"/>
        <v>2.8589685603316395E-5</v>
      </c>
      <c r="Y254" s="3">
        <f t="shared" ca="1" si="89"/>
        <v>5.5564186021138223E-5</v>
      </c>
      <c r="Z254" s="3">
        <f t="shared" ca="1" si="90"/>
        <v>1.3974227015756714E-2</v>
      </c>
      <c r="AA254" s="3">
        <f t="shared" ca="1" si="91"/>
        <v>4.3018697423356388E-4</v>
      </c>
      <c r="AB254" s="3">
        <f t="shared" ca="1" si="92"/>
        <v>0.27258511101503163</v>
      </c>
      <c r="AC254" s="3">
        <f t="shared" ca="1" si="93"/>
        <v>-5.6914498517504868E-7</v>
      </c>
      <c r="AD254" s="3">
        <f t="shared" ca="1" si="94"/>
        <v>0.19703031948355548</v>
      </c>
      <c r="AE254" s="3">
        <f t="shared" ca="1" si="95"/>
        <v>2.3705348623976561</v>
      </c>
      <c r="AG254" s="3">
        <f t="shared" ca="1" si="96"/>
        <v>2.8589685603316395E-5</v>
      </c>
      <c r="AH254" s="3">
        <f t="shared" ca="1" si="97"/>
        <v>5.5564186021138223E-5</v>
      </c>
      <c r="AI254" s="3">
        <f t="shared" ca="1" si="98"/>
        <v>1.392947035864335E-2</v>
      </c>
      <c r="AJ254" s="3">
        <f t="shared" ca="1" si="99"/>
        <v>4.0547222783022591E-4</v>
      </c>
      <c r="AK254" s="3">
        <f t="shared" ca="1" si="100"/>
        <v>0.27258511101503163</v>
      </c>
      <c r="AL254" s="3">
        <f t="shared" ca="1" si="101"/>
        <v>-5.6914498517504868E-7</v>
      </c>
      <c r="AM254" s="3">
        <f t="shared" ca="1" si="102"/>
        <v>0.19703031948355548</v>
      </c>
      <c r="AN254" s="3">
        <f t="shared" ca="1" si="103"/>
        <v>2.3705348623976561</v>
      </c>
      <c r="AP254" s="3">
        <f t="shared" ca="1" si="104"/>
        <v>8.6964942933619493</v>
      </c>
      <c r="AQ254" s="3">
        <f t="shared" ca="1" si="111"/>
        <v>0.4006431607772547</v>
      </c>
      <c r="AR254" s="3">
        <f t="shared" ca="1" si="105"/>
        <v>1.7235146908213845E-4</v>
      </c>
      <c r="AS254" s="3">
        <f t="shared" ca="1" si="106"/>
        <v>0.19685796801447333</v>
      </c>
      <c r="AT254" s="3">
        <f t="shared" ca="1" si="107"/>
        <v>0.70862723703902264</v>
      </c>
      <c r="AU254" s="3">
        <f t="shared" ca="1" si="108"/>
        <v>5.3278788195166966E-2</v>
      </c>
      <c r="AV254" s="10">
        <f t="shared" ca="1" si="112"/>
        <v>0.70862723703902264</v>
      </c>
      <c r="AW254" s="10">
        <f t="shared" ca="1" si="113"/>
        <v>0.70862723703902264</v>
      </c>
      <c r="AY254" s="3">
        <f t="shared" ca="1" si="119"/>
        <v>8.6964942933619493</v>
      </c>
      <c r="AZ254" s="3">
        <f t="shared" ca="1" si="114"/>
        <v>0.4006431607772547</v>
      </c>
      <c r="BA254" s="3">
        <f t="shared" ca="1" si="109"/>
        <v>1.6244967496529685E-4</v>
      </c>
      <c r="BB254" s="3">
        <f t="shared" ca="1" si="115"/>
        <v>0.1968678698085902</v>
      </c>
      <c r="BC254" s="3">
        <f t="shared" ca="1" si="116"/>
        <v>0.70866288040706882</v>
      </c>
      <c r="BD254" s="3">
        <f t="shared" ca="1" si="110"/>
        <v>5.3108146881555997E-2</v>
      </c>
      <c r="BE254" s="3">
        <f t="shared" ca="1" si="117"/>
        <v>0.70866288040706882</v>
      </c>
      <c r="BF254" s="3">
        <f t="shared" ca="1" si="118"/>
        <v>0.70866288040706882</v>
      </c>
    </row>
    <row r="255" spans="1:58" ht="15" x14ac:dyDescent="0.25">
      <c r="A255" s="72">
        <v>189</v>
      </c>
      <c r="B255" s="72">
        <v>1498730219.0539999</v>
      </c>
      <c r="C255" s="73">
        <v>2.6544199663092898E-4</v>
      </c>
      <c r="D255" s="73">
        <v>-4.3937219493156801E-5</v>
      </c>
      <c r="E255" s="73">
        <v>1.49448511971786E-2</v>
      </c>
      <c r="F255" s="73">
        <v>4.9185733307219705E-4</v>
      </c>
      <c r="G255" s="73">
        <v>0.27698850825029298</v>
      </c>
      <c r="H255" s="73">
        <v>-3.5314506369495597E-5</v>
      </c>
      <c r="I255" s="73">
        <v>0.200072229642834</v>
      </c>
      <c r="J255" s="73">
        <v>2.4037945510976102</v>
      </c>
      <c r="K255" s="73"/>
      <c r="L255" s="73"/>
      <c r="M255" s="73"/>
      <c r="O255" s="13">
        <f t="shared" ca="1" si="80"/>
        <v>7.5476735936740036E-7</v>
      </c>
      <c r="P255" s="13">
        <f t="shared" ca="1" si="81"/>
        <v>-5.5224694877996972E-5</v>
      </c>
      <c r="Q255" s="13">
        <f t="shared" ca="1" si="82"/>
        <v>1.4104111579205915E-2</v>
      </c>
      <c r="R255" s="13">
        <f t="shared" ca="1" si="83"/>
        <v>4.8208105418151592E-4</v>
      </c>
      <c r="S255" s="13">
        <f t="shared" ca="1" si="84"/>
        <v>0.27585342961705162</v>
      </c>
      <c r="T255" s="13">
        <f t="shared" ca="1" si="85"/>
        <v>-3.5664327880519687E-5</v>
      </c>
      <c r="U255" s="13">
        <f t="shared" ca="1" si="86"/>
        <v>0.19941838564804548</v>
      </c>
      <c r="V255" s="13">
        <f t="shared" ca="1" si="87"/>
        <v>2.3966557701751561</v>
      </c>
      <c r="X255" s="3">
        <f t="shared" ca="1" si="88"/>
        <v>7.5476735936740036E-7</v>
      </c>
      <c r="Y255" s="3">
        <f t="shared" ca="1" si="89"/>
        <v>-5.5224694877996972E-5</v>
      </c>
      <c r="Z255" s="3">
        <f t="shared" ca="1" si="90"/>
        <v>1.4104111579205915E-2</v>
      </c>
      <c r="AA255" s="3">
        <f t="shared" ca="1" si="91"/>
        <v>4.8208105418151592E-4</v>
      </c>
      <c r="AB255" s="3">
        <f t="shared" ca="1" si="92"/>
        <v>0.27585342961705162</v>
      </c>
      <c r="AC255" s="3">
        <f t="shared" ca="1" si="93"/>
        <v>-3.5664327880519687E-5</v>
      </c>
      <c r="AD255" s="3">
        <f t="shared" ca="1" si="94"/>
        <v>0.19941838564804548</v>
      </c>
      <c r="AE255" s="3">
        <f t="shared" ca="1" si="95"/>
        <v>2.3966557701751561</v>
      </c>
      <c r="AG255" s="3">
        <f t="shared" ca="1" si="96"/>
        <v>7.5476735936740036E-7</v>
      </c>
      <c r="AH255" s="3">
        <f t="shared" ca="1" si="97"/>
        <v>-5.5224694877996972E-5</v>
      </c>
      <c r="AI255" s="3">
        <f t="shared" ca="1" si="98"/>
        <v>1.4104111579205915E-2</v>
      </c>
      <c r="AJ255" s="3">
        <f t="shared" ca="1" si="99"/>
        <v>4.8208105418151592E-4</v>
      </c>
      <c r="AK255" s="3">
        <f t="shared" ca="1" si="100"/>
        <v>0.27585342961705162</v>
      </c>
      <c r="AL255" s="3">
        <f t="shared" ca="1" si="101"/>
        <v>-3.5664327880519687E-5</v>
      </c>
      <c r="AM255" s="3">
        <f t="shared" ca="1" si="102"/>
        <v>0.19941838564804548</v>
      </c>
      <c r="AN255" s="3">
        <f t="shared" ca="1" si="103"/>
        <v>2.3966557701751561</v>
      </c>
      <c r="AP255" s="3">
        <f t="shared" ca="1" si="104"/>
        <v>8.6881492591999621</v>
      </c>
      <c r="AQ255" s="3">
        <f t="shared" ca="1" si="111"/>
        <v>0.4002540485437554</v>
      </c>
      <c r="AR255" s="3">
        <f t="shared" ca="1" si="105"/>
        <v>1.9295489366239326E-4</v>
      </c>
      <c r="AS255" s="3">
        <f t="shared" ca="1" si="106"/>
        <v>0.19922543075438309</v>
      </c>
      <c r="AT255" s="3">
        <f t="shared" ca="1" si="107"/>
        <v>0.70899525688715737</v>
      </c>
      <c r="AU255" s="3">
        <f t="shared" ca="1" si="108"/>
        <v>5.3084702121866473E-2</v>
      </c>
      <c r="AV255" s="10">
        <f t="shared" ca="1" si="112"/>
        <v>0.70899525688715737</v>
      </c>
      <c r="AW255" s="10">
        <f t="shared" ca="1" si="113"/>
        <v>0.70899525688715737</v>
      </c>
      <c r="AY255" s="3">
        <f t="shared" ca="1" si="119"/>
        <v>8.6881492591999621</v>
      </c>
      <c r="AZ255" s="3">
        <f t="shared" ca="1" si="114"/>
        <v>0.4002540485437554</v>
      </c>
      <c r="BA255" s="3">
        <f t="shared" ca="1" si="109"/>
        <v>1.9295489366239326E-4</v>
      </c>
      <c r="BB255" s="3">
        <f t="shared" ca="1" si="115"/>
        <v>0.19922543075438309</v>
      </c>
      <c r="BC255" s="3">
        <f t="shared" ca="1" si="116"/>
        <v>0.70899525688715737</v>
      </c>
      <c r="BD255" s="3">
        <f t="shared" ca="1" si="110"/>
        <v>5.3084702121866473E-2</v>
      </c>
      <c r="BE255" s="3">
        <f t="shared" ca="1" si="117"/>
        <v>0.70899525688715737</v>
      </c>
      <c r="BF255" s="3">
        <f t="shared" ca="1" si="118"/>
        <v>0.70899525688715737</v>
      </c>
    </row>
    <row r="256" spans="1:58" ht="15" x14ac:dyDescent="0.25">
      <c r="A256" s="72">
        <v>190</v>
      </c>
      <c r="B256" s="72">
        <v>1498730219.5810001</v>
      </c>
      <c r="C256" s="73">
        <v>2.2951944555719801E-4</v>
      </c>
      <c r="D256" s="73">
        <v>-7.5825116217187905E-5</v>
      </c>
      <c r="E256" s="73">
        <v>1.6291668105070701E-2</v>
      </c>
      <c r="F256" s="73">
        <v>5.3780250715176696E-4</v>
      </c>
      <c r="G256" s="73">
        <v>0.303220890465557</v>
      </c>
      <c r="H256" s="73">
        <v>-2.3200278271271899E-5</v>
      </c>
      <c r="I256" s="73">
        <v>0.21870887756523999</v>
      </c>
      <c r="J256" s="73">
        <v>2.6297101488424399</v>
      </c>
      <c r="K256" s="73"/>
      <c r="L256" s="73"/>
      <c r="M256" s="73"/>
      <c r="O256" s="13">
        <f t="shared" ca="1" si="80"/>
        <v>-3.5167783714363572E-5</v>
      </c>
      <c r="P256" s="13">
        <f t="shared" ca="1" si="81"/>
        <v>-8.7112591602028083E-5</v>
      </c>
      <c r="Q256" s="13">
        <f t="shared" ca="1" si="82"/>
        <v>1.5450928487098016E-2</v>
      </c>
      <c r="R256" s="13">
        <f t="shared" ca="1" si="83"/>
        <v>5.2802622826108583E-4</v>
      </c>
      <c r="S256" s="13">
        <f t="shared" ca="1" si="84"/>
        <v>0.30208581183231564</v>
      </c>
      <c r="T256" s="13">
        <f t="shared" ca="1" si="85"/>
        <v>-2.3550099782295985E-5</v>
      </c>
      <c r="U256" s="13">
        <f t="shared" ca="1" si="86"/>
        <v>0.21805503357045147</v>
      </c>
      <c r="V256" s="13">
        <f t="shared" ca="1" si="87"/>
        <v>2.6225713679199858</v>
      </c>
      <c r="X256" s="3">
        <f t="shared" ca="1" si="88"/>
        <v>-3.5167783714363572E-5</v>
      </c>
      <c r="Y256" s="3">
        <f t="shared" ca="1" si="89"/>
        <v>-8.7112591602028083E-5</v>
      </c>
      <c r="Z256" s="3">
        <f t="shared" ca="1" si="90"/>
        <v>1.5450928487098016E-2</v>
      </c>
      <c r="AA256" s="3">
        <f t="shared" ca="1" si="91"/>
        <v>5.2802622826108583E-4</v>
      </c>
      <c r="AB256" s="3">
        <f t="shared" ca="1" si="92"/>
        <v>0.30208581183231564</v>
      </c>
      <c r="AC256" s="3">
        <f t="shared" ca="1" si="93"/>
        <v>-2.3550099782295985E-5</v>
      </c>
      <c r="AD256" s="3">
        <f t="shared" ca="1" si="94"/>
        <v>0.21805503357045147</v>
      </c>
      <c r="AE256" s="3">
        <f t="shared" ca="1" si="95"/>
        <v>2.6225713679199858</v>
      </c>
      <c r="AG256" s="3">
        <f t="shared" ca="1" si="96"/>
        <v>-3.5167783714363572E-5</v>
      </c>
      <c r="AH256" s="3">
        <f t="shared" ca="1" si="97"/>
        <v>-8.7112591602028083E-5</v>
      </c>
      <c r="AI256" s="3">
        <f t="shared" ca="1" si="98"/>
        <v>1.5450928487098016E-2</v>
      </c>
      <c r="AJ256" s="3">
        <f t="shared" ca="1" si="99"/>
        <v>5.2802622826108583E-4</v>
      </c>
      <c r="AK256" s="3">
        <f t="shared" ca="1" si="100"/>
        <v>0.30208581183231564</v>
      </c>
      <c r="AL256" s="3">
        <f t="shared" ca="1" si="101"/>
        <v>-2.3550099782295985E-5</v>
      </c>
      <c r="AM256" s="3">
        <f t="shared" ca="1" si="102"/>
        <v>0.21805503357045147</v>
      </c>
      <c r="AN256" s="3">
        <f t="shared" ca="1" si="103"/>
        <v>2.6225713679199858</v>
      </c>
      <c r="AP256" s="3">
        <f t="shared" ca="1" si="104"/>
        <v>8.681544333421872</v>
      </c>
      <c r="AQ256" s="3">
        <f t="shared" ca="1" si="111"/>
        <v>0.3999460772934737</v>
      </c>
      <c r="AR256" s="3">
        <f t="shared" ca="1" si="105"/>
        <v>2.1118201870108961E-4</v>
      </c>
      <c r="AS256" s="3">
        <f t="shared" ca="1" si="106"/>
        <v>0.21784385155175037</v>
      </c>
      <c r="AT256" s="3">
        <f t="shared" ca="1" si="107"/>
        <v>0.70820379829177316</v>
      </c>
      <c r="AU256" s="3">
        <f t="shared" ca="1" si="108"/>
        <v>5.3062575624979881E-2</v>
      </c>
      <c r="AV256" s="10">
        <f t="shared" ca="1" si="112"/>
        <v>0.70820379829177316</v>
      </c>
      <c r="AW256" s="10">
        <f t="shared" ca="1" si="113"/>
        <v>0.70820379829177316</v>
      </c>
      <c r="AY256" s="3">
        <f t="shared" ca="1" si="119"/>
        <v>8.681544333421872</v>
      </c>
      <c r="AZ256" s="3">
        <f t="shared" ca="1" si="114"/>
        <v>0.3999460772934737</v>
      </c>
      <c r="BA256" s="3">
        <f t="shared" ca="1" si="109"/>
        <v>2.1118201870108961E-4</v>
      </c>
      <c r="BB256" s="3">
        <f t="shared" ca="1" si="115"/>
        <v>0.21784385155175037</v>
      </c>
      <c r="BC256" s="3">
        <f t="shared" ca="1" si="116"/>
        <v>0.70820379829177316</v>
      </c>
      <c r="BD256" s="3">
        <f t="shared" ca="1" si="110"/>
        <v>5.3062575624979881E-2</v>
      </c>
      <c r="BE256" s="3">
        <f t="shared" ca="1" si="117"/>
        <v>0.70820379829177316</v>
      </c>
      <c r="BF256" s="3">
        <f t="shared" ca="1" si="118"/>
        <v>0.70820379829177316</v>
      </c>
    </row>
    <row r="257" spans="1:58" ht="15" x14ac:dyDescent="0.25">
      <c r="A257" s="72">
        <v>191</v>
      </c>
      <c r="B257" s="72">
        <v>1498730220.108</v>
      </c>
      <c r="C257" s="73">
        <v>2.6258717709107802E-4</v>
      </c>
      <c r="D257" s="73">
        <v>4.7133675668969602E-7</v>
      </c>
      <c r="E257" s="73">
        <v>1.6300113967218699E-2</v>
      </c>
      <c r="F257" s="73">
        <v>4.3567854132839102E-4</v>
      </c>
      <c r="G257" s="73">
        <v>0.30243586034841502</v>
      </c>
      <c r="H257" s="73">
        <v>5.7806924155453796E-6</v>
      </c>
      <c r="I257" s="73">
        <v>0.218399700686225</v>
      </c>
      <c r="J257" s="73">
        <v>2.6273022390026002</v>
      </c>
      <c r="K257" s="73"/>
      <c r="L257" s="73"/>
      <c r="M257" s="73"/>
      <c r="O257" s="13">
        <f t="shared" ca="1" si="80"/>
        <v>-2.1000521804835637E-6</v>
      </c>
      <c r="P257" s="13">
        <f t="shared" ca="1" si="81"/>
        <v>-1.0816138628150478E-5</v>
      </c>
      <c r="Q257" s="13">
        <f t="shared" ca="1" si="82"/>
        <v>1.5459374349246014E-2</v>
      </c>
      <c r="R257" s="13">
        <f t="shared" ca="1" si="83"/>
        <v>4.2590226243770989E-4</v>
      </c>
      <c r="S257" s="13">
        <f t="shared" ca="1" si="84"/>
        <v>0.30130078171517366</v>
      </c>
      <c r="T257" s="13">
        <f t="shared" ca="1" si="85"/>
        <v>5.4308709045212932E-6</v>
      </c>
      <c r="U257" s="13">
        <f t="shared" ca="1" si="86"/>
        <v>0.21774585669143648</v>
      </c>
      <c r="V257" s="13">
        <f t="shared" ca="1" si="87"/>
        <v>2.6201634580801461</v>
      </c>
      <c r="X257" s="3">
        <f t="shared" ca="1" si="88"/>
        <v>-2.1000521804835637E-6</v>
      </c>
      <c r="Y257" s="3">
        <f t="shared" ca="1" si="89"/>
        <v>-1.0816138628150478E-5</v>
      </c>
      <c r="Z257" s="3">
        <f t="shared" ca="1" si="90"/>
        <v>1.5459332799019631E-2</v>
      </c>
      <c r="AA257" s="3">
        <f t="shared" ca="1" si="91"/>
        <v>4.2489655809458857E-4</v>
      </c>
      <c r="AB257" s="3">
        <f t="shared" ca="1" si="92"/>
        <v>0.30129346793100703</v>
      </c>
      <c r="AC257" s="3">
        <f t="shared" ca="1" si="93"/>
        <v>5.4308709045212932E-6</v>
      </c>
      <c r="AD257" s="3">
        <f t="shared" ca="1" si="94"/>
        <v>0.21773505599338536</v>
      </c>
      <c r="AE257" s="3">
        <f t="shared" ca="1" si="95"/>
        <v>2.6201590754081345</v>
      </c>
      <c r="AG257" s="3">
        <f t="shared" ca="1" si="96"/>
        <v>-2.1000521804835637E-6</v>
      </c>
      <c r="AH257" s="3">
        <f t="shared" ca="1" si="97"/>
        <v>-1.0816138628150478E-5</v>
      </c>
      <c r="AI257" s="3">
        <f t="shared" ca="1" si="98"/>
        <v>1.5459332799019631E-2</v>
      </c>
      <c r="AJ257" s="3">
        <f t="shared" ca="1" si="99"/>
        <v>4.2489655809458857E-4</v>
      </c>
      <c r="AK257" s="3">
        <f t="shared" ca="1" si="100"/>
        <v>0.30129346793100703</v>
      </c>
      <c r="AL257" s="3">
        <f t="shared" ca="1" si="101"/>
        <v>5.4308709045212932E-6</v>
      </c>
      <c r="AM257" s="3">
        <f t="shared" ca="1" si="102"/>
        <v>0.21773505599338536</v>
      </c>
      <c r="AN257" s="3">
        <f t="shared" ca="1" si="103"/>
        <v>2.6201590754081345</v>
      </c>
      <c r="AP257" s="3">
        <f t="shared" ca="1" si="104"/>
        <v>8.6961721213091465</v>
      </c>
      <c r="AQ257" s="3">
        <f t="shared" ca="1" si="111"/>
        <v>0.4006281384554537</v>
      </c>
      <c r="AR257" s="3">
        <f t="shared" ca="1" si="105"/>
        <v>1.706284305643858E-4</v>
      </c>
      <c r="AS257" s="3">
        <f t="shared" ca="1" si="106"/>
        <v>0.21757522826087208</v>
      </c>
      <c r="AT257" s="3">
        <f t="shared" ca="1" si="107"/>
        <v>0.70857245441687089</v>
      </c>
      <c r="AU257" s="3">
        <f t="shared" ca="1" si="108"/>
        <v>5.3321685195939925E-2</v>
      </c>
      <c r="AV257" s="10">
        <f t="shared" ca="1" si="112"/>
        <v>0.70857245441687089</v>
      </c>
      <c r="AW257" s="10">
        <f t="shared" ca="1" si="113"/>
        <v>0.70857245441687089</v>
      </c>
      <c r="AY257" s="3">
        <f t="shared" ca="1" si="119"/>
        <v>8.6963686713849455</v>
      </c>
      <c r="AZ257" s="3">
        <f t="shared" ca="1" si="114"/>
        <v>0.4006373032424187</v>
      </c>
      <c r="BA257" s="3">
        <f t="shared" ca="1" si="109"/>
        <v>1.7022941119200166E-4</v>
      </c>
      <c r="BB257" s="3">
        <f t="shared" ca="1" si="115"/>
        <v>0.21756482658219337</v>
      </c>
      <c r="BC257" s="3">
        <f t="shared" ca="1" si="116"/>
        <v>0.70854771423858609</v>
      </c>
      <c r="BD257" s="3">
        <f t="shared" ca="1" si="110"/>
        <v>5.3324069462673943E-2</v>
      </c>
      <c r="BE257" s="3">
        <f t="shared" ca="1" si="117"/>
        <v>0.70854771423858609</v>
      </c>
      <c r="BF257" s="3">
        <f t="shared" ca="1" si="118"/>
        <v>0.70854771423858609</v>
      </c>
    </row>
    <row r="258" spans="1:58" ht="15" x14ac:dyDescent="0.25">
      <c r="A258" s="72">
        <v>192</v>
      </c>
      <c r="B258" s="72">
        <v>1498730220.635</v>
      </c>
      <c r="C258" s="73">
        <v>1.68858468578883E-4</v>
      </c>
      <c r="D258" s="73">
        <v>-4.9133835527194299E-5</v>
      </c>
      <c r="E258" s="73">
        <v>1.6058348840232099E-2</v>
      </c>
      <c r="F258" s="73">
        <v>3.6664960688139099E-4</v>
      </c>
      <c r="G258" s="73">
        <v>0.30059789620513</v>
      </c>
      <c r="H258" s="73">
        <v>-7.8328129209840702E-5</v>
      </c>
      <c r="I258" s="73">
        <v>0.21687621434190599</v>
      </c>
      <c r="J258" s="73">
        <v>2.6083046892718902</v>
      </c>
      <c r="K258" s="73"/>
      <c r="L258" s="73"/>
      <c r="M258" s="73"/>
      <c r="O258" s="13">
        <f t="shared" ca="1" si="80"/>
        <v>-9.5828760692678584E-5</v>
      </c>
      <c r="P258" s="13">
        <f t="shared" ca="1" si="81"/>
        <v>-6.042131091203447E-5</v>
      </c>
      <c r="Q258" s="13">
        <f t="shared" ca="1" si="82"/>
        <v>1.5217609222259414E-2</v>
      </c>
      <c r="R258" s="13">
        <f t="shared" ca="1" si="83"/>
        <v>3.5687332799070985E-4</v>
      </c>
      <c r="S258" s="13">
        <f t="shared" ca="1" si="84"/>
        <v>0.29946281757188864</v>
      </c>
      <c r="T258" s="13">
        <f t="shared" ca="1" si="85"/>
        <v>-7.8677950720864792E-5</v>
      </c>
      <c r="U258" s="13">
        <f t="shared" ca="1" si="86"/>
        <v>0.21622237034711747</v>
      </c>
      <c r="V258" s="13">
        <f t="shared" ca="1" si="87"/>
        <v>2.6011659083494361</v>
      </c>
      <c r="X258" s="3">
        <f t="shared" ca="1" si="88"/>
        <v>-9.5828760692678584E-5</v>
      </c>
      <c r="Y258" s="3">
        <f t="shared" ca="1" si="89"/>
        <v>-6.042131091203447E-5</v>
      </c>
      <c r="Z258" s="3">
        <f t="shared" ca="1" si="90"/>
        <v>1.5217609222259414E-2</v>
      </c>
      <c r="AA258" s="3">
        <f t="shared" ca="1" si="91"/>
        <v>3.5687332799070985E-4</v>
      </c>
      <c r="AB258" s="3">
        <f t="shared" ca="1" si="92"/>
        <v>0.29946281757188864</v>
      </c>
      <c r="AC258" s="3">
        <f t="shared" ca="1" si="93"/>
        <v>-7.8677950720864792E-5</v>
      </c>
      <c r="AD258" s="3">
        <f t="shared" ca="1" si="94"/>
        <v>0.21622237034711747</v>
      </c>
      <c r="AE258" s="3">
        <f t="shared" ca="1" si="95"/>
        <v>2.6011659083494361</v>
      </c>
      <c r="AG258" s="3">
        <f t="shared" ca="1" si="96"/>
        <v>-9.5828760692678584E-5</v>
      </c>
      <c r="AH258" s="3">
        <f t="shared" ca="1" si="97"/>
        <v>-6.042131091203447E-5</v>
      </c>
      <c r="AI258" s="3">
        <f t="shared" ca="1" si="98"/>
        <v>1.5217609222259414E-2</v>
      </c>
      <c r="AJ258" s="3">
        <f t="shared" ca="1" si="99"/>
        <v>3.5687332799070985E-4</v>
      </c>
      <c r="AK258" s="3">
        <f t="shared" ca="1" si="100"/>
        <v>0.29946281757188864</v>
      </c>
      <c r="AL258" s="3">
        <f t="shared" ca="1" si="101"/>
        <v>-7.8677950720864792E-5</v>
      </c>
      <c r="AM258" s="3">
        <f t="shared" ca="1" si="102"/>
        <v>0.21622237034711747</v>
      </c>
      <c r="AN258" s="3">
        <f t="shared" ca="1" si="103"/>
        <v>2.6011659083494361</v>
      </c>
      <c r="AP258" s="3">
        <f t="shared" ca="1" si="104"/>
        <v>8.6861064403262809</v>
      </c>
      <c r="AQ258" s="3">
        <f t="shared" ca="1" si="111"/>
        <v>0.40015879668055199</v>
      </c>
      <c r="AR258" s="3">
        <f t="shared" ca="1" si="105"/>
        <v>1.428060014961464E-4</v>
      </c>
      <c r="AS258" s="3">
        <f t="shared" ca="1" si="106"/>
        <v>0.21607956434562131</v>
      </c>
      <c r="AT258" s="3">
        <f t="shared" ca="1" si="107"/>
        <v>0.7084336186158422</v>
      </c>
      <c r="AU258" s="3">
        <f t="shared" ca="1" si="108"/>
        <v>5.2747400025717477E-2</v>
      </c>
      <c r="AV258" s="10">
        <f t="shared" ca="1" si="112"/>
        <v>0.7084336186158422</v>
      </c>
      <c r="AW258" s="10">
        <f t="shared" ca="1" si="113"/>
        <v>0.7084336186158422</v>
      </c>
      <c r="AY258" s="3">
        <f t="shared" ca="1" si="119"/>
        <v>8.6861064403262809</v>
      </c>
      <c r="AZ258" s="3">
        <f t="shared" ca="1" si="114"/>
        <v>0.40015879668055199</v>
      </c>
      <c r="BA258" s="3">
        <f t="shared" ca="1" si="109"/>
        <v>1.428060014961464E-4</v>
      </c>
      <c r="BB258" s="3">
        <f t="shared" ca="1" si="115"/>
        <v>0.21607956434562131</v>
      </c>
      <c r="BC258" s="3">
        <f t="shared" ca="1" si="116"/>
        <v>0.7084336186158422</v>
      </c>
      <c r="BD258" s="3">
        <f t="shared" ca="1" si="110"/>
        <v>5.2747400025717477E-2</v>
      </c>
      <c r="BE258" s="3">
        <f t="shared" ca="1" si="117"/>
        <v>0.7084336186158422</v>
      </c>
      <c r="BF258" s="3">
        <f t="shared" ca="1" si="118"/>
        <v>0.7084336186158422</v>
      </c>
    </row>
    <row r="259" spans="1:58" ht="15" x14ac:dyDescent="0.25">
      <c r="A259" s="72">
        <v>193</v>
      </c>
      <c r="B259" s="72">
        <v>1498730221.1619999</v>
      </c>
      <c r="C259" s="73">
        <v>3.5727637906906201E-4</v>
      </c>
      <c r="D259" s="73">
        <v>4.1574644104345101E-5</v>
      </c>
      <c r="E259" s="73">
        <v>1.6448289972403999E-2</v>
      </c>
      <c r="F259" s="73">
        <v>4.5829250551375299E-4</v>
      </c>
      <c r="G259" s="73">
        <v>0.30529049447768802</v>
      </c>
      <c r="H259" s="73">
        <v>-5.0143507999861799E-6</v>
      </c>
      <c r="I259" s="73">
        <v>0.22046541714522799</v>
      </c>
      <c r="J259" s="73">
        <v>2.6503718836400401</v>
      </c>
      <c r="K259" s="73"/>
      <c r="L259" s="73"/>
      <c r="M259" s="73"/>
      <c r="O259" s="13">
        <f t="shared" ref="O259:O322" ca="1" si="120">C259-AVERAGE(OFFSET(C$67,$J$2,0,$J$3))</f>
        <v>9.2589149797500431E-5</v>
      </c>
      <c r="P259" s="13">
        <f t="shared" ref="P259:P322" ca="1" si="121">D259-AVERAGE(OFFSET(D$67,$J$2,0,$J$3))</f>
        <v>3.028716871950493E-5</v>
      </c>
      <c r="Q259" s="13">
        <f t="shared" ref="Q259:Q322" ca="1" si="122">E259-AVERAGE(OFFSET(E$67,$J$2,0,$J$3))</f>
        <v>1.5607550354431314E-2</v>
      </c>
      <c r="R259" s="13">
        <f t="shared" ref="R259:R322" ca="1" si="123">F259-AVERAGE(OFFSET(F$67,$J$2,0,$J$3))</f>
        <v>4.4851622662307186E-4</v>
      </c>
      <c r="S259" s="13">
        <f t="shared" ref="S259:S322" ca="1" si="124">G259-AVERAGE(OFFSET(G$67,$J$2,0,$J$3))</f>
        <v>0.30415541584444666</v>
      </c>
      <c r="T259" s="13">
        <f t="shared" ref="T259:T322" ca="1" si="125">H259-AVERAGE(OFFSET(H$67,$J$2,0,$J$3))</f>
        <v>-5.3641723110102663E-6</v>
      </c>
      <c r="U259" s="13">
        <f t="shared" ref="U259:U322" ca="1" si="126">I259-AVERAGE(OFFSET(I$67,$J$2,0,$J$3))</f>
        <v>0.21981157315043948</v>
      </c>
      <c r="V259" s="13">
        <f t="shared" ref="V259:V322" ca="1" si="127">J259-AVERAGE(OFFSET(J$67,$J$2,0,$J$3))</f>
        <v>2.6432331027175859</v>
      </c>
      <c r="X259" s="3">
        <f t="shared" ref="X259:X322" ca="1" si="128">O259</f>
        <v>9.2589149797500431E-5</v>
      </c>
      <c r="Y259" s="3">
        <f t="shared" ref="Y259:Y322" ca="1" si="129">P259</f>
        <v>3.028716871950493E-5</v>
      </c>
      <c r="Z259" s="3">
        <f t="shared" ref="Z259:Z322" ca="1" si="130">IF($T259&gt;0,Q259-($B$14/$B$18*$T259), Q259)</f>
        <v>1.5607550354431314E-2</v>
      </c>
      <c r="AA259" s="3">
        <f t="shared" ref="AA259:AA322" ca="1" si="131">IF($T259&gt;0,R259-($B$15/$B$18*$T259), R259)</f>
        <v>4.4851622662307186E-4</v>
      </c>
      <c r="AB259" s="3">
        <f t="shared" ref="AB259:AB322" ca="1" si="132">IF($T259&gt;0,S259-($B$17/$B$18*$T259), S259)</f>
        <v>0.30415541584444666</v>
      </c>
      <c r="AC259" s="3">
        <f t="shared" ref="AC259:AC322" ca="1" si="133">T259</f>
        <v>-5.3641723110102663E-6</v>
      </c>
      <c r="AD259" s="3">
        <f t="shared" ref="AD259:AD322" ca="1" si="134">IF($T259&gt;0,U259-($B$19/$B$18*$T259), U259)</f>
        <v>0.21981157315043948</v>
      </c>
      <c r="AE259" s="3">
        <f t="shared" ref="AE259:AE322" ca="1" si="135">IF($T259&gt;0,V259-($B$20/$B$18*$T259), V259)</f>
        <v>2.6432331027175859</v>
      </c>
      <c r="AG259" s="3">
        <f t="shared" ref="AG259:AG322" ca="1" si="136">X259</f>
        <v>9.2589149797500431E-5</v>
      </c>
      <c r="AH259" s="3">
        <f t="shared" ref="AH259:AH322" ca="1" si="137">Y259</f>
        <v>3.028716871950493E-5</v>
      </c>
      <c r="AI259" s="3">
        <f t="shared" ref="AI259:AI322" ca="1" si="138">IF($Y259&gt;0,Z259-($B$25/$B$23*$Y259),Z259)</f>
        <v>1.5583154200678647E-2</v>
      </c>
      <c r="AJ259" s="3">
        <f t="shared" ref="AJ259:AJ322" ca="1" si="139">IF($Y259&gt;0,AA259-($B$26/$B$23*$Y259),AA259)</f>
        <v>4.3504460492248742E-4</v>
      </c>
      <c r="AK259" s="3">
        <f t="shared" ref="AK259:AK322" ca="1" si="140">AB259</f>
        <v>0.30415541584444666</v>
      </c>
      <c r="AL259" s="3">
        <f t="shared" ref="AL259:AL322" ca="1" si="141">AC259</f>
        <v>-5.3641723110102663E-6</v>
      </c>
      <c r="AM259" s="3">
        <f t="shared" ref="AM259:AM322" ca="1" si="142">AD259</f>
        <v>0.21981157315043948</v>
      </c>
      <c r="AN259" s="3">
        <f t="shared" ref="AN259:AN322" ca="1" si="143">AE259</f>
        <v>2.6432331027175859</v>
      </c>
      <c r="AP259" s="3">
        <f t="shared" ref="AP259:AP322" ca="1" si="144">IF(AND(S259&gt;0,V259&gt;0),V259/S259, #N/A)</f>
        <v>8.6904028829439195</v>
      </c>
      <c r="AQ259" s="3">
        <f t="shared" ca="1" si="111"/>
        <v>0.4003591300598372</v>
      </c>
      <c r="AR259" s="3">
        <f t="shared" ref="AR259:AR322" ca="1" si="145">AQ259*R259</f>
        <v>1.7956756630853384E-4</v>
      </c>
      <c r="AS259" s="3">
        <f t="shared" ref="AS259:AS322" ca="1" si="146">U259-AR259</f>
        <v>0.21963200558413093</v>
      </c>
      <c r="AT259" s="3">
        <f t="shared" ref="AT259:AT322" ca="1" si="147">(AS259/S259)/((AP259/$B$10)^$B$12)</f>
        <v>0.70879442524406921</v>
      </c>
      <c r="AU259" s="3">
        <f t="shared" ref="AU259:AU322" ca="1" si="148">(Q259/S259)/((AP259/$B$10)^$B$13)</f>
        <v>5.329132082647077E-2</v>
      </c>
      <c r="AV259" s="10">
        <f t="shared" ca="1" si="112"/>
        <v>0.70879442524406921</v>
      </c>
      <c r="AW259" s="10">
        <f t="shared" ca="1" si="113"/>
        <v>0.70879442524406921</v>
      </c>
      <c r="AY259" s="3">
        <f t="shared" ca="1" si="119"/>
        <v>8.6904028829439195</v>
      </c>
      <c r="AZ259" s="3">
        <f t="shared" ca="1" si="114"/>
        <v>0.4003591300598372</v>
      </c>
      <c r="BA259" s="3">
        <f t="shared" ref="BA259:BA322" ca="1" si="149">AZ259*AJ259</f>
        <v>1.7417407956399263E-4</v>
      </c>
      <c r="BB259" s="3">
        <f t="shared" ca="1" si="115"/>
        <v>0.21963739907087548</v>
      </c>
      <c r="BC259" s="3">
        <f t="shared" ca="1" si="116"/>
        <v>0.70881183105579049</v>
      </c>
      <c r="BD259" s="3">
        <f t="shared" ref="BD259:BD322" ca="1" si="150">(AI259/AK259)/((AY259/$B$10)^$B$13)</f>
        <v>5.3208021190907132E-2</v>
      </c>
      <c r="BE259" s="3">
        <f t="shared" ca="1" si="117"/>
        <v>0.70881183105579049</v>
      </c>
      <c r="BF259" s="3">
        <f t="shared" ca="1" si="118"/>
        <v>0.70881183105579049</v>
      </c>
    </row>
    <row r="260" spans="1:58" ht="15" x14ac:dyDescent="0.25">
      <c r="A260" s="72">
        <v>194</v>
      </c>
      <c r="B260" s="72">
        <v>1498730221.688</v>
      </c>
      <c r="C260" s="73">
        <v>3.5775222687806801E-4</v>
      </c>
      <c r="D260" s="73">
        <v>9.92022219950617E-6</v>
      </c>
      <c r="E260" s="73">
        <v>1.6149546871680201E-2</v>
      </c>
      <c r="F260" s="73">
        <v>5.3304125106454496E-4</v>
      </c>
      <c r="G260" s="73">
        <v>0.29849156815904598</v>
      </c>
      <c r="H260" s="73">
        <v>5.9111741531252197E-5</v>
      </c>
      <c r="I260" s="73">
        <v>0.21551513277457801</v>
      </c>
      <c r="J260" s="73">
        <v>2.59143022455173</v>
      </c>
      <c r="K260" s="73"/>
      <c r="L260" s="73"/>
      <c r="M260" s="73"/>
      <c r="O260" s="13">
        <f t="shared" ca="1" si="120"/>
        <v>9.3064997606506425E-5</v>
      </c>
      <c r="P260" s="13">
        <f t="shared" ca="1" si="121"/>
        <v>-1.3672531853340032E-6</v>
      </c>
      <c r="Q260" s="13">
        <f t="shared" ca="1" si="122"/>
        <v>1.5308807253707516E-2</v>
      </c>
      <c r="R260" s="13">
        <f t="shared" ca="1" si="123"/>
        <v>5.2326497217386383E-4</v>
      </c>
      <c r="S260" s="13">
        <f t="shared" ca="1" si="124"/>
        <v>0.29735648952580462</v>
      </c>
      <c r="T260" s="13">
        <f t="shared" ca="1" si="125"/>
        <v>5.8761920020228108E-5</v>
      </c>
      <c r="U260" s="13">
        <f t="shared" ca="1" si="126"/>
        <v>0.21486128877978949</v>
      </c>
      <c r="V260" s="13">
        <f t="shared" ca="1" si="127"/>
        <v>2.5842914436292759</v>
      </c>
      <c r="X260" s="3">
        <f t="shared" ca="1" si="128"/>
        <v>9.3064997606506425E-5</v>
      </c>
      <c r="Y260" s="3">
        <f t="shared" ca="1" si="129"/>
        <v>-1.3672531853340032E-6</v>
      </c>
      <c r="Z260" s="3">
        <f t="shared" ca="1" si="130"/>
        <v>1.5308357681047359E-2</v>
      </c>
      <c r="AA260" s="3">
        <f t="shared" ca="1" si="131"/>
        <v>5.1238327028599697E-4</v>
      </c>
      <c r="AB260" s="3">
        <f t="shared" ca="1" si="132"/>
        <v>0.29727735452005671</v>
      </c>
      <c r="AC260" s="3">
        <f t="shared" ca="1" si="133"/>
        <v>5.8761920020228108E-5</v>
      </c>
      <c r="AD260" s="3">
        <f t="shared" ca="1" si="134"/>
        <v>0.21474442543205008</v>
      </c>
      <c r="AE260" s="3">
        <f t="shared" ca="1" si="135"/>
        <v>2.5842440232013639</v>
      </c>
      <c r="AG260" s="3">
        <f t="shared" ca="1" si="136"/>
        <v>9.3064997606506425E-5</v>
      </c>
      <c r="AH260" s="3">
        <f t="shared" ca="1" si="137"/>
        <v>-1.3672531853340032E-6</v>
      </c>
      <c r="AI260" s="3">
        <f t="shared" ca="1" si="138"/>
        <v>1.5308357681047359E-2</v>
      </c>
      <c r="AJ260" s="3">
        <f t="shared" ca="1" si="139"/>
        <v>5.1238327028599697E-4</v>
      </c>
      <c r="AK260" s="3">
        <f t="shared" ca="1" si="140"/>
        <v>0.29727735452005671</v>
      </c>
      <c r="AL260" s="3">
        <f t="shared" ca="1" si="141"/>
        <v>5.8761920020228108E-5</v>
      </c>
      <c r="AM260" s="3">
        <f t="shared" ca="1" si="142"/>
        <v>0.21474442543205008</v>
      </c>
      <c r="AN260" s="3">
        <f t="shared" ca="1" si="143"/>
        <v>2.5842440232013639</v>
      </c>
      <c r="AP260" s="3">
        <f t="shared" ca="1" si="144"/>
        <v>8.6908863087214066</v>
      </c>
      <c r="AQ260" s="3">
        <f t="shared" ref="AQ260:AQ323" ca="1" si="151">$B$8*((AP260/$B$10)^$B$11)</f>
        <v>0.40038167118311907</v>
      </c>
      <c r="AR260" s="3">
        <f t="shared" ca="1" si="145"/>
        <v>2.0950570403055989E-4</v>
      </c>
      <c r="AS260" s="3">
        <f t="shared" ca="1" si="146"/>
        <v>0.21465178307575894</v>
      </c>
      <c r="AT260" s="3">
        <f t="shared" ca="1" si="147"/>
        <v>0.70854124046112743</v>
      </c>
      <c r="AU260" s="3">
        <f t="shared" ca="1" si="148"/>
        <v>5.3469478385985175E-2</v>
      </c>
      <c r="AV260" s="10">
        <f t="shared" ref="AV260:AV323" ca="1" si="152">IF(AND(AT260&lt;$M$3,AT260&gt;$M$4),AT260,"rejected")</f>
        <v>0.70854124046112743</v>
      </c>
      <c r="AW260" s="10">
        <f t="shared" ref="AW260:AW323" ca="1" si="153">IF(AND(AT260&lt;$M$3,AT260&gt;$M$4),AT260,#N/A)</f>
        <v>0.70854124046112743</v>
      </c>
      <c r="AY260" s="3">
        <f t="shared" ca="1" si="119"/>
        <v>8.6930403002728891</v>
      </c>
      <c r="AZ260" s="3">
        <f t="shared" ref="AZ260:AZ323" ca="1" si="154">$B$8*((AY260/$B$10)^$B$11)</f>
        <v>0.4004821074459774</v>
      </c>
      <c r="BA260" s="3">
        <f t="shared" ca="1" si="149"/>
        <v>2.0520033190419792E-4</v>
      </c>
      <c r="BB260" s="3">
        <f t="shared" ref="BB260:BB323" ca="1" si="155">AM260-BA260</f>
        <v>0.21453922510014589</v>
      </c>
      <c r="BC260" s="3">
        <f t="shared" ref="BC260:BC323" ca="1" si="156">(BB260/AK260)/((AY260/$B$10)^$B$12)</f>
        <v>0.70826981770709285</v>
      </c>
      <c r="BD260" s="3">
        <f t="shared" ca="1" si="150"/>
        <v>5.3495704772625115E-2</v>
      </c>
      <c r="BE260" s="3">
        <f t="shared" ref="BE260:BE323" ca="1" si="157">IF(AND(BC260&lt;$P$3,BC260&gt;$P$4),BC260,"rejected")</f>
        <v>0.70826981770709285</v>
      </c>
      <c r="BF260" s="3">
        <f t="shared" ref="BF260:BF323" ca="1" si="158">IF(AND(BC260&lt;$P$3,BC260&gt;$P$4),BC260,#N/A)</f>
        <v>0.70826981770709285</v>
      </c>
    </row>
    <row r="261" spans="1:58" ht="15" x14ac:dyDescent="0.25">
      <c r="A261" s="72">
        <v>195</v>
      </c>
      <c r="B261" s="72">
        <v>1498730222.2149999</v>
      </c>
      <c r="C261" s="73">
        <v>3.4633194204178899E-4</v>
      </c>
      <c r="D261" s="73">
        <v>1.5589596658531999E-5</v>
      </c>
      <c r="E261" s="73">
        <v>1.5956544862992101E-2</v>
      </c>
      <c r="F261" s="73">
        <v>7.3851009137342397E-4</v>
      </c>
      <c r="G261" s="73">
        <v>0.297935044245763</v>
      </c>
      <c r="H261" s="73">
        <v>-3.12529807694467E-5</v>
      </c>
      <c r="I261" s="73">
        <v>0.21521579325640999</v>
      </c>
      <c r="J261" s="73">
        <v>2.5869023250403198</v>
      </c>
      <c r="K261" s="73"/>
      <c r="L261" s="73"/>
      <c r="M261" s="73"/>
      <c r="O261" s="13">
        <f t="shared" ca="1" si="120"/>
        <v>8.1644712770227409E-5</v>
      </c>
      <c r="P261" s="13">
        <f t="shared" ca="1" si="121"/>
        <v>4.3021212736918254E-6</v>
      </c>
      <c r="Q261" s="13">
        <f t="shared" ca="1" si="122"/>
        <v>1.5115805245019416E-2</v>
      </c>
      <c r="R261" s="13">
        <f t="shared" ca="1" si="123"/>
        <v>7.2873381248274283E-4</v>
      </c>
      <c r="S261" s="13">
        <f t="shared" ca="1" si="124"/>
        <v>0.29679996561252164</v>
      </c>
      <c r="T261" s="13">
        <f t="shared" ca="1" si="125"/>
        <v>-3.160280228047079E-5</v>
      </c>
      <c r="U261" s="13">
        <f t="shared" ca="1" si="126"/>
        <v>0.21456194926162148</v>
      </c>
      <c r="V261" s="13">
        <f t="shared" ca="1" si="127"/>
        <v>2.5797635441178657</v>
      </c>
      <c r="X261" s="3">
        <f t="shared" ca="1" si="128"/>
        <v>8.1644712770227409E-5</v>
      </c>
      <c r="Y261" s="3">
        <f t="shared" ca="1" si="129"/>
        <v>4.3021212736918254E-6</v>
      </c>
      <c r="Z261" s="3">
        <f t="shared" ca="1" si="130"/>
        <v>1.5115805245019416E-2</v>
      </c>
      <c r="AA261" s="3">
        <f t="shared" ca="1" si="131"/>
        <v>7.2873381248274283E-4</v>
      </c>
      <c r="AB261" s="3">
        <f t="shared" ca="1" si="132"/>
        <v>0.29679996561252164</v>
      </c>
      <c r="AC261" s="3">
        <f t="shared" ca="1" si="133"/>
        <v>-3.160280228047079E-5</v>
      </c>
      <c r="AD261" s="3">
        <f t="shared" ca="1" si="134"/>
        <v>0.21456194926162148</v>
      </c>
      <c r="AE261" s="3">
        <f t="shared" ca="1" si="135"/>
        <v>2.5797635441178657</v>
      </c>
      <c r="AG261" s="3">
        <f t="shared" ca="1" si="136"/>
        <v>8.1644712770227409E-5</v>
      </c>
      <c r="AH261" s="3">
        <f t="shared" ca="1" si="137"/>
        <v>4.3021212736918254E-6</v>
      </c>
      <c r="AI261" s="3">
        <f t="shared" ca="1" si="138"/>
        <v>1.5112339909153009E-2</v>
      </c>
      <c r="AJ261" s="3">
        <f t="shared" ca="1" si="139"/>
        <v>7.2682024469943637E-4</v>
      </c>
      <c r="AK261" s="3">
        <f t="shared" ca="1" si="140"/>
        <v>0.29679996561252164</v>
      </c>
      <c r="AL261" s="3">
        <f t="shared" ca="1" si="141"/>
        <v>-3.160280228047079E-5</v>
      </c>
      <c r="AM261" s="3">
        <f t="shared" ca="1" si="142"/>
        <v>0.21456194926162148</v>
      </c>
      <c r="AN261" s="3">
        <f t="shared" ca="1" si="143"/>
        <v>2.5797635441178657</v>
      </c>
      <c r="AP261" s="3">
        <f t="shared" ca="1" si="144"/>
        <v>8.6919266947820315</v>
      </c>
      <c r="AQ261" s="3">
        <f t="shared" ca="1" si="151"/>
        <v>0.40043018223999866</v>
      </c>
      <c r="AR261" s="3">
        <f t="shared" ca="1" si="145"/>
        <v>2.9180701333691371E-4</v>
      </c>
      <c r="AS261" s="3">
        <f t="shared" ca="1" si="146"/>
        <v>0.21427014224828456</v>
      </c>
      <c r="AT261" s="3">
        <f t="shared" ca="1" si="147"/>
        <v>0.70856498253224176</v>
      </c>
      <c r="AU261" s="3">
        <f t="shared" ca="1" si="148"/>
        <v>5.2900849945142769E-2</v>
      </c>
      <c r="AV261" s="10">
        <f t="shared" ca="1" si="152"/>
        <v>0.70856498253224176</v>
      </c>
      <c r="AW261" s="10">
        <f t="shared" ca="1" si="153"/>
        <v>0.70856498253224176</v>
      </c>
      <c r="AY261" s="3">
        <f t="shared" ref="AY261:AY324" ca="1" si="159">IF(AND(AN261&gt;0, AK261&gt;0),AN261/AK261, #N/A)</f>
        <v>8.6919266947820315</v>
      </c>
      <c r="AZ261" s="3">
        <f t="shared" ca="1" si="154"/>
        <v>0.40043018223999866</v>
      </c>
      <c r="BA261" s="3">
        <f t="shared" ca="1" si="149"/>
        <v>2.9104076304071574E-4</v>
      </c>
      <c r="BB261" s="3">
        <f t="shared" ca="1" si="155"/>
        <v>0.21427090849858077</v>
      </c>
      <c r="BC261" s="3">
        <f t="shared" ca="1" si="156"/>
        <v>0.7085675164276416</v>
      </c>
      <c r="BD261" s="3">
        <f t="shared" ca="1" si="150"/>
        <v>5.2888722294004986E-2</v>
      </c>
      <c r="BE261" s="3">
        <f t="shared" ca="1" si="157"/>
        <v>0.7085675164276416</v>
      </c>
      <c r="BF261" s="3">
        <f t="shared" ca="1" si="158"/>
        <v>0.7085675164276416</v>
      </c>
    </row>
    <row r="262" spans="1:58" ht="15" x14ac:dyDescent="0.25">
      <c r="A262" s="72">
        <v>196</v>
      </c>
      <c r="B262" s="72">
        <v>1498730222.7420001</v>
      </c>
      <c r="C262" s="73">
        <v>3.2158843960206703E-4</v>
      </c>
      <c r="D262" s="73">
        <v>6.1406572239317598E-6</v>
      </c>
      <c r="E262" s="73">
        <v>1.4949670982114799E-2</v>
      </c>
      <c r="F262" s="73">
        <v>4.2996562085787502E-4</v>
      </c>
      <c r="G262" s="73">
        <v>0.278675138839234</v>
      </c>
      <c r="H262" s="73">
        <v>8.0485094792387907E-6</v>
      </c>
      <c r="I262" s="73">
        <v>0.20152156686413999</v>
      </c>
      <c r="J262" s="73">
        <v>2.4224166469531601</v>
      </c>
      <c r="K262" s="73"/>
      <c r="L262" s="73"/>
      <c r="M262" s="73"/>
      <c r="O262" s="13">
        <f t="shared" ca="1" si="120"/>
        <v>5.6901210330505443E-5</v>
      </c>
      <c r="P262" s="13">
        <f t="shared" ca="1" si="121"/>
        <v>-5.1468181609084134E-6</v>
      </c>
      <c r="Q262" s="13">
        <f t="shared" ca="1" si="122"/>
        <v>1.4108931364142114E-2</v>
      </c>
      <c r="R262" s="13">
        <f t="shared" ca="1" si="123"/>
        <v>4.2018934196719389E-4</v>
      </c>
      <c r="S262" s="13">
        <f t="shared" ca="1" si="124"/>
        <v>0.27754006020599264</v>
      </c>
      <c r="T262" s="13">
        <f t="shared" ca="1" si="125"/>
        <v>7.6986879682147043E-6</v>
      </c>
      <c r="U262" s="13">
        <f t="shared" ca="1" si="126"/>
        <v>0.20086772286935148</v>
      </c>
      <c r="V262" s="13">
        <f t="shared" ca="1" si="127"/>
        <v>2.4152778660307059</v>
      </c>
      <c r="X262" s="3">
        <f t="shared" ca="1" si="128"/>
        <v>5.6901210330505443E-5</v>
      </c>
      <c r="Y262" s="3">
        <f t="shared" ca="1" si="129"/>
        <v>-5.1468181609084134E-6</v>
      </c>
      <c r="Z262" s="3">
        <f t="shared" ca="1" si="130"/>
        <v>1.410887246341817E-2</v>
      </c>
      <c r="AA262" s="3">
        <f t="shared" ca="1" si="131"/>
        <v>4.1876367671716495E-4</v>
      </c>
      <c r="AB262" s="3">
        <f t="shared" ca="1" si="132"/>
        <v>0.27752969233992553</v>
      </c>
      <c r="AC262" s="3">
        <f t="shared" ca="1" si="133"/>
        <v>7.6986879682147043E-6</v>
      </c>
      <c r="AD262" s="3">
        <f t="shared" ca="1" si="134"/>
        <v>0.20085241202775786</v>
      </c>
      <c r="AE262" s="3">
        <f t="shared" ca="1" si="135"/>
        <v>2.4152716532473644</v>
      </c>
      <c r="AG262" s="3">
        <f t="shared" ca="1" si="136"/>
        <v>5.6901210330505443E-5</v>
      </c>
      <c r="AH262" s="3">
        <f t="shared" ca="1" si="137"/>
        <v>-5.1468181609084134E-6</v>
      </c>
      <c r="AI262" s="3">
        <f t="shared" ca="1" si="138"/>
        <v>1.410887246341817E-2</v>
      </c>
      <c r="AJ262" s="3">
        <f t="shared" ca="1" si="139"/>
        <v>4.1876367671716495E-4</v>
      </c>
      <c r="AK262" s="3">
        <f t="shared" ca="1" si="140"/>
        <v>0.27752969233992553</v>
      </c>
      <c r="AL262" s="3">
        <f t="shared" ca="1" si="141"/>
        <v>7.6986879682147043E-6</v>
      </c>
      <c r="AM262" s="3">
        <f t="shared" ca="1" si="142"/>
        <v>0.20085241202775786</v>
      </c>
      <c r="AN262" s="3">
        <f t="shared" ca="1" si="143"/>
        <v>2.4152716532473644</v>
      </c>
      <c r="AP262" s="3">
        <f t="shared" ca="1" si="144"/>
        <v>8.702447726782454</v>
      </c>
      <c r="AQ262" s="3">
        <f t="shared" ca="1" si="151"/>
        <v>0.40092076022508666</v>
      </c>
      <c r="AR262" s="3">
        <f t="shared" ca="1" si="145"/>
        <v>1.6846263041996628E-4</v>
      </c>
      <c r="AS262" s="3">
        <f t="shared" ca="1" si="146"/>
        <v>0.2006992602389315</v>
      </c>
      <c r="AT262" s="3">
        <f t="shared" ca="1" si="147"/>
        <v>0.70931214422987721</v>
      </c>
      <c r="AU262" s="3">
        <f t="shared" ca="1" si="148"/>
        <v>5.2869016844802434E-2</v>
      </c>
      <c r="AV262" s="10">
        <f t="shared" ca="1" si="152"/>
        <v>0.70931214422987721</v>
      </c>
      <c r="AW262" s="10">
        <f t="shared" ca="1" si="153"/>
        <v>0.70931214422987721</v>
      </c>
      <c r="AY262" s="3">
        <f t="shared" ca="1" si="159"/>
        <v>8.70275044404646</v>
      </c>
      <c r="AZ262" s="3">
        <f t="shared" ca="1" si="154"/>
        <v>0.40093487552727319</v>
      </c>
      <c r="BA262" s="3">
        <f t="shared" ca="1" si="149"/>
        <v>1.6789696259993979E-4</v>
      </c>
      <c r="BB262" s="3">
        <f t="shared" ca="1" si="155"/>
        <v>0.20068451506515791</v>
      </c>
      <c r="BC262" s="3">
        <f t="shared" ca="1" si="156"/>
        <v>0.7092741033833031</v>
      </c>
      <c r="BD262" s="3">
        <f t="shared" ca="1" si="150"/>
        <v>5.287265307456198E-2</v>
      </c>
      <c r="BE262" s="3">
        <f t="shared" ca="1" si="157"/>
        <v>0.7092741033833031</v>
      </c>
      <c r="BF262" s="3">
        <f t="shared" ca="1" si="158"/>
        <v>0.7092741033833031</v>
      </c>
    </row>
    <row r="263" spans="1:58" ht="15" x14ac:dyDescent="0.25">
      <c r="A263" s="72">
        <v>197</v>
      </c>
      <c r="B263" s="72">
        <v>1498730223.2690001</v>
      </c>
      <c r="C263" s="73">
        <v>2.7305488863900202E-4</v>
      </c>
      <c r="D263" s="73">
        <v>-2.3633113290010599E-6</v>
      </c>
      <c r="E263" s="73">
        <v>1.4388106464597501E-2</v>
      </c>
      <c r="F263" s="73">
        <v>4.4615231372257202E-4</v>
      </c>
      <c r="G263" s="73">
        <v>0.26635136633881001</v>
      </c>
      <c r="H263" s="73">
        <v>-1.11318077165298E-5</v>
      </c>
      <c r="I263" s="73">
        <v>0.19218694666460501</v>
      </c>
      <c r="J263" s="73">
        <v>2.3129608757709001</v>
      </c>
      <c r="K263" s="73"/>
      <c r="L263" s="73"/>
      <c r="M263" s="73"/>
      <c r="O263" s="13">
        <f t="shared" ca="1" si="120"/>
        <v>8.3676593674404318E-6</v>
      </c>
      <c r="P263" s="13">
        <f t="shared" ca="1" si="121"/>
        <v>-1.3650786713841233E-5</v>
      </c>
      <c r="Q263" s="13">
        <f t="shared" ca="1" si="122"/>
        <v>1.3547366846624815E-2</v>
      </c>
      <c r="R263" s="13">
        <f t="shared" ca="1" si="123"/>
        <v>4.3637603483189088E-4</v>
      </c>
      <c r="S263" s="13">
        <f t="shared" ca="1" si="124"/>
        <v>0.26521628770556865</v>
      </c>
      <c r="T263" s="13">
        <f t="shared" ca="1" si="125"/>
        <v>-1.1481629227553886E-5</v>
      </c>
      <c r="U263" s="13">
        <f t="shared" ca="1" si="126"/>
        <v>0.19153310266981649</v>
      </c>
      <c r="V263" s="13">
        <f t="shared" ca="1" si="127"/>
        <v>2.305822094848446</v>
      </c>
      <c r="X263" s="3">
        <f t="shared" ca="1" si="128"/>
        <v>8.3676593674404318E-6</v>
      </c>
      <c r="Y263" s="3">
        <f t="shared" ca="1" si="129"/>
        <v>-1.3650786713841233E-5</v>
      </c>
      <c r="Z263" s="3">
        <f t="shared" ca="1" si="130"/>
        <v>1.3547366846624815E-2</v>
      </c>
      <c r="AA263" s="3">
        <f t="shared" ca="1" si="131"/>
        <v>4.3637603483189088E-4</v>
      </c>
      <c r="AB263" s="3">
        <f t="shared" ca="1" si="132"/>
        <v>0.26521628770556865</v>
      </c>
      <c r="AC263" s="3">
        <f t="shared" ca="1" si="133"/>
        <v>-1.1481629227553886E-5</v>
      </c>
      <c r="AD263" s="3">
        <f t="shared" ca="1" si="134"/>
        <v>0.19153310266981649</v>
      </c>
      <c r="AE263" s="3">
        <f t="shared" ca="1" si="135"/>
        <v>2.305822094848446</v>
      </c>
      <c r="AG263" s="3">
        <f t="shared" ca="1" si="136"/>
        <v>8.3676593674404318E-6</v>
      </c>
      <c r="AH263" s="3">
        <f t="shared" ca="1" si="137"/>
        <v>-1.3650786713841233E-5</v>
      </c>
      <c r="AI263" s="3">
        <f t="shared" ca="1" si="138"/>
        <v>1.3547366846624815E-2</v>
      </c>
      <c r="AJ263" s="3">
        <f t="shared" ca="1" si="139"/>
        <v>4.3637603483189088E-4</v>
      </c>
      <c r="AK263" s="3">
        <f t="shared" ca="1" si="140"/>
        <v>0.26521628770556865</v>
      </c>
      <c r="AL263" s="3">
        <f t="shared" ca="1" si="141"/>
        <v>-1.1481629227553886E-5</v>
      </c>
      <c r="AM263" s="3">
        <f t="shared" ca="1" si="142"/>
        <v>0.19153310266981649</v>
      </c>
      <c r="AN263" s="3">
        <f t="shared" ca="1" si="143"/>
        <v>2.305822094848446</v>
      </c>
      <c r="AP263" s="3">
        <f t="shared" ca="1" si="144"/>
        <v>8.6941194856338058</v>
      </c>
      <c r="AQ263" s="3">
        <f t="shared" ca="1" si="151"/>
        <v>0.40053242778683068</v>
      </c>
      <c r="AR263" s="3">
        <f t="shared" ca="1" si="145"/>
        <v>1.7478275265920783E-4</v>
      </c>
      <c r="AS263" s="3">
        <f t="shared" ca="1" si="146"/>
        <v>0.19135831991715729</v>
      </c>
      <c r="AT263" s="3">
        <f t="shared" ca="1" si="147"/>
        <v>0.70806619907640633</v>
      </c>
      <c r="AU263" s="3">
        <f t="shared" ca="1" si="148"/>
        <v>5.3071578416272254E-2</v>
      </c>
      <c r="AV263" s="10">
        <f t="shared" ca="1" si="152"/>
        <v>0.70806619907640633</v>
      </c>
      <c r="AW263" s="10">
        <f t="shared" ca="1" si="153"/>
        <v>0.70806619907640633</v>
      </c>
      <c r="AY263" s="3">
        <f t="shared" ca="1" si="159"/>
        <v>8.6941194856338058</v>
      </c>
      <c r="AZ263" s="3">
        <f t="shared" ca="1" si="154"/>
        <v>0.40053242778683068</v>
      </c>
      <c r="BA263" s="3">
        <f t="shared" ca="1" si="149"/>
        <v>1.7478275265920783E-4</v>
      </c>
      <c r="BB263" s="3">
        <f t="shared" ca="1" si="155"/>
        <v>0.19135831991715729</v>
      </c>
      <c r="BC263" s="3">
        <f t="shared" ca="1" si="156"/>
        <v>0.70806619907640633</v>
      </c>
      <c r="BD263" s="3">
        <f t="shared" ca="1" si="150"/>
        <v>5.3071578416272254E-2</v>
      </c>
      <c r="BE263" s="3">
        <f t="shared" ca="1" si="157"/>
        <v>0.70806619907640633</v>
      </c>
      <c r="BF263" s="3">
        <f t="shared" ca="1" si="158"/>
        <v>0.70806619907640633</v>
      </c>
    </row>
    <row r="264" spans="1:58" ht="15" x14ac:dyDescent="0.25">
      <c r="A264" s="72">
        <v>198</v>
      </c>
      <c r="B264" s="72">
        <v>1498730223.796</v>
      </c>
      <c r="C264" s="73">
        <v>1.95739152710025E-4</v>
      </c>
      <c r="D264" s="73">
        <v>-9.4248767182910701E-5</v>
      </c>
      <c r="E264" s="73">
        <v>1.51171727613884E-2</v>
      </c>
      <c r="F264" s="73">
        <v>4.0116347778572202E-4</v>
      </c>
      <c r="G264" s="73">
        <v>0.283539555514499</v>
      </c>
      <c r="H264" s="73">
        <v>-8.9066819590432296E-5</v>
      </c>
      <c r="I264" s="73">
        <v>0.204520731710988</v>
      </c>
      <c r="J264" s="73">
        <v>2.4605289064954201</v>
      </c>
      <c r="K264" s="73"/>
      <c r="L264" s="73"/>
      <c r="M264" s="73"/>
      <c r="O264" s="13">
        <f t="shared" ca="1" si="120"/>
        <v>-6.8948076561536588E-5</v>
      </c>
      <c r="P264" s="13">
        <f t="shared" ca="1" si="121"/>
        <v>-1.0553624256775088E-4</v>
      </c>
      <c r="Q264" s="13">
        <f t="shared" ca="1" si="122"/>
        <v>1.4276433143415715E-2</v>
      </c>
      <c r="R264" s="13">
        <f t="shared" ca="1" si="123"/>
        <v>3.9138719889504088E-4</v>
      </c>
      <c r="S264" s="13">
        <f t="shared" ca="1" si="124"/>
        <v>0.28240447688125764</v>
      </c>
      <c r="T264" s="13">
        <f t="shared" ca="1" si="125"/>
        <v>-8.9416641101456386E-5</v>
      </c>
      <c r="U264" s="13">
        <f t="shared" ca="1" si="126"/>
        <v>0.20386688771619949</v>
      </c>
      <c r="V264" s="13">
        <f t="shared" ca="1" si="127"/>
        <v>2.453390125572966</v>
      </c>
      <c r="X264" s="3">
        <f t="shared" ca="1" si="128"/>
        <v>-6.8948076561536588E-5</v>
      </c>
      <c r="Y264" s="3">
        <f t="shared" ca="1" si="129"/>
        <v>-1.0553624256775088E-4</v>
      </c>
      <c r="Z264" s="3">
        <f t="shared" ca="1" si="130"/>
        <v>1.4276433143415715E-2</v>
      </c>
      <c r="AA264" s="3">
        <f t="shared" ca="1" si="131"/>
        <v>3.9138719889504088E-4</v>
      </c>
      <c r="AB264" s="3">
        <f t="shared" ca="1" si="132"/>
        <v>0.28240447688125764</v>
      </c>
      <c r="AC264" s="3">
        <f t="shared" ca="1" si="133"/>
        <v>-8.9416641101456386E-5</v>
      </c>
      <c r="AD264" s="3">
        <f t="shared" ca="1" si="134"/>
        <v>0.20386688771619949</v>
      </c>
      <c r="AE264" s="3">
        <f t="shared" ca="1" si="135"/>
        <v>2.453390125572966</v>
      </c>
      <c r="AG264" s="3">
        <f t="shared" ca="1" si="136"/>
        <v>-6.8948076561536588E-5</v>
      </c>
      <c r="AH264" s="3">
        <f t="shared" ca="1" si="137"/>
        <v>-1.0553624256775088E-4</v>
      </c>
      <c r="AI264" s="3">
        <f t="shared" ca="1" si="138"/>
        <v>1.4276433143415715E-2</v>
      </c>
      <c r="AJ264" s="3">
        <f t="shared" ca="1" si="139"/>
        <v>3.9138719889504088E-4</v>
      </c>
      <c r="AK264" s="3">
        <f t="shared" ca="1" si="140"/>
        <v>0.28240447688125764</v>
      </c>
      <c r="AL264" s="3">
        <f t="shared" ca="1" si="141"/>
        <v>-8.9416641101456386E-5</v>
      </c>
      <c r="AM264" s="3">
        <f t="shared" ca="1" si="142"/>
        <v>0.20386688771619949</v>
      </c>
      <c r="AN264" s="3">
        <f t="shared" ca="1" si="143"/>
        <v>2.453390125572966</v>
      </c>
      <c r="AP264" s="3">
        <f t="shared" ca="1" si="144"/>
        <v>8.6875043648990768</v>
      </c>
      <c r="AQ264" s="3">
        <f t="shared" ca="1" si="151"/>
        <v>0.40022397860242837</v>
      </c>
      <c r="AR264" s="3">
        <f t="shared" ca="1" si="145"/>
        <v>1.5664254191583322E-4</v>
      </c>
      <c r="AS264" s="3">
        <f t="shared" ca="1" si="146"/>
        <v>0.20371024517428366</v>
      </c>
      <c r="AT264" s="3">
        <f t="shared" ca="1" si="147"/>
        <v>0.70816502183015295</v>
      </c>
      <c r="AU264" s="3">
        <f t="shared" ca="1" si="148"/>
        <v>5.2482823217914386E-2</v>
      </c>
      <c r="AV264" s="10">
        <f t="shared" ca="1" si="152"/>
        <v>0.70816502183015295</v>
      </c>
      <c r="AW264" s="10">
        <f t="shared" ca="1" si="153"/>
        <v>0.70816502183015295</v>
      </c>
      <c r="AY264" s="3">
        <f t="shared" ca="1" si="159"/>
        <v>8.6875043648990768</v>
      </c>
      <c r="AZ264" s="3">
        <f t="shared" ca="1" si="154"/>
        <v>0.40022397860242837</v>
      </c>
      <c r="BA264" s="3">
        <f t="shared" ca="1" si="149"/>
        <v>1.5664254191583322E-4</v>
      </c>
      <c r="BB264" s="3">
        <f t="shared" ca="1" si="155"/>
        <v>0.20371024517428366</v>
      </c>
      <c r="BC264" s="3">
        <f t="shared" ca="1" si="156"/>
        <v>0.70816502183015295</v>
      </c>
      <c r="BD264" s="3">
        <f t="shared" ca="1" si="150"/>
        <v>5.2482823217914386E-2</v>
      </c>
      <c r="BE264" s="3">
        <f t="shared" ca="1" si="157"/>
        <v>0.70816502183015295</v>
      </c>
      <c r="BF264" s="3">
        <f t="shared" ca="1" si="158"/>
        <v>0.70816502183015295</v>
      </c>
    </row>
    <row r="265" spans="1:58" ht="15" x14ac:dyDescent="0.25">
      <c r="A265" s="72">
        <v>199</v>
      </c>
      <c r="B265" s="72">
        <v>1498730224.323</v>
      </c>
      <c r="C265" s="73">
        <v>3.14451004756217E-4</v>
      </c>
      <c r="D265" s="73">
        <v>-7.6533724503581403E-5</v>
      </c>
      <c r="E265" s="73">
        <v>1.5339667606904001E-2</v>
      </c>
      <c r="F265" s="73">
        <v>5.6756087187679195E-4</v>
      </c>
      <c r="G265" s="73">
        <v>0.28593978454849101</v>
      </c>
      <c r="H265" s="73">
        <v>-1.9279957698924799E-5</v>
      </c>
      <c r="I265" s="73">
        <v>0.206457171039308</v>
      </c>
      <c r="J265" s="73">
        <v>2.4816996448379798</v>
      </c>
      <c r="K265" s="73"/>
      <c r="L265" s="73"/>
      <c r="M265" s="73"/>
      <c r="O265" s="13">
        <f t="shared" ca="1" si="120"/>
        <v>4.9763775484655418E-5</v>
      </c>
      <c r="P265" s="13">
        <f t="shared" ca="1" si="121"/>
        <v>-8.7821199888421582E-5</v>
      </c>
      <c r="Q265" s="13">
        <f t="shared" ca="1" si="122"/>
        <v>1.4498927988931315E-2</v>
      </c>
      <c r="R265" s="13">
        <f t="shared" ca="1" si="123"/>
        <v>5.5778459298611081E-4</v>
      </c>
      <c r="S265" s="13">
        <f t="shared" ca="1" si="124"/>
        <v>0.28480470591524965</v>
      </c>
      <c r="T265" s="13">
        <f t="shared" ca="1" si="125"/>
        <v>-1.9629779209948885E-5</v>
      </c>
      <c r="U265" s="13">
        <f t="shared" ca="1" si="126"/>
        <v>0.20580332704451948</v>
      </c>
      <c r="V265" s="13">
        <f t="shared" ca="1" si="127"/>
        <v>2.4745608639155257</v>
      </c>
      <c r="X265" s="3">
        <f t="shared" ca="1" si="128"/>
        <v>4.9763775484655418E-5</v>
      </c>
      <c r="Y265" s="3">
        <f t="shared" ca="1" si="129"/>
        <v>-8.7821199888421582E-5</v>
      </c>
      <c r="Z265" s="3">
        <f t="shared" ca="1" si="130"/>
        <v>1.4498927988931315E-2</v>
      </c>
      <c r="AA265" s="3">
        <f t="shared" ca="1" si="131"/>
        <v>5.5778459298611081E-4</v>
      </c>
      <c r="AB265" s="3">
        <f t="shared" ca="1" si="132"/>
        <v>0.28480470591524965</v>
      </c>
      <c r="AC265" s="3">
        <f t="shared" ca="1" si="133"/>
        <v>-1.9629779209948885E-5</v>
      </c>
      <c r="AD265" s="3">
        <f t="shared" ca="1" si="134"/>
        <v>0.20580332704451948</v>
      </c>
      <c r="AE265" s="3">
        <f t="shared" ca="1" si="135"/>
        <v>2.4745608639155257</v>
      </c>
      <c r="AG265" s="3">
        <f t="shared" ca="1" si="136"/>
        <v>4.9763775484655418E-5</v>
      </c>
      <c r="AH265" s="3">
        <f t="shared" ca="1" si="137"/>
        <v>-8.7821199888421582E-5</v>
      </c>
      <c r="AI265" s="3">
        <f t="shared" ca="1" si="138"/>
        <v>1.4498927988931315E-2</v>
      </c>
      <c r="AJ265" s="3">
        <f t="shared" ca="1" si="139"/>
        <v>5.5778459298611081E-4</v>
      </c>
      <c r="AK265" s="3">
        <f t="shared" ca="1" si="140"/>
        <v>0.28480470591524965</v>
      </c>
      <c r="AL265" s="3">
        <f t="shared" ca="1" si="141"/>
        <v>-1.9629779209948885E-5</v>
      </c>
      <c r="AM265" s="3">
        <f t="shared" ca="1" si="142"/>
        <v>0.20580332704451948</v>
      </c>
      <c r="AN265" s="3">
        <f t="shared" ca="1" si="143"/>
        <v>2.4745608639155257</v>
      </c>
      <c r="AP265" s="3">
        <f t="shared" ca="1" si="144"/>
        <v>8.6886235111995997</v>
      </c>
      <c r="AQ265" s="3">
        <f t="shared" ca="1" si="151"/>
        <v>0.40027616184344478</v>
      </c>
      <c r="AR265" s="3">
        <f t="shared" ca="1" si="145"/>
        <v>2.2326787601588847E-4</v>
      </c>
      <c r="AS265" s="3">
        <f t="shared" ca="1" si="146"/>
        <v>0.20558005916850358</v>
      </c>
      <c r="AT265" s="3">
        <f t="shared" ca="1" si="147"/>
        <v>0.70859621914356663</v>
      </c>
      <c r="AU265" s="3">
        <f t="shared" ca="1" si="148"/>
        <v>5.2858523316297534E-2</v>
      </c>
      <c r="AV265" s="10">
        <f t="shared" ca="1" si="152"/>
        <v>0.70859621914356663</v>
      </c>
      <c r="AW265" s="10">
        <f t="shared" ca="1" si="153"/>
        <v>0.70859621914356663</v>
      </c>
      <c r="AY265" s="3">
        <f t="shared" ca="1" si="159"/>
        <v>8.6886235111995997</v>
      </c>
      <c r="AZ265" s="3">
        <f t="shared" ca="1" si="154"/>
        <v>0.40027616184344478</v>
      </c>
      <c r="BA265" s="3">
        <f t="shared" ca="1" si="149"/>
        <v>2.2326787601588847E-4</v>
      </c>
      <c r="BB265" s="3">
        <f t="shared" ca="1" si="155"/>
        <v>0.20558005916850358</v>
      </c>
      <c r="BC265" s="3">
        <f t="shared" ca="1" si="156"/>
        <v>0.70859621914356663</v>
      </c>
      <c r="BD265" s="3">
        <f t="shared" ca="1" si="150"/>
        <v>5.2858523316297534E-2</v>
      </c>
      <c r="BE265" s="3">
        <f t="shared" ca="1" si="157"/>
        <v>0.70859621914356663</v>
      </c>
      <c r="BF265" s="3">
        <f t="shared" ca="1" si="158"/>
        <v>0.70859621914356663</v>
      </c>
    </row>
    <row r="266" spans="1:58" ht="15" x14ac:dyDescent="0.25">
      <c r="A266" s="72">
        <v>200</v>
      </c>
      <c r="B266" s="72">
        <v>1498730224.8499999</v>
      </c>
      <c r="C266" s="73">
        <v>3.5513506673412698E-4</v>
      </c>
      <c r="D266" s="73">
        <v>6.0237052614746801E-5</v>
      </c>
      <c r="E266" s="73">
        <v>1.5884419801005099E-2</v>
      </c>
      <c r="F266" s="73">
        <v>4.7519380252758801E-4</v>
      </c>
      <c r="G266" s="73">
        <v>0.29577177323200199</v>
      </c>
      <c r="H266" s="73">
        <v>1.02691306001073E-5</v>
      </c>
      <c r="I266" s="73">
        <v>0.21355076667335501</v>
      </c>
      <c r="J266" s="73">
        <v>2.5681930207397499</v>
      </c>
      <c r="K266" s="73"/>
      <c r="L266" s="73"/>
      <c r="M266" s="73"/>
      <c r="O266" s="13">
        <f t="shared" ca="1" si="120"/>
        <v>9.0447837462565397E-5</v>
      </c>
      <c r="P266" s="13">
        <f t="shared" ca="1" si="121"/>
        <v>4.8949577229906629E-5</v>
      </c>
      <c r="Q266" s="13">
        <f t="shared" ca="1" si="122"/>
        <v>1.5043680183032414E-2</v>
      </c>
      <c r="R266" s="13">
        <f t="shared" ca="1" si="123"/>
        <v>4.6541752363690687E-4</v>
      </c>
      <c r="S266" s="13">
        <f t="shared" ca="1" si="124"/>
        <v>0.29463669459876063</v>
      </c>
      <c r="T266" s="13">
        <f t="shared" ca="1" si="125"/>
        <v>9.9193090890832137E-6</v>
      </c>
      <c r="U266" s="13">
        <f t="shared" ca="1" si="126"/>
        <v>0.2128969226785665</v>
      </c>
      <c r="V266" s="13">
        <f t="shared" ca="1" si="127"/>
        <v>2.5610542398172957</v>
      </c>
      <c r="X266" s="3">
        <f t="shared" ca="1" si="128"/>
        <v>9.0447837462565397E-5</v>
      </c>
      <c r="Y266" s="3">
        <f t="shared" ca="1" si="129"/>
        <v>4.8949577229906629E-5</v>
      </c>
      <c r="Z266" s="3">
        <f t="shared" ca="1" si="130"/>
        <v>1.5043604292895186E-2</v>
      </c>
      <c r="AA266" s="3">
        <f t="shared" ca="1" si="131"/>
        <v>4.6358063736083122E-4</v>
      </c>
      <c r="AB266" s="3">
        <f t="shared" ca="1" si="132"/>
        <v>0.29462333620983272</v>
      </c>
      <c r="AC266" s="3">
        <f t="shared" ca="1" si="133"/>
        <v>9.9193090890832137E-6</v>
      </c>
      <c r="AD266" s="3">
        <f t="shared" ca="1" si="134"/>
        <v>0.21287719555482695</v>
      </c>
      <c r="AE266" s="3">
        <f t="shared" ca="1" si="135"/>
        <v>2.5610462350093957</v>
      </c>
      <c r="AG266" s="3">
        <f t="shared" ca="1" si="136"/>
        <v>9.0447837462565397E-5</v>
      </c>
      <c r="AH266" s="3">
        <f t="shared" ca="1" si="137"/>
        <v>4.8949577229906629E-5</v>
      </c>
      <c r="AI266" s="3">
        <f t="shared" ca="1" si="138"/>
        <v>1.5004175668077583E-2</v>
      </c>
      <c r="AJ266" s="3">
        <f t="shared" ca="1" si="139"/>
        <v>4.4180804471765788E-4</v>
      </c>
      <c r="AK266" s="3">
        <f t="shared" ca="1" si="140"/>
        <v>0.29462333620983272</v>
      </c>
      <c r="AL266" s="3">
        <f t="shared" ca="1" si="141"/>
        <v>9.9193090890832137E-6</v>
      </c>
      <c r="AM266" s="3">
        <f t="shared" ca="1" si="142"/>
        <v>0.21287719555482695</v>
      </c>
      <c r="AN266" s="3">
        <f t="shared" ca="1" si="143"/>
        <v>2.5610462350093957</v>
      </c>
      <c r="AP266" s="3">
        <f t="shared" ca="1" si="144"/>
        <v>8.6922446754467106</v>
      </c>
      <c r="AQ266" s="3">
        <f t="shared" ca="1" si="151"/>
        <v>0.40044500903681424</v>
      </c>
      <c r="AR266" s="3">
        <f t="shared" ca="1" si="145"/>
        <v>1.8637412445867289E-4</v>
      </c>
      <c r="AS266" s="3">
        <f t="shared" ca="1" si="146"/>
        <v>0.21271054855410781</v>
      </c>
      <c r="AT266" s="3">
        <f t="shared" ca="1" si="147"/>
        <v>0.70855907852709765</v>
      </c>
      <c r="AU266" s="3">
        <f t="shared" ca="1" si="148"/>
        <v>5.3036972311516169E-2</v>
      </c>
      <c r="AV266" s="10">
        <f t="shared" ca="1" si="152"/>
        <v>0.70855907852709765</v>
      </c>
      <c r="AW266" s="10">
        <f t="shared" ca="1" si="153"/>
        <v>0.70855907852709765</v>
      </c>
      <c r="AY266" s="3">
        <f t="shared" ca="1" si="159"/>
        <v>8.6926116171103338</v>
      </c>
      <c r="AZ266" s="3">
        <f t="shared" ca="1" si="154"/>
        <v>0.40046211879439969</v>
      </c>
      <c r="BA266" s="3">
        <f t="shared" ca="1" si="149"/>
        <v>1.7692738568804415E-4</v>
      </c>
      <c r="BB266" s="3">
        <f t="shared" ca="1" si="155"/>
        <v>0.21270026816913892</v>
      </c>
      <c r="BC266" s="3">
        <f t="shared" ca="1" si="156"/>
        <v>0.70854189569348802</v>
      </c>
      <c r="BD266" s="3">
        <f t="shared" ca="1" si="150"/>
        <v>5.2902381392968566E-2</v>
      </c>
      <c r="BE266" s="3">
        <f t="shared" ca="1" si="157"/>
        <v>0.70854189569348802</v>
      </c>
      <c r="BF266" s="3">
        <f t="shared" ca="1" si="158"/>
        <v>0.70854189569348802</v>
      </c>
    </row>
    <row r="267" spans="1:58" ht="15" x14ac:dyDescent="0.25">
      <c r="A267" s="72">
        <v>201</v>
      </c>
      <c r="B267" s="72">
        <v>1498730225.3770001</v>
      </c>
      <c r="C267" s="73">
        <v>2.3998681046596E-4</v>
      </c>
      <c r="D267" s="73">
        <v>8.7640718976015396E-5</v>
      </c>
      <c r="E267" s="73">
        <v>1.55880131882731E-2</v>
      </c>
      <c r="F267" s="73">
        <v>5.1590091705924399E-4</v>
      </c>
      <c r="G267" s="73">
        <v>0.29074126387592097</v>
      </c>
      <c r="H267" s="73">
        <v>1.6198905098022998E-5</v>
      </c>
      <c r="I267" s="73">
        <v>0.209931026960123</v>
      </c>
      <c r="J267" s="73">
        <v>2.52446458163887</v>
      </c>
      <c r="K267" s="73"/>
      <c r="L267" s="73"/>
      <c r="M267" s="73"/>
      <c r="O267" s="13">
        <f t="shared" ca="1" si="120"/>
        <v>-2.4700418805601585E-5</v>
      </c>
      <c r="P267" s="13">
        <f t="shared" ca="1" si="121"/>
        <v>7.6353243591175218E-5</v>
      </c>
      <c r="Q267" s="13">
        <f t="shared" ca="1" si="122"/>
        <v>1.4747273570300415E-2</v>
      </c>
      <c r="R267" s="13">
        <f t="shared" ca="1" si="123"/>
        <v>5.0612463816856286E-4</v>
      </c>
      <c r="S267" s="13">
        <f t="shared" ca="1" si="124"/>
        <v>0.28960618524267961</v>
      </c>
      <c r="T267" s="13">
        <f t="shared" ca="1" si="125"/>
        <v>1.5849083586998912E-5</v>
      </c>
      <c r="U267" s="13">
        <f t="shared" ca="1" si="126"/>
        <v>0.20927718296533449</v>
      </c>
      <c r="V267" s="13">
        <f t="shared" ca="1" si="127"/>
        <v>2.5173258007164159</v>
      </c>
      <c r="X267" s="3">
        <f t="shared" ca="1" si="128"/>
        <v>-2.4700418805601585E-5</v>
      </c>
      <c r="Y267" s="3">
        <f t="shared" ca="1" si="129"/>
        <v>7.6353243591175218E-5</v>
      </c>
      <c r="Z267" s="3">
        <f t="shared" ca="1" si="130"/>
        <v>1.4747152312950982E-2</v>
      </c>
      <c r="AA267" s="3">
        <f t="shared" ca="1" si="131"/>
        <v>5.0318965914251609E-4</v>
      </c>
      <c r="AB267" s="3">
        <f t="shared" ca="1" si="132"/>
        <v>0.28958484119333056</v>
      </c>
      <c r="AC267" s="3">
        <f t="shared" ca="1" si="133"/>
        <v>1.5849083586998912E-5</v>
      </c>
      <c r="AD267" s="3">
        <f t="shared" ca="1" si="134"/>
        <v>0.20924566294410404</v>
      </c>
      <c r="AE267" s="3">
        <f t="shared" ca="1" si="135"/>
        <v>2.5173130106250534</v>
      </c>
      <c r="AG267" s="3">
        <f t="shared" ca="1" si="136"/>
        <v>-2.4700418805601585E-5</v>
      </c>
      <c r="AH267" s="3">
        <f t="shared" ca="1" si="137"/>
        <v>7.6353243591175218E-5</v>
      </c>
      <c r="AI267" s="3">
        <f t="shared" ca="1" si="138"/>
        <v>1.4685650180235437E-2</v>
      </c>
      <c r="AJ267" s="3">
        <f t="shared" ca="1" si="139"/>
        <v>4.6922801608505644E-4</v>
      </c>
      <c r="AK267" s="3">
        <f t="shared" ca="1" si="140"/>
        <v>0.28958484119333056</v>
      </c>
      <c r="AL267" s="3">
        <f t="shared" ca="1" si="141"/>
        <v>1.5849083586998912E-5</v>
      </c>
      <c r="AM267" s="3">
        <f t="shared" ca="1" si="142"/>
        <v>0.20924566294410404</v>
      </c>
      <c r="AN267" s="3">
        <f t="shared" ca="1" si="143"/>
        <v>2.5173130106250534</v>
      </c>
      <c r="AP267" s="3">
        <f t="shared" ca="1" si="144"/>
        <v>8.6922376972266218</v>
      </c>
      <c r="AQ267" s="3">
        <f t="shared" ca="1" si="151"/>
        <v>0.40044468365642061</v>
      </c>
      <c r="AR267" s="3">
        <f t="shared" ca="1" si="145"/>
        <v>2.026749206221305E-4</v>
      </c>
      <c r="AS267" s="3">
        <f t="shared" ca="1" si="146"/>
        <v>0.20907450804471236</v>
      </c>
      <c r="AT267" s="3">
        <f t="shared" ca="1" si="147"/>
        <v>0.70854477389759973</v>
      </c>
      <c r="AU267" s="3">
        <f t="shared" ca="1" si="148"/>
        <v>5.2895047609973884E-2</v>
      </c>
      <c r="AV267" s="10">
        <f t="shared" ca="1" si="152"/>
        <v>0.70854477389759973</v>
      </c>
      <c r="AW267" s="10">
        <f t="shared" ca="1" si="153"/>
        <v>0.70854477389759973</v>
      </c>
      <c r="AY267" s="3">
        <f t="shared" ca="1" si="159"/>
        <v>8.6928341975761878</v>
      </c>
      <c r="AZ267" s="3">
        <f t="shared" ca="1" si="154"/>
        <v>0.40047249728165751</v>
      </c>
      <c r="BA267" s="3">
        <f t="shared" ca="1" si="149"/>
        <v>1.8791291539610032E-4</v>
      </c>
      <c r="BB267" s="3">
        <f t="shared" ca="1" si="155"/>
        <v>0.20905775002870794</v>
      </c>
      <c r="BC267" s="3">
        <f t="shared" ca="1" si="156"/>
        <v>0.70851571621605058</v>
      </c>
      <c r="BD267" s="3">
        <f t="shared" ca="1" si="150"/>
        <v>5.2681600233812999E-2</v>
      </c>
      <c r="BE267" s="3">
        <f t="shared" ca="1" si="157"/>
        <v>0.70851571621605058</v>
      </c>
      <c r="BF267" s="3">
        <f t="shared" ca="1" si="158"/>
        <v>0.70851571621605058</v>
      </c>
    </row>
    <row r="268" spans="1:58" ht="15" x14ac:dyDescent="0.25">
      <c r="A268" s="72">
        <v>202</v>
      </c>
      <c r="B268" s="72">
        <v>1498730225.904</v>
      </c>
      <c r="C268" s="73">
        <v>2.38797331654983E-4</v>
      </c>
      <c r="D268" s="73">
        <v>-1.7481297676336299E-5</v>
      </c>
      <c r="E268" s="73">
        <v>1.5372937559692599E-2</v>
      </c>
      <c r="F268" s="73">
        <v>4.8614409128369001E-4</v>
      </c>
      <c r="G268" s="73">
        <v>0.28649572135506102</v>
      </c>
      <c r="H268" s="73">
        <v>-4.3625947176085899E-5</v>
      </c>
      <c r="I268" s="73">
        <v>0.20699005881504201</v>
      </c>
      <c r="J268" s="73">
        <v>2.48617922906086</v>
      </c>
      <c r="K268" s="73"/>
      <c r="L268" s="73"/>
      <c r="M268" s="73"/>
      <c r="O268" s="13">
        <f t="shared" ca="1" si="120"/>
        <v>-2.5889897616578582E-5</v>
      </c>
      <c r="P268" s="13">
        <f t="shared" ca="1" si="121"/>
        <v>-2.8768773061176474E-5</v>
      </c>
      <c r="Q268" s="13">
        <f t="shared" ca="1" si="122"/>
        <v>1.4532197941719914E-2</v>
      </c>
      <c r="R268" s="13">
        <f t="shared" ca="1" si="123"/>
        <v>4.7636781239300888E-4</v>
      </c>
      <c r="S268" s="13">
        <f t="shared" ca="1" si="124"/>
        <v>0.28536064272181966</v>
      </c>
      <c r="T268" s="13">
        <f t="shared" ca="1" si="125"/>
        <v>-4.3975768687109989E-5</v>
      </c>
      <c r="U268" s="13">
        <f t="shared" ca="1" si="126"/>
        <v>0.20633621482025349</v>
      </c>
      <c r="V268" s="13">
        <f t="shared" ca="1" si="127"/>
        <v>2.4790404481384058</v>
      </c>
      <c r="X268" s="3">
        <f t="shared" ca="1" si="128"/>
        <v>-2.5889897616578582E-5</v>
      </c>
      <c r="Y268" s="3">
        <f t="shared" ca="1" si="129"/>
        <v>-2.8768773061176474E-5</v>
      </c>
      <c r="Z268" s="3">
        <f t="shared" ca="1" si="130"/>
        <v>1.4532197941719914E-2</v>
      </c>
      <c r="AA268" s="3">
        <f t="shared" ca="1" si="131"/>
        <v>4.7636781239300888E-4</v>
      </c>
      <c r="AB268" s="3">
        <f t="shared" ca="1" si="132"/>
        <v>0.28536064272181966</v>
      </c>
      <c r="AC268" s="3">
        <f t="shared" ca="1" si="133"/>
        <v>-4.3975768687109989E-5</v>
      </c>
      <c r="AD268" s="3">
        <f t="shared" ca="1" si="134"/>
        <v>0.20633621482025349</v>
      </c>
      <c r="AE268" s="3">
        <f t="shared" ca="1" si="135"/>
        <v>2.4790404481384058</v>
      </c>
      <c r="AG268" s="3">
        <f t="shared" ca="1" si="136"/>
        <v>-2.5889897616578582E-5</v>
      </c>
      <c r="AH268" s="3">
        <f t="shared" ca="1" si="137"/>
        <v>-2.8768773061176474E-5</v>
      </c>
      <c r="AI268" s="3">
        <f t="shared" ca="1" si="138"/>
        <v>1.4532197941719914E-2</v>
      </c>
      <c r="AJ268" s="3">
        <f t="shared" ca="1" si="139"/>
        <v>4.7636781239300888E-4</v>
      </c>
      <c r="AK268" s="3">
        <f t="shared" ca="1" si="140"/>
        <v>0.28536064272181966</v>
      </c>
      <c r="AL268" s="3">
        <f t="shared" ca="1" si="141"/>
        <v>-4.3975768687109989E-5</v>
      </c>
      <c r="AM268" s="3">
        <f t="shared" ca="1" si="142"/>
        <v>0.20633621482025349</v>
      </c>
      <c r="AN268" s="3">
        <f t="shared" ca="1" si="143"/>
        <v>2.4790404481384058</v>
      </c>
      <c r="AP268" s="3">
        <f t="shared" ca="1" si="144"/>
        <v>8.6873943950114665</v>
      </c>
      <c r="AQ268" s="3">
        <f t="shared" ca="1" si="151"/>
        <v>0.40021885096163329</v>
      </c>
      <c r="AR268" s="3">
        <f t="shared" ca="1" si="145"/>
        <v>1.906513785110369E-4</v>
      </c>
      <c r="AS268" s="3">
        <f t="shared" ca="1" si="146"/>
        <v>0.20614556344174245</v>
      </c>
      <c r="AT268" s="3">
        <f t="shared" ca="1" si="147"/>
        <v>0.70921165535245656</v>
      </c>
      <c r="AU268" s="3">
        <f t="shared" ca="1" si="148"/>
        <v>5.2868946356155716E-2</v>
      </c>
      <c r="AV268" s="10">
        <f t="shared" ca="1" si="152"/>
        <v>0.70921165535245656</v>
      </c>
      <c r="AW268" s="10">
        <f t="shared" ca="1" si="153"/>
        <v>0.70921165535245656</v>
      </c>
      <c r="AY268" s="3">
        <f t="shared" ca="1" si="159"/>
        <v>8.6873943950114665</v>
      </c>
      <c r="AZ268" s="3">
        <f t="shared" ca="1" si="154"/>
        <v>0.40021885096163329</v>
      </c>
      <c r="BA268" s="3">
        <f t="shared" ca="1" si="149"/>
        <v>1.906513785110369E-4</v>
      </c>
      <c r="BB268" s="3">
        <f t="shared" ca="1" si="155"/>
        <v>0.20614556344174245</v>
      </c>
      <c r="BC268" s="3">
        <f t="shared" ca="1" si="156"/>
        <v>0.70921165535245656</v>
      </c>
      <c r="BD268" s="3">
        <f t="shared" ca="1" si="150"/>
        <v>5.2868946356155716E-2</v>
      </c>
      <c r="BE268" s="3">
        <f t="shared" ca="1" si="157"/>
        <v>0.70921165535245656</v>
      </c>
      <c r="BF268" s="3">
        <f t="shared" ca="1" si="158"/>
        <v>0.70921165535245656</v>
      </c>
    </row>
    <row r="269" spans="1:58" ht="15" x14ac:dyDescent="0.25">
      <c r="A269" s="72">
        <v>203</v>
      </c>
      <c r="B269" s="72">
        <v>1498730226.431</v>
      </c>
      <c r="C269" s="73">
        <v>2.5663966259671103E-4</v>
      </c>
      <c r="D269" s="73">
        <v>-9.21367743438774E-6</v>
      </c>
      <c r="E269" s="73">
        <v>1.5691950627960999E-2</v>
      </c>
      <c r="F269" s="73">
        <v>3.8021698628537098E-4</v>
      </c>
      <c r="G269" s="73">
        <v>0.29340386379245897</v>
      </c>
      <c r="H269" s="73">
        <v>-5.3187964669191998E-5</v>
      </c>
      <c r="I269" s="73">
        <v>0.21180269051745201</v>
      </c>
      <c r="J269" s="73">
        <v>2.54576353055882</v>
      </c>
      <c r="K269" s="73"/>
      <c r="L269" s="73"/>
      <c r="M269" s="73"/>
      <c r="O269" s="13">
        <f t="shared" ca="1" si="120"/>
        <v>-8.0475666748505573E-6</v>
      </c>
      <c r="P269" s="13">
        <f t="shared" ca="1" si="121"/>
        <v>-2.0501152819227913E-5</v>
      </c>
      <c r="Q269" s="13">
        <f t="shared" ca="1" si="122"/>
        <v>1.4851211009988314E-2</v>
      </c>
      <c r="R269" s="13">
        <f t="shared" ca="1" si="123"/>
        <v>3.7044070739468985E-4</v>
      </c>
      <c r="S269" s="13">
        <f t="shared" ca="1" si="124"/>
        <v>0.29226878515921761</v>
      </c>
      <c r="T269" s="13">
        <f t="shared" ca="1" si="125"/>
        <v>-5.3537786180216088E-5</v>
      </c>
      <c r="U269" s="13">
        <f t="shared" ca="1" si="126"/>
        <v>0.2111488465226635</v>
      </c>
      <c r="V269" s="13">
        <f t="shared" ca="1" si="127"/>
        <v>2.5386247496363659</v>
      </c>
      <c r="X269" s="3">
        <f t="shared" ca="1" si="128"/>
        <v>-8.0475666748505573E-6</v>
      </c>
      <c r="Y269" s="3">
        <f t="shared" ca="1" si="129"/>
        <v>-2.0501152819227913E-5</v>
      </c>
      <c r="Z269" s="3">
        <f t="shared" ca="1" si="130"/>
        <v>1.4851211009988314E-2</v>
      </c>
      <c r="AA269" s="3">
        <f t="shared" ca="1" si="131"/>
        <v>3.7044070739468985E-4</v>
      </c>
      <c r="AB269" s="3">
        <f t="shared" ca="1" si="132"/>
        <v>0.29226878515921761</v>
      </c>
      <c r="AC269" s="3">
        <f t="shared" ca="1" si="133"/>
        <v>-5.3537786180216088E-5</v>
      </c>
      <c r="AD269" s="3">
        <f t="shared" ca="1" si="134"/>
        <v>0.2111488465226635</v>
      </c>
      <c r="AE269" s="3">
        <f t="shared" ca="1" si="135"/>
        <v>2.5386247496363659</v>
      </c>
      <c r="AG269" s="3">
        <f t="shared" ca="1" si="136"/>
        <v>-8.0475666748505573E-6</v>
      </c>
      <c r="AH269" s="3">
        <f t="shared" ca="1" si="137"/>
        <v>-2.0501152819227913E-5</v>
      </c>
      <c r="AI269" s="3">
        <f t="shared" ca="1" si="138"/>
        <v>1.4851211009988314E-2</v>
      </c>
      <c r="AJ269" s="3">
        <f t="shared" ca="1" si="139"/>
        <v>3.7044070739468985E-4</v>
      </c>
      <c r="AK269" s="3">
        <f t="shared" ca="1" si="140"/>
        <v>0.29226878515921761</v>
      </c>
      <c r="AL269" s="3">
        <f t="shared" ca="1" si="141"/>
        <v>-5.3537786180216088E-5</v>
      </c>
      <c r="AM269" s="3">
        <f t="shared" ca="1" si="142"/>
        <v>0.2111488465226635</v>
      </c>
      <c r="AN269" s="3">
        <f t="shared" ca="1" si="143"/>
        <v>2.5386247496363659</v>
      </c>
      <c r="AP269" s="3">
        <f t="shared" ca="1" si="144"/>
        <v>8.685925006508695</v>
      </c>
      <c r="AQ269" s="3">
        <f t="shared" ca="1" si="151"/>
        <v>0.40015033685938994</v>
      </c>
      <c r="AR269" s="3">
        <f t="shared" ca="1" si="145"/>
        <v>1.4823197385041583E-4</v>
      </c>
      <c r="AS269" s="3">
        <f t="shared" ca="1" si="146"/>
        <v>0.21100061454881308</v>
      </c>
      <c r="AT269" s="3">
        <f t="shared" ca="1" si="147"/>
        <v>0.70881716727793587</v>
      </c>
      <c r="AU269" s="3">
        <f t="shared" ca="1" si="148"/>
        <v>5.2743347306920908E-2</v>
      </c>
      <c r="AV269" s="10">
        <f t="shared" ca="1" si="152"/>
        <v>0.70881716727793587</v>
      </c>
      <c r="AW269" s="10">
        <f t="shared" ca="1" si="153"/>
        <v>0.70881716727793587</v>
      </c>
      <c r="AY269" s="3">
        <f t="shared" ca="1" si="159"/>
        <v>8.685925006508695</v>
      </c>
      <c r="AZ269" s="3">
        <f t="shared" ca="1" si="154"/>
        <v>0.40015033685938994</v>
      </c>
      <c r="BA269" s="3">
        <f t="shared" ca="1" si="149"/>
        <v>1.4823197385041583E-4</v>
      </c>
      <c r="BB269" s="3">
        <f t="shared" ca="1" si="155"/>
        <v>0.21100061454881308</v>
      </c>
      <c r="BC269" s="3">
        <f t="shared" ca="1" si="156"/>
        <v>0.70881716727793587</v>
      </c>
      <c r="BD269" s="3">
        <f t="shared" ca="1" si="150"/>
        <v>5.2743347306920908E-2</v>
      </c>
      <c r="BE269" s="3">
        <f t="shared" ca="1" si="157"/>
        <v>0.70881716727793587</v>
      </c>
      <c r="BF269" s="3">
        <f t="shared" ca="1" si="158"/>
        <v>0.70881716727793587</v>
      </c>
    </row>
    <row r="270" spans="1:58" ht="15" x14ac:dyDescent="0.25">
      <c r="A270" s="72">
        <v>204</v>
      </c>
      <c r="B270" s="72">
        <v>1498730226.9579999</v>
      </c>
      <c r="C270" s="73">
        <v>2.1239126692851101E-4</v>
      </c>
      <c r="D270" s="73">
        <v>-4.5590691183799E-5</v>
      </c>
      <c r="E270" s="73">
        <v>1.51841812322872E-2</v>
      </c>
      <c r="F270" s="73">
        <v>4.3877305355948502E-4</v>
      </c>
      <c r="G270" s="73">
        <v>0.28304939474325902</v>
      </c>
      <c r="H270" s="73">
        <v>-4.3224558374490503E-5</v>
      </c>
      <c r="I270" s="73">
        <v>0.204455221854242</v>
      </c>
      <c r="J270" s="73">
        <v>2.4588532742564602</v>
      </c>
      <c r="K270" s="73"/>
      <c r="L270" s="73"/>
      <c r="M270" s="73"/>
      <c r="O270" s="13">
        <f t="shared" ca="1" si="120"/>
        <v>-5.2295962343050571E-5</v>
      </c>
      <c r="P270" s="13">
        <f t="shared" ca="1" si="121"/>
        <v>-5.6878166568639171E-5</v>
      </c>
      <c r="Q270" s="13">
        <f t="shared" ca="1" si="122"/>
        <v>1.4343441614314514E-2</v>
      </c>
      <c r="R270" s="13">
        <f t="shared" ca="1" si="123"/>
        <v>4.2899677466880389E-4</v>
      </c>
      <c r="S270" s="13">
        <f t="shared" ca="1" si="124"/>
        <v>0.28191431611001766</v>
      </c>
      <c r="T270" s="13">
        <f t="shared" ca="1" si="125"/>
        <v>-4.3574379885514593E-5</v>
      </c>
      <c r="U270" s="13">
        <f t="shared" ca="1" si="126"/>
        <v>0.20380137785945349</v>
      </c>
      <c r="V270" s="13">
        <f t="shared" ca="1" si="127"/>
        <v>2.451714493334006</v>
      </c>
      <c r="X270" s="3">
        <f t="shared" ca="1" si="128"/>
        <v>-5.2295962343050571E-5</v>
      </c>
      <c r="Y270" s="3">
        <f t="shared" ca="1" si="129"/>
        <v>-5.6878166568639171E-5</v>
      </c>
      <c r="Z270" s="3">
        <f t="shared" ca="1" si="130"/>
        <v>1.4343441614314514E-2</v>
      </c>
      <c r="AA270" s="3">
        <f t="shared" ca="1" si="131"/>
        <v>4.2899677466880389E-4</v>
      </c>
      <c r="AB270" s="3">
        <f t="shared" ca="1" si="132"/>
        <v>0.28191431611001766</v>
      </c>
      <c r="AC270" s="3">
        <f t="shared" ca="1" si="133"/>
        <v>-4.3574379885514593E-5</v>
      </c>
      <c r="AD270" s="3">
        <f t="shared" ca="1" si="134"/>
        <v>0.20380137785945349</v>
      </c>
      <c r="AE270" s="3">
        <f t="shared" ca="1" si="135"/>
        <v>2.451714493334006</v>
      </c>
      <c r="AG270" s="3">
        <f t="shared" ca="1" si="136"/>
        <v>-5.2295962343050571E-5</v>
      </c>
      <c r="AH270" s="3">
        <f t="shared" ca="1" si="137"/>
        <v>-5.6878166568639171E-5</v>
      </c>
      <c r="AI270" s="3">
        <f t="shared" ca="1" si="138"/>
        <v>1.4343441614314514E-2</v>
      </c>
      <c r="AJ270" s="3">
        <f t="shared" ca="1" si="139"/>
        <v>4.2899677466880389E-4</v>
      </c>
      <c r="AK270" s="3">
        <f t="shared" ca="1" si="140"/>
        <v>0.28191431611001766</v>
      </c>
      <c r="AL270" s="3">
        <f t="shared" ca="1" si="141"/>
        <v>-4.3574379885514593E-5</v>
      </c>
      <c r="AM270" s="3">
        <f t="shared" ca="1" si="142"/>
        <v>0.20380137785945349</v>
      </c>
      <c r="AN270" s="3">
        <f t="shared" ca="1" si="143"/>
        <v>2.451714493334006</v>
      </c>
      <c r="AP270" s="3">
        <f t="shared" ca="1" si="144"/>
        <v>8.6966654519851314</v>
      </c>
      <c r="AQ270" s="3">
        <f t="shared" ca="1" si="151"/>
        <v>0.40065114160854859</v>
      </c>
      <c r="AR270" s="3">
        <f t="shared" ca="1" si="145"/>
        <v>1.7187804751744154E-4</v>
      </c>
      <c r="AS270" s="3">
        <f t="shared" ca="1" si="146"/>
        <v>0.20362949981193604</v>
      </c>
      <c r="AT270" s="3">
        <f t="shared" ca="1" si="147"/>
        <v>0.70873883895279</v>
      </c>
      <c r="AU270" s="3">
        <f t="shared" ca="1" si="148"/>
        <v>5.287783434541727E-2</v>
      </c>
      <c r="AV270" s="10">
        <f t="shared" ca="1" si="152"/>
        <v>0.70873883895279</v>
      </c>
      <c r="AW270" s="10">
        <f t="shared" ca="1" si="153"/>
        <v>0.70873883895279</v>
      </c>
      <c r="AY270" s="3">
        <f t="shared" ca="1" si="159"/>
        <v>8.6966654519851314</v>
      </c>
      <c r="AZ270" s="3">
        <f t="shared" ca="1" si="154"/>
        <v>0.40065114160854859</v>
      </c>
      <c r="BA270" s="3">
        <f t="shared" ca="1" si="149"/>
        <v>1.7187804751744154E-4</v>
      </c>
      <c r="BB270" s="3">
        <f t="shared" ca="1" si="155"/>
        <v>0.20362949981193604</v>
      </c>
      <c r="BC270" s="3">
        <f t="shared" ca="1" si="156"/>
        <v>0.70873883895279</v>
      </c>
      <c r="BD270" s="3">
        <f t="shared" ca="1" si="150"/>
        <v>5.287783434541727E-2</v>
      </c>
      <c r="BE270" s="3">
        <f t="shared" ca="1" si="157"/>
        <v>0.70873883895279</v>
      </c>
      <c r="BF270" s="3">
        <f t="shared" ca="1" si="158"/>
        <v>0.70873883895279</v>
      </c>
    </row>
    <row r="271" spans="1:58" ht="15" x14ac:dyDescent="0.25">
      <c r="A271" s="72">
        <v>205</v>
      </c>
      <c r="B271" s="72">
        <v>1498730227.4860001</v>
      </c>
      <c r="C271" s="73">
        <v>2.5307117090355498E-4</v>
      </c>
      <c r="D271" s="73">
        <v>-9.9681316896504301E-5</v>
      </c>
      <c r="E271" s="73">
        <v>1.51868327378042E-2</v>
      </c>
      <c r="F271" s="73">
        <v>3.6926785873123499E-4</v>
      </c>
      <c r="G271" s="73">
        <v>0.28153047254714397</v>
      </c>
      <c r="H271" s="73">
        <v>-6.4850016774053301E-5</v>
      </c>
      <c r="I271" s="73">
        <v>0.203234570317124</v>
      </c>
      <c r="J271" s="73">
        <v>2.4449863883448901</v>
      </c>
      <c r="K271" s="73"/>
      <c r="L271" s="73"/>
      <c r="M271" s="73"/>
      <c r="O271" s="13">
        <f t="shared" ca="1" si="120"/>
        <v>-1.16160583680066E-5</v>
      </c>
      <c r="P271" s="13">
        <f t="shared" ca="1" si="121"/>
        <v>-1.1096879228134448E-4</v>
      </c>
      <c r="Q271" s="13">
        <f t="shared" ca="1" si="122"/>
        <v>1.4346093119831515E-2</v>
      </c>
      <c r="R271" s="13">
        <f t="shared" ca="1" si="123"/>
        <v>3.5949157984055386E-4</v>
      </c>
      <c r="S271" s="13">
        <f t="shared" ca="1" si="124"/>
        <v>0.28039539391390261</v>
      </c>
      <c r="T271" s="13">
        <f t="shared" ca="1" si="125"/>
        <v>-6.5199838285077391E-5</v>
      </c>
      <c r="U271" s="13">
        <f t="shared" ca="1" si="126"/>
        <v>0.20258072632233548</v>
      </c>
      <c r="V271" s="13">
        <f t="shared" ca="1" si="127"/>
        <v>2.437847607422436</v>
      </c>
      <c r="X271" s="3">
        <f t="shared" ca="1" si="128"/>
        <v>-1.16160583680066E-5</v>
      </c>
      <c r="Y271" s="3">
        <f t="shared" ca="1" si="129"/>
        <v>-1.1096879228134448E-4</v>
      </c>
      <c r="Z271" s="3">
        <f t="shared" ca="1" si="130"/>
        <v>1.4346093119831515E-2</v>
      </c>
      <c r="AA271" s="3">
        <f t="shared" ca="1" si="131"/>
        <v>3.5949157984055386E-4</v>
      </c>
      <c r="AB271" s="3">
        <f t="shared" ca="1" si="132"/>
        <v>0.28039539391390261</v>
      </c>
      <c r="AC271" s="3">
        <f t="shared" ca="1" si="133"/>
        <v>-6.5199838285077391E-5</v>
      </c>
      <c r="AD271" s="3">
        <f t="shared" ca="1" si="134"/>
        <v>0.20258072632233548</v>
      </c>
      <c r="AE271" s="3">
        <f t="shared" ca="1" si="135"/>
        <v>2.437847607422436</v>
      </c>
      <c r="AG271" s="3">
        <f t="shared" ca="1" si="136"/>
        <v>-1.16160583680066E-5</v>
      </c>
      <c r="AH271" s="3">
        <f t="shared" ca="1" si="137"/>
        <v>-1.1096879228134448E-4</v>
      </c>
      <c r="AI271" s="3">
        <f t="shared" ca="1" si="138"/>
        <v>1.4346093119831515E-2</v>
      </c>
      <c r="AJ271" s="3">
        <f t="shared" ca="1" si="139"/>
        <v>3.5949157984055386E-4</v>
      </c>
      <c r="AK271" s="3">
        <f t="shared" ca="1" si="140"/>
        <v>0.28039539391390261</v>
      </c>
      <c r="AL271" s="3">
        <f t="shared" ca="1" si="141"/>
        <v>-6.5199838285077391E-5</v>
      </c>
      <c r="AM271" s="3">
        <f t="shared" ca="1" si="142"/>
        <v>0.20258072632233548</v>
      </c>
      <c r="AN271" s="3">
        <f t="shared" ca="1" si="143"/>
        <v>2.437847607422436</v>
      </c>
      <c r="AP271" s="3">
        <f t="shared" ca="1" si="144"/>
        <v>8.6943211633889899</v>
      </c>
      <c r="AQ271" s="3">
        <f t="shared" ca="1" si="151"/>
        <v>0.40054183164164398</v>
      </c>
      <c r="AR271" s="3">
        <f t="shared" ca="1" si="145"/>
        <v>1.4399141584908374E-4</v>
      </c>
      <c r="AS271" s="3">
        <f t="shared" ca="1" si="146"/>
        <v>0.20243673490648639</v>
      </c>
      <c r="AT271" s="3">
        <f t="shared" ca="1" si="147"/>
        <v>0.70850036941135064</v>
      </c>
      <c r="AU271" s="3">
        <f t="shared" ca="1" si="148"/>
        <v>5.3159438348181556E-2</v>
      </c>
      <c r="AV271" s="10">
        <f t="shared" ca="1" si="152"/>
        <v>0.70850036941135064</v>
      </c>
      <c r="AW271" s="10">
        <f t="shared" ca="1" si="153"/>
        <v>0.70850036941135064</v>
      </c>
      <c r="AY271" s="3">
        <f t="shared" ca="1" si="159"/>
        <v>8.6943211633889899</v>
      </c>
      <c r="AZ271" s="3">
        <f t="shared" ca="1" si="154"/>
        <v>0.40054183164164398</v>
      </c>
      <c r="BA271" s="3">
        <f t="shared" ca="1" si="149"/>
        <v>1.4399141584908374E-4</v>
      </c>
      <c r="BB271" s="3">
        <f t="shared" ca="1" si="155"/>
        <v>0.20243673490648639</v>
      </c>
      <c r="BC271" s="3">
        <f t="shared" ca="1" si="156"/>
        <v>0.70850036941135064</v>
      </c>
      <c r="BD271" s="3">
        <f t="shared" ca="1" si="150"/>
        <v>5.3159438348181556E-2</v>
      </c>
      <c r="BE271" s="3">
        <f t="shared" ca="1" si="157"/>
        <v>0.70850036941135064</v>
      </c>
      <c r="BF271" s="3">
        <f t="shared" ca="1" si="158"/>
        <v>0.70850036941135064</v>
      </c>
    </row>
    <row r="272" spans="1:58" ht="15" x14ac:dyDescent="0.25">
      <c r="A272" s="72">
        <v>206</v>
      </c>
      <c r="B272" s="72">
        <v>1498730228.013</v>
      </c>
      <c r="C272" s="73">
        <v>3.1230978425013899E-4</v>
      </c>
      <c r="D272" s="73">
        <v>-9.3776370149656997E-5</v>
      </c>
      <c r="E272" s="73">
        <v>1.45644015732638E-2</v>
      </c>
      <c r="F272" s="73">
        <v>3.12381932119258E-4</v>
      </c>
      <c r="G272" s="73">
        <v>0.27064548620298901</v>
      </c>
      <c r="H272" s="73">
        <v>-1.02966385900245E-4</v>
      </c>
      <c r="I272" s="73">
        <v>0.19529929598054299</v>
      </c>
      <c r="J272" s="73">
        <v>2.3492574180817098</v>
      </c>
      <c r="K272" s="73"/>
      <c r="L272" s="73"/>
      <c r="M272" s="73"/>
      <c r="O272" s="13">
        <f t="shared" ca="1" si="120"/>
        <v>4.7622554978577402E-5</v>
      </c>
      <c r="P272" s="13">
        <f t="shared" ca="1" si="121"/>
        <v>-1.0506384553449717E-4</v>
      </c>
      <c r="Q272" s="13">
        <f t="shared" ca="1" si="122"/>
        <v>1.3723661955291115E-2</v>
      </c>
      <c r="R272" s="13">
        <f t="shared" ca="1" si="123"/>
        <v>3.0260565322857687E-4</v>
      </c>
      <c r="S272" s="13">
        <f t="shared" ca="1" si="124"/>
        <v>0.26951040756974765</v>
      </c>
      <c r="T272" s="13">
        <f t="shared" ca="1" si="125"/>
        <v>-1.0331620741126909E-4</v>
      </c>
      <c r="U272" s="13">
        <f t="shared" ca="1" si="126"/>
        <v>0.19464545198575448</v>
      </c>
      <c r="V272" s="13">
        <f t="shared" ca="1" si="127"/>
        <v>2.3421186371592557</v>
      </c>
      <c r="X272" s="3">
        <f t="shared" ca="1" si="128"/>
        <v>4.7622554978577402E-5</v>
      </c>
      <c r="Y272" s="3">
        <f t="shared" ca="1" si="129"/>
        <v>-1.0506384553449717E-4</v>
      </c>
      <c r="Z272" s="3">
        <f t="shared" ca="1" si="130"/>
        <v>1.3723661955291115E-2</v>
      </c>
      <c r="AA272" s="3">
        <f t="shared" ca="1" si="131"/>
        <v>3.0260565322857687E-4</v>
      </c>
      <c r="AB272" s="3">
        <f t="shared" ca="1" si="132"/>
        <v>0.26951040756974765</v>
      </c>
      <c r="AC272" s="3">
        <f t="shared" ca="1" si="133"/>
        <v>-1.0331620741126909E-4</v>
      </c>
      <c r="AD272" s="3">
        <f t="shared" ca="1" si="134"/>
        <v>0.19464545198575448</v>
      </c>
      <c r="AE272" s="3">
        <f t="shared" ca="1" si="135"/>
        <v>2.3421186371592557</v>
      </c>
      <c r="AG272" s="3">
        <f t="shared" ca="1" si="136"/>
        <v>4.7622554978577402E-5</v>
      </c>
      <c r="AH272" s="3">
        <f t="shared" ca="1" si="137"/>
        <v>-1.0506384553449717E-4</v>
      </c>
      <c r="AI272" s="3">
        <f t="shared" ca="1" si="138"/>
        <v>1.3723661955291115E-2</v>
      </c>
      <c r="AJ272" s="3">
        <f t="shared" ca="1" si="139"/>
        <v>3.0260565322857687E-4</v>
      </c>
      <c r="AK272" s="3">
        <f t="shared" ca="1" si="140"/>
        <v>0.26951040756974765</v>
      </c>
      <c r="AL272" s="3">
        <f t="shared" ca="1" si="141"/>
        <v>-1.0331620741126909E-4</v>
      </c>
      <c r="AM272" s="3">
        <f t="shared" ca="1" si="142"/>
        <v>0.19464545198575448</v>
      </c>
      <c r="AN272" s="3">
        <f t="shared" ca="1" si="143"/>
        <v>2.3421186371592557</v>
      </c>
      <c r="AP272" s="3">
        <f t="shared" ca="1" si="144"/>
        <v>8.6902715864623143</v>
      </c>
      <c r="AQ272" s="3">
        <f t="shared" ca="1" si="151"/>
        <v>0.40035300798475021</v>
      </c>
      <c r="AR272" s="3">
        <f t="shared" ca="1" si="145"/>
        <v>1.2114908350325099E-4</v>
      </c>
      <c r="AS272" s="3">
        <f t="shared" ca="1" si="146"/>
        <v>0.19452430290225123</v>
      </c>
      <c r="AT272" s="3">
        <f t="shared" ca="1" si="147"/>
        <v>0.70847062968498919</v>
      </c>
      <c r="AU272" s="3">
        <f t="shared" ca="1" si="148"/>
        <v>5.2881656476891456E-2</v>
      </c>
      <c r="AV272" s="10">
        <f t="shared" ca="1" si="152"/>
        <v>0.70847062968498919</v>
      </c>
      <c r="AW272" s="10">
        <f t="shared" ca="1" si="153"/>
        <v>0.70847062968498919</v>
      </c>
      <c r="AY272" s="3">
        <f t="shared" ca="1" si="159"/>
        <v>8.6902715864623143</v>
      </c>
      <c r="AZ272" s="3">
        <f t="shared" ca="1" si="154"/>
        <v>0.40035300798475021</v>
      </c>
      <c r="BA272" s="3">
        <f t="shared" ca="1" si="149"/>
        <v>1.2114908350325099E-4</v>
      </c>
      <c r="BB272" s="3">
        <f t="shared" ca="1" si="155"/>
        <v>0.19452430290225123</v>
      </c>
      <c r="BC272" s="3">
        <f t="shared" ca="1" si="156"/>
        <v>0.70847062968498919</v>
      </c>
      <c r="BD272" s="3">
        <f t="shared" ca="1" si="150"/>
        <v>5.2881656476891456E-2</v>
      </c>
      <c r="BE272" s="3">
        <f t="shared" ca="1" si="157"/>
        <v>0.70847062968498919</v>
      </c>
      <c r="BF272" s="3">
        <f t="shared" ca="1" si="158"/>
        <v>0.70847062968498919</v>
      </c>
    </row>
    <row r="273" spans="1:58" ht="15" x14ac:dyDescent="0.25">
      <c r="A273" s="72">
        <v>207</v>
      </c>
      <c r="B273" s="72">
        <v>1498730228.539</v>
      </c>
      <c r="C273" s="73">
        <v>3.9891392047329799E-4</v>
      </c>
      <c r="D273" s="73">
        <v>1.65244251589724E-6</v>
      </c>
      <c r="E273" s="73">
        <v>1.5490837713261501E-2</v>
      </c>
      <c r="F273" s="73">
        <v>4.5019902792503899E-4</v>
      </c>
      <c r="G273" s="73">
        <v>0.28892972152868601</v>
      </c>
      <c r="H273" s="73">
        <v>-2.7734431672614099E-5</v>
      </c>
      <c r="I273" s="73">
        <v>0.208719985314088</v>
      </c>
      <c r="J273" s="73">
        <v>2.5073869807581799</v>
      </c>
      <c r="K273" s="73"/>
      <c r="L273" s="73"/>
      <c r="M273" s="73"/>
      <c r="O273" s="13">
        <f t="shared" ca="1" si="120"/>
        <v>1.342266912017364E-4</v>
      </c>
      <c r="P273" s="13">
        <f t="shared" ca="1" si="121"/>
        <v>-9.6350328689429326E-6</v>
      </c>
      <c r="Q273" s="13">
        <f t="shared" ca="1" si="122"/>
        <v>1.4650098095288815E-2</v>
      </c>
      <c r="R273" s="13">
        <f t="shared" ca="1" si="123"/>
        <v>4.4042274903435786E-4</v>
      </c>
      <c r="S273" s="13">
        <f t="shared" ca="1" si="124"/>
        <v>0.28779464289544465</v>
      </c>
      <c r="T273" s="13">
        <f t="shared" ca="1" si="125"/>
        <v>-2.8084253183638186E-5</v>
      </c>
      <c r="U273" s="13">
        <f t="shared" ca="1" si="126"/>
        <v>0.20806614131929949</v>
      </c>
      <c r="V273" s="13">
        <f t="shared" ca="1" si="127"/>
        <v>2.5002481998357258</v>
      </c>
      <c r="X273" s="3">
        <f t="shared" ca="1" si="128"/>
        <v>1.342266912017364E-4</v>
      </c>
      <c r="Y273" s="3">
        <f t="shared" ca="1" si="129"/>
        <v>-9.6350328689429326E-6</v>
      </c>
      <c r="Z273" s="3">
        <f t="shared" ca="1" si="130"/>
        <v>1.4650098095288815E-2</v>
      </c>
      <c r="AA273" s="3">
        <f t="shared" ca="1" si="131"/>
        <v>4.4042274903435786E-4</v>
      </c>
      <c r="AB273" s="3">
        <f t="shared" ca="1" si="132"/>
        <v>0.28779464289544465</v>
      </c>
      <c r="AC273" s="3">
        <f t="shared" ca="1" si="133"/>
        <v>-2.8084253183638186E-5</v>
      </c>
      <c r="AD273" s="3">
        <f t="shared" ca="1" si="134"/>
        <v>0.20806614131929949</v>
      </c>
      <c r="AE273" s="3">
        <f t="shared" ca="1" si="135"/>
        <v>2.5002481998357258</v>
      </c>
      <c r="AG273" s="3">
        <f t="shared" ca="1" si="136"/>
        <v>1.342266912017364E-4</v>
      </c>
      <c r="AH273" s="3">
        <f t="shared" ca="1" si="137"/>
        <v>-9.6350328689429326E-6</v>
      </c>
      <c r="AI273" s="3">
        <f t="shared" ca="1" si="138"/>
        <v>1.4650098095288815E-2</v>
      </c>
      <c r="AJ273" s="3">
        <f t="shared" ca="1" si="139"/>
        <v>4.4042274903435786E-4</v>
      </c>
      <c r="AK273" s="3">
        <f t="shared" ca="1" si="140"/>
        <v>0.28779464289544465</v>
      </c>
      <c r="AL273" s="3">
        <f t="shared" ca="1" si="141"/>
        <v>-2.8084253183638186E-5</v>
      </c>
      <c r="AM273" s="3">
        <f t="shared" ca="1" si="142"/>
        <v>0.20806614131929949</v>
      </c>
      <c r="AN273" s="3">
        <f t="shared" ca="1" si="143"/>
        <v>2.5002481998357258</v>
      </c>
      <c r="AP273" s="3">
        <f t="shared" ca="1" si="144"/>
        <v>8.6876120232163672</v>
      </c>
      <c r="AQ273" s="3">
        <f t="shared" ca="1" si="151"/>
        <v>0.40022899846082344</v>
      </c>
      <c r="AR273" s="3">
        <f t="shared" ca="1" si="145"/>
        <v>1.7626995574538364E-4</v>
      </c>
      <c r="AS273" s="3">
        <f t="shared" ca="1" si="146"/>
        <v>0.20788987136355411</v>
      </c>
      <c r="AT273" s="3">
        <f t="shared" ca="1" si="147"/>
        <v>0.70915487436933156</v>
      </c>
      <c r="AU273" s="3">
        <f t="shared" ca="1" si="148"/>
        <v>5.2848465840411391E-2</v>
      </c>
      <c r="AV273" s="10">
        <f t="shared" ca="1" si="152"/>
        <v>0.70915487436933156</v>
      </c>
      <c r="AW273" s="10">
        <f t="shared" ca="1" si="153"/>
        <v>0.70915487436933156</v>
      </c>
      <c r="AY273" s="3">
        <f t="shared" ca="1" si="159"/>
        <v>8.6876120232163672</v>
      </c>
      <c r="AZ273" s="3">
        <f t="shared" ca="1" si="154"/>
        <v>0.40022899846082344</v>
      </c>
      <c r="BA273" s="3">
        <f t="shared" ca="1" si="149"/>
        <v>1.7626995574538364E-4</v>
      </c>
      <c r="BB273" s="3">
        <f t="shared" ca="1" si="155"/>
        <v>0.20788987136355411</v>
      </c>
      <c r="BC273" s="3">
        <f t="shared" ca="1" si="156"/>
        <v>0.70915487436933156</v>
      </c>
      <c r="BD273" s="3">
        <f t="shared" ca="1" si="150"/>
        <v>5.2848465840411391E-2</v>
      </c>
      <c r="BE273" s="3">
        <f t="shared" ca="1" si="157"/>
        <v>0.70915487436933156</v>
      </c>
      <c r="BF273" s="3">
        <f t="shared" ca="1" si="158"/>
        <v>0.70915487436933156</v>
      </c>
    </row>
    <row r="274" spans="1:58" ht="15" x14ac:dyDescent="0.25">
      <c r="A274" s="72">
        <v>208</v>
      </c>
      <c r="B274" s="72">
        <v>1498730229.066</v>
      </c>
      <c r="C274" s="73">
        <v>1.2937134225251599E-4</v>
      </c>
      <c r="D274" s="73">
        <v>-2.4095344266689001E-5</v>
      </c>
      <c r="E274" s="73">
        <v>1.52620419674423E-2</v>
      </c>
      <c r="F274" s="73">
        <v>5.8232134969356502E-4</v>
      </c>
      <c r="G274" s="73">
        <v>0.28619838948165499</v>
      </c>
      <c r="H274" s="73">
        <v>-2.48297635145588E-5</v>
      </c>
      <c r="I274" s="73">
        <v>0.20669540525779601</v>
      </c>
      <c r="J274" s="73">
        <v>2.48611296435499</v>
      </c>
      <c r="K274" s="73"/>
      <c r="L274" s="73"/>
      <c r="M274" s="73"/>
      <c r="O274" s="13">
        <f t="shared" ca="1" si="120"/>
        <v>-1.3531588701904559E-4</v>
      </c>
      <c r="P274" s="13">
        <f t="shared" ca="1" si="121"/>
        <v>-3.5382819651529172E-5</v>
      </c>
      <c r="Q274" s="13">
        <f t="shared" ca="1" si="122"/>
        <v>1.4421302349469615E-2</v>
      </c>
      <c r="R274" s="13">
        <f t="shared" ca="1" si="123"/>
        <v>5.7254507080288389E-4</v>
      </c>
      <c r="S274" s="13">
        <f t="shared" ca="1" si="124"/>
        <v>0.28506331084841363</v>
      </c>
      <c r="T274" s="13">
        <f t="shared" ca="1" si="125"/>
        <v>-2.5179585025582886E-5</v>
      </c>
      <c r="U274" s="13">
        <f t="shared" ca="1" si="126"/>
        <v>0.20604156126300749</v>
      </c>
      <c r="V274" s="13">
        <f t="shared" ca="1" si="127"/>
        <v>2.4789741834325358</v>
      </c>
      <c r="X274" s="3">
        <f t="shared" ca="1" si="128"/>
        <v>-1.3531588701904559E-4</v>
      </c>
      <c r="Y274" s="3">
        <f t="shared" ca="1" si="129"/>
        <v>-3.5382819651529172E-5</v>
      </c>
      <c r="Z274" s="3">
        <f t="shared" ca="1" si="130"/>
        <v>1.4421302349469615E-2</v>
      </c>
      <c r="AA274" s="3">
        <f t="shared" ca="1" si="131"/>
        <v>5.7254507080288389E-4</v>
      </c>
      <c r="AB274" s="3">
        <f t="shared" ca="1" si="132"/>
        <v>0.28506331084841363</v>
      </c>
      <c r="AC274" s="3">
        <f t="shared" ca="1" si="133"/>
        <v>-2.5179585025582886E-5</v>
      </c>
      <c r="AD274" s="3">
        <f t="shared" ca="1" si="134"/>
        <v>0.20604156126300749</v>
      </c>
      <c r="AE274" s="3">
        <f t="shared" ca="1" si="135"/>
        <v>2.4789741834325358</v>
      </c>
      <c r="AG274" s="3">
        <f t="shared" ca="1" si="136"/>
        <v>-1.3531588701904559E-4</v>
      </c>
      <c r="AH274" s="3">
        <f t="shared" ca="1" si="137"/>
        <v>-3.5382819651529172E-5</v>
      </c>
      <c r="AI274" s="3">
        <f t="shared" ca="1" si="138"/>
        <v>1.4421302349469615E-2</v>
      </c>
      <c r="AJ274" s="3">
        <f t="shared" ca="1" si="139"/>
        <v>5.7254507080288389E-4</v>
      </c>
      <c r="AK274" s="3">
        <f t="shared" ca="1" si="140"/>
        <v>0.28506331084841363</v>
      </c>
      <c r="AL274" s="3">
        <f t="shared" ca="1" si="141"/>
        <v>-2.5179585025582886E-5</v>
      </c>
      <c r="AM274" s="3">
        <f t="shared" ca="1" si="142"/>
        <v>0.20604156126300749</v>
      </c>
      <c r="AN274" s="3">
        <f t="shared" ca="1" si="143"/>
        <v>2.4789741834325358</v>
      </c>
      <c r="AP274" s="3">
        <f t="shared" ca="1" si="144"/>
        <v>8.6962232216223878</v>
      </c>
      <c r="AQ274" s="3">
        <f t="shared" ca="1" si="151"/>
        <v>0.40063052117362513</v>
      </c>
      <c r="AR274" s="3">
        <f t="shared" ca="1" si="145"/>
        <v>2.2937903011114948E-4</v>
      </c>
      <c r="AS274" s="3">
        <f t="shared" ca="1" si="146"/>
        <v>0.20581218223289635</v>
      </c>
      <c r="AT274" s="3">
        <f t="shared" ca="1" si="147"/>
        <v>0.70844076490690311</v>
      </c>
      <c r="AU274" s="3">
        <f t="shared" ca="1" si="148"/>
        <v>5.2574842430650262E-2</v>
      </c>
      <c r="AV274" s="10">
        <f t="shared" ca="1" si="152"/>
        <v>0.70844076490690311</v>
      </c>
      <c r="AW274" s="10">
        <f t="shared" ca="1" si="153"/>
        <v>0.70844076490690311</v>
      </c>
      <c r="AY274" s="3">
        <f t="shared" ca="1" si="159"/>
        <v>8.6962232216223878</v>
      </c>
      <c r="AZ274" s="3">
        <f t="shared" ca="1" si="154"/>
        <v>0.40063052117362513</v>
      </c>
      <c r="BA274" s="3">
        <f t="shared" ca="1" si="149"/>
        <v>2.2937903011114948E-4</v>
      </c>
      <c r="BB274" s="3">
        <f t="shared" ca="1" si="155"/>
        <v>0.20581218223289635</v>
      </c>
      <c r="BC274" s="3">
        <f t="shared" ca="1" si="156"/>
        <v>0.70844076490690311</v>
      </c>
      <c r="BD274" s="3">
        <f t="shared" ca="1" si="150"/>
        <v>5.2574842430650262E-2</v>
      </c>
      <c r="BE274" s="3">
        <f t="shared" ca="1" si="157"/>
        <v>0.70844076490690311</v>
      </c>
      <c r="BF274" s="3">
        <f t="shared" ca="1" si="158"/>
        <v>0.70844076490690311</v>
      </c>
    </row>
    <row r="275" spans="1:58" ht="15" x14ac:dyDescent="0.25">
      <c r="A275" s="72">
        <v>209</v>
      </c>
      <c r="B275" s="72">
        <v>1498730229.5929999</v>
      </c>
      <c r="C275" s="73">
        <v>3.6036939388128298E-4</v>
      </c>
      <c r="D275" s="73">
        <v>-2.3386698526808901E-5</v>
      </c>
      <c r="E275" s="73">
        <v>1.49291870545879E-2</v>
      </c>
      <c r="F275" s="73">
        <v>4.8971486357207402E-4</v>
      </c>
      <c r="G275" s="73">
        <v>0.277480410043139</v>
      </c>
      <c r="H275" s="73">
        <v>4.1953831782368903E-5</v>
      </c>
      <c r="I275" s="73">
        <v>0.200548939342125</v>
      </c>
      <c r="J275" s="73">
        <v>2.4123007114152299</v>
      </c>
      <c r="K275" s="73"/>
      <c r="L275" s="73"/>
      <c r="M275" s="73"/>
      <c r="O275" s="13">
        <f t="shared" ca="1" si="120"/>
        <v>9.5682164609721398E-5</v>
      </c>
      <c r="P275" s="13">
        <f t="shared" ca="1" si="121"/>
        <v>-3.4674173911649073E-5</v>
      </c>
      <c r="Q275" s="13">
        <f t="shared" ca="1" si="122"/>
        <v>1.4088447436615215E-2</v>
      </c>
      <c r="R275" s="13">
        <f t="shared" ca="1" si="123"/>
        <v>4.7993858468139289E-4</v>
      </c>
      <c r="S275" s="13">
        <f t="shared" ca="1" si="124"/>
        <v>0.27634533140989764</v>
      </c>
      <c r="T275" s="13">
        <f t="shared" ca="1" si="125"/>
        <v>4.1604010271344813E-5</v>
      </c>
      <c r="U275" s="13">
        <f t="shared" ca="1" si="126"/>
        <v>0.19989509534733649</v>
      </c>
      <c r="V275" s="13">
        <f t="shared" ca="1" si="127"/>
        <v>2.4051619304927758</v>
      </c>
      <c r="X275" s="3">
        <f t="shared" ca="1" si="128"/>
        <v>9.5682164609721398E-5</v>
      </c>
      <c r="Y275" s="3">
        <f t="shared" ca="1" si="129"/>
        <v>-3.4674173911649073E-5</v>
      </c>
      <c r="Z275" s="3">
        <f t="shared" ca="1" si="130"/>
        <v>1.4088129134804036E-2</v>
      </c>
      <c r="AA275" s="3">
        <f t="shared" ca="1" si="131"/>
        <v>4.7223423402442525E-4</v>
      </c>
      <c r="AB275" s="3">
        <f t="shared" ca="1" si="132"/>
        <v>0.27628930305699789</v>
      </c>
      <c r="AC275" s="3">
        <f t="shared" ca="1" si="133"/>
        <v>4.1604010271344813E-5</v>
      </c>
      <c r="AD275" s="3">
        <f t="shared" ca="1" si="134"/>
        <v>0.19981235496175989</v>
      </c>
      <c r="AE275" s="3">
        <f t="shared" ca="1" si="135"/>
        <v>2.4051283563691048</v>
      </c>
      <c r="AG275" s="3">
        <f t="shared" ca="1" si="136"/>
        <v>9.5682164609721398E-5</v>
      </c>
      <c r="AH275" s="3">
        <f t="shared" ca="1" si="137"/>
        <v>-3.4674173911649073E-5</v>
      </c>
      <c r="AI275" s="3">
        <f t="shared" ca="1" si="138"/>
        <v>1.4088129134804036E-2</v>
      </c>
      <c r="AJ275" s="3">
        <f t="shared" ca="1" si="139"/>
        <v>4.7223423402442525E-4</v>
      </c>
      <c r="AK275" s="3">
        <f t="shared" ca="1" si="140"/>
        <v>0.27628930305699789</v>
      </c>
      <c r="AL275" s="3">
        <f t="shared" ca="1" si="141"/>
        <v>4.1604010271344813E-5</v>
      </c>
      <c r="AM275" s="3">
        <f t="shared" ca="1" si="142"/>
        <v>0.19981235496175989</v>
      </c>
      <c r="AN275" s="3">
        <f t="shared" ca="1" si="143"/>
        <v>2.4051283563691048</v>
      </c>
      <c r="AP275" s="3">
        <f t="shared" ca="1" si="144"/>
        <v>8.7034650385507906</v>
      </c>
      <c r="AQ275" s="3">
        <f t="shared" ca="1" si="151"/>
        <v>0.40096819613933993</v>
      </c>
      <c r="AR275" s="3">
        <f t="shared" ca="1" si="145"/>
        <v>1.9244010855736594E-4</v>
      </c>
      <c r="AS275" s="3">
        <f t="shared" ca="1" si="146"/>
        <v>0.19970265523877911</v>
      </c>
      <c r="AT275" s="3">
        <f t="shared" ca="1" si="147"/>
        <v>0.70879956756840756</v>
      </c>
      <c r="AU275" s="3">
        <f t="shared" ca="1" si="148"/>
        <v>5.3026839350365652E-2</v>
      </c>
      <c r="AV275" s="10">
        <f t="shared" ca="1" si="152"/>
        <v>0.70879956756840756</v>
      </c>
      <c r="AW275" s="10">
        <f t="shared" ca="1" si="153"/>
        <v>0.70879956756840756</v>
      </c>
      <c r="AY275" s="3">
        <f t="shared" ca="1" si="159"/>
        <v>8.7051084850466758</v>
      </c>
      <c r="AZ275" s="3">
        <f t="shared" ca="1" si="154"/>
        <v>0.40104482803726288</v>
      </c>
      <c r="BA275" s="3">
        <f t="shared" ca="1" si="149"/>
        <v>1.8938709717763419E-4</v>
      </c>
      <c r="BB275" s="3">
        <f t="shared" ca="1" si="155"/>
        <v>0.19962296786458225</v>
      </c>
      <c r="BC275" s="3">
        <f t="shared" ca="1" si="156"/>
        <v>0.70859303612327307</v>
      </c>
      <c r="BD275" s="3">
        <f t="shared" ca="1" si="150"/>
        <v>5.3046641866407715E-2</v>
      </c>
      <c r="BE275" s="3">
        <f t="shared" ca="1" si="157"/>
        <v>0.70859303612327307</v>
      </c>
      <c r="BF275" s="3">
        <f t="shared" ca="1" si="158"/>
        <v>0.70859303612327307</v>
      </c>
    </row>
    <row r="276" spans="1:58" ht="15" x14ac:dyDescent="0.25">
      <c r="A276" s="72">
        <v>210</v>
      </c>
      <c r="B276" s="72">
        <v>1498730230.1210001</v>
      </c>
      <c r="C276" s="73">
        <v>1.8265554349403501E-4</v>
      </c>
      <c r="D276" s="73">
        <v>3.44877454907294E-5</v>
      </c>
      <c r="E276" s="73">
        <v>1.5364258336198601E-2</v>
      </c>
      <c r="F276" s="73">
        <v>4.49008816163567E-4</v>
      </c>
      <c r="G276" s="73">
        <v>0.28622016941085898</v>
      </c>
      <c r="H276" s="73">
        <v>2.80831458444669E-5</v>
      </c>
      <c r="I276" s="73">
        <v>0.20643987551297299</v>
      </c>
      <c r="J276" s="73">
        <v>2.4798755067608198</v>
      </c>
      <c r="K276" s="73"/>
      <c r="L276" s="73"/>
      <c r="M276" s="73"/>
      <c r="O276" s="13">
        <f t="shared" ca="1" si="120"/>
        <v>-8.2031685777526577E-5</v>
      </c>
      <c r="P276" s="13">
        <f t="shared" ca="1" si="121"/>
        <v>2.3200270105889229E-5</v>
      </c>
      <c r="Q276" s="13">
        <f t="shared" ca="1" si="122"/>
        <v>1.4523518718225915E-2</v>
      </c>
      <c r="R276" s="13">
        <f t="shared" ca="1" si="123"/>
        <v>4.3923253727288586E-4</v>
      </c>
      <c r="S276" s="13">
        <f t="shared" ca="1" si="124"/>
        <v>0.28508509077761762</v>
      </c>
      <c r="T276" s="13">
        <f t="shared" ca="1" si="125"/>
        <v>2.7733324333442814E-5</v>
      </c>
      <c r="U276" s="13">
        <f t="shared" ca="1" si="126"/>
        <v>0.20578603151818448</v>
      </c>
      <c r="V276" s="13">
        <f t="shared" ca="1" si="127"/>
        <v>2.4727367258383657</v>
      </c>
      <c r="X276" s="3">
        <f t="shared" ca="1" si="128"/>
        <v>-8.2031685777526577E-5</v>
      </c>
      <c r="Y276" s="3">
        <f t="shared" ca="1" si="129"/>
        <v>2.3200270105889229E-5</v>
      </c>
      <c r="Z276" s="3">
        <f t="shared" ca="1" si="130"/>
        <v>1.4523306537541702E-2</v>
      </c>
      <c r="AA276" s="3">
        <f t="shared" ca="1" si="131"/>
        <v>4.3409680025727844E-4</v>
      </c>
      <c r="AB276" s="3">
        <f t="shared" ca="1" si="132"/>
        <v>0.28504774215490786</v>
      </c>
      <c r="AC276" s="3">
        <f t="shared" ca="1" si="133"/>
        <v>2.7733324333442814E-5</v>
      </c>
      <c r="AD276" s="3">
        <f t="shared" ca="1" si="134"/>
        <v>0.20573087659600983</v>
      </c>
      <c r="AE276" s="3">
        <f t="shared" ca="1" si="135"/>
        <v>2.4727143452540203</v>
      </c>
      <c r="AG276" s="3">
        <f t="shared" ca="1" si="136"/>
        <v>-8.2031685777526577E-5</v>
      </c>
      <c r="AH276" s="3">
        <f t="shared" ca="1" si="137"/>
        <v>2.3200270105889229E-5</v>
      </c>
      <c r="AI276" s="3">
        <f t="shared" ca="1" si="138"/>
        <v>1.4504618843031579E-2</v>
      </c>
      <c r="AJ276" s="3">
        <f t="shared" ca="1" si="139"/>
        <v>4.2377740509979585E-4</v>
      </c>
      <c r="AK276" s="3">
        <f t="shared" ca="1" si="140"/>
        <v>0.28504774215490786</v>
      </c>
      <c r="AL276" s="3">
        <f t="shared" ca="1" si="141"/>
        <v>2.7733324333442814E-5</v>
      </c>
      <c r="AM276" s="3">
        <f t="shared" ca="1" si="142"/>
        <v>0.20573087659600983</v>
      </c>
      <c r="AN276" s="3">
        <f t="shared" ca="1" si="143"/>
        <v>2.4727143452540203</v>
      </c>
      <c r="AP276" s="3">
        <f t="shared" ca="1" si="144"/>
        <v>8.6736795638577924</v>
      </c>
      <c r="AQ276" s="3">
        <f t="shared" ca="1" si="151"/>
        <v>0.39957936636980901</v>
      </c>
      <c r="AR276" s="3">
        <f t="shared" ca="1" si="145"/>
        <v>1.7550825893250326E-4</v>
      </c>
      <c r="AS276" s="3">
        <f t="shared" ca="1" si="146"/>
        <v>0.20561052325925197</v>
      </c>
      <c r="AT276" s="3">
        <f t="shared" ca="1" si="147"/>
        <v>0.7086182400007397</v>
      </c>
      <c r="AU276" s="3">
        <f t="shared" ca="1" si="148"/>
        <v>5.2803006394389007E-2</v>
      </c>
      <c r="AV276" s="10">
        <f t="shared" ca="1" si="152"/>
        <v>0.7086182400007397</v>
      </c>
      <c r="AW276" s="10">
        <f t="shared" ca="1" si="153"/>
        <v>0.7086182400007397</v>
      </c>
      <c r="AY276" s="3">
        <f t="shared" ca="1" si="159"/>
        <v>8.6747375248818326</v>
      </c>
      <c r="AZ276" s="3">
        <f t="shared" ca="1" si="154"/>
        <v>0.39962869572592319</v>
      </c>
      <c r="BA276" s="3">
        <f t="shared" ca="1" si="149"/>
        <v>1.693536116781476E-4</v>
      </c>
      <c r="BB276" s="3">
        <f t="shared" ca="1" si="155"/>
        <v>0.2055615229843317</v>
      </c>
      <c r="BC276" s="3">
        <f t="shared" ca="1" si="156"/>
        <v>0.70849867180485082</v>
      </c>
      <c r="BD276" s="3">
        <f t="shared" ca="1" si="150"/>
        <v>5.2747784491123315E-2</v>
      </c>
      <c r="BE276" s="3">
        <f t="shared" ca="1" si="157"/>
        <v>0.70849867180485082</v>
      </c>
      <c r="BF276" s="3">
        <f t="shared" ca="1" si="158"/>
        <v>0.70849867180485082</v>
      </c>
    </row>
    <row r="277" spans="1:58" ht="15" x14ac:dyDescent="0.25">
      <c r="A277" s="72">
        <v>211</v>
      </c>
      <c r="B277" s="72">
        <v>1498730230.648</v>
      </c>
      <c r="C277" s="73">
        <v>1.62435757354923E-4</v>
      </c>
      <c r="D277" s="73">
        <v>3.89761087352204E-5</v>
      </c>
      <c r="E277" s="73">
        <v>1.7216304609186401E-2</v>
      </c>
      <c r="F277" s="73">
        <v>4.3663069791685899E-4</v>
      </c>
      <c r="G277" s="73">
        <v>0.32146671709564201</v>
      </c>
      <c r="H277" s="73">
        <v>1.17338228060131E-5</v>
      </c>
      <c r="I277" s="73">
        <v>0.23220450432388301</v>
      </c>
      <c r="J277" s="73">
        <v>2.7915756218592098</v>
      </c>
      <c r="K277" s="73"/>
      <c r="L277" s="73"/>
      <c r="M277" s="73"/>
      <c r="O277" s="13">
        <f t="shared" ca="1" si="120"/>
        <v>-1.0225147191663859E-4</v>
      </c>
      <c r="P277" s="13">
        <f t="shared" ca="1" si="121"/>
        <v>2.7688633350380228E-5</v>
      </c>
      <c r="Q277" s="13">
        <f t="shared" ca="1" si="122"/>
        <v>1.6375564991213714E-2</v>
      </c>
      <c r="R277" s="13">
        <f t="shared" ca="1" si="123"/>
        <v>4.2685441902617785E-4</v>
      </c>
      <c r="S277" s="13">
        <f t="shared" ca="1" si="124"/>
        <v>0.32033163846240065</v>
      </c>
      <c r="T277" s="13">
        <f t="shared" ca="1" si="125"/>
        <v>1.1384001294989013E-5</v>
      </c>
      <c r="U277" s="13">
        <f t="shared" ca="1" si="126"/>
        <v>0.23155066032909449</v>
      </c>
      <c r="V277" s="13">
        <f t="shared" ca="1" si="127"/>
        <v>2.7844368409367557</v>
      </c>
      <c r="X277" s="3">
        <f t="shared" ca="1" si="128"/>
        <v>-1.0225147191663859E-4</v>
      </c>
      <c r="Y277" s="3">
        <f t="shared" ca="1" si="129"/>
        <v>2.7688633350380228E-5</v>
      </c>
      <c r="Z277" s="3">
        <f t="shared" ca="1" si="130"/>
        <v>1.6375477895085071E-2</v>
      </c>
      <c r="AA277" s="3">
        <f t="shared" ca="1" si="131"/>
        <v>4.2474629682151679E-4</v>
      </c>
      <c r="AB277" s="3">
        <f t="shared" ca="1" si="132"/>
        <v>0.32031630756430196</v>
      </c>
      <c r="AC277" s="3">
        <f t="shared" ca="1" si="133"/>
        <v>1.1384001294989013E-5</v>
      </c>
      <c r="AD277" s="3">
        <f t="shared" ca="1" si="134"/>
        <v>0.23152802028429093</v>
      </c>
      <c r="AE277" s="3">
        <f t="shared" ca="1" si="135"/>
        <v>2.7844276541332516</v>
      </c>
      <c r="AG277" s="3">
        <f t="shared" ca="1" si="136"/>
        <v>-1.0225147191663859E-4</v>
      </c>
      <c r="AH277" s="3">
        <f t="shared" ca="1" si="137"/>
        <v>2.7688633350380228E-5</v>
      </c>
      <c r="AI277" s="3">
        <f t="shared" ca="1" si="138"/>
        <v>1.6353174847788938E-2</v>
      </c>
      <c r="AJ277" s="3">
        <f t="shared" ca="1" si="139"/>
        <v>4.1243049413434486E-4</v>
      </c>
      <c r="AK277" s="3">
        <f t="shared" ca="1" si="140"/>
        <v>0.32031630756430196</v>
      </c>
      <c r="AL277" s="3">
        <f t="shared" ca="1" si="141"/>
        <v>1.1384001294989013E-5</v>
      </c>
      <c r="AM277" s="3">
        <f t="shared" ca="1" si="142"/>
        <v>0.23152802028429093</v>
      </c>
      <c r="AN277" s="3">
        <f t="shared" ca="1" si="143"/>
        <v>2.7844276541332516</v>
      </c>
      <c r="AP277" s="3">
        <f t="shared" ca="1" si="144"/>
        <v>8.6923566285931599</v>
      </c>
      <c r="AQ277" s="3">
        <f t="shared" ca="1" si="151"/>
        <v>0.40045022918771511</v>
      </c>
      <c r="AR277" s="3">
        <f t="shared" ca="1" si="145"/>
        <v>1.7093394992882189E-4</v>
      </c>
      <c r="AS277" s="3">
        <f t="shared" ca="1" si="146"/>
        <v>0.23137972637916568</v>
      </c>
      <c r="AT277" s="3">
        <f t="shared" ca="1" si="147"/>
        <v>0.70891884981311726</v>
      </c>
      <c r="AU277" s="3">
        <f t="shared" ca="1" si="148"/>
        <v>5.3102338512744519E-2</v>
      </c>
      <c r="AV277" s="10">
        <f t="shared" ca="1" si="152"/>
        <v>0.70891884981311726</v>
      </c>
      <c r="AW277" s="10">
        <f t="shared" ca="1" si="153"/>
        <v>0.70891884981311726</v>
      </c>
      <c r="AY277" s="3">
        <f t="shared" ca="1" si="159"/>
        <v>8.6927439795561803</v>
      </c>
      <c r="AZ277" s="3">
        <f t="shared" ca="1" si="154"/>
        <v>0.40046829059328559</v>
      </c>
      <c r="BA277" s="3">
        <f t="shared" ca="1" si="149"/>
        <v>1.6516533497452519E-4</v>
      </c>
      <c r="BB277" s="3">
        <f t="shared" ca="1" si="155"/>
        <v>0.23136285494931641</v>
      </c>
      <c r="BC277" s="3">
        <f t="shared" ca="1" si="156"/>
        <v>0.70888517736696866</v>
      </c>
      <c r="BD277" s="3">
        <f t="shared" ca="1" si="150"/>
        <v>5.3034688506010279E-2</v>
      </c>
      <c r="BE277" s="3">
        <f t="shared" ca="1" si="157"/>
        <v>0.70888517736696866</v>
      </c>
      <c r="BF277" s="3">
        <f t="shared" ca="1" si="158"/>
        <v>0.70888517736696866</v>
      </c>
    </row>
    <row r="278" spans="1:58" ht="15" x14ac:dyDescent="0.25">
      <c r="A278" s="72">
        <v>212</v>
      </c>
      <c r="B278" s="72">
        <v>1498730231.175</v>
      </c>
      <c r="C278" s="73">
        <v>3.7559668340244202E-4</v>
      </c>
      <c r="D278" s="73">
        <v>1.1800000435425E-6</v>
      </c>
      <c r="E278" s="73">
        <v>1.5447919504153799E-2</v>
      </c>
      <c r="F278" s="73">
        <v>4.5186532677351702E-4</v>
      </c>
      <c r="G278" s="73">
        <v>0.28737400981455002</v>
      </c>
      <c r="H278" s="73">
        <v>-2.0578876261178599E-5</v>
      </c>
      <c r="I278" s="73">
        <v>0.20743271164090299</v>
      </c>
      <c r="J278" s="73">
        <v>2.4968590257225101</v>
      </c>
      <c r="K278" s="73"/>
      <c r="L278" s="73"/>
      <c r="M278" s="73"/>
      <c r="O278" s="13">
        <f t="shared" ca="1" si="120"/>
        <v>1.1090945413088043E-4</v>
      </c>
      <c r="P278" s="13">
        <f t="shared" ca="1" si="121"/>
        <v>-1.0107475341297673E-5</v>
      </c>
      <c r="Q278" s="13">
        <f t="shared" ca="1" si="122"/>
        <v>1.4607179886181114E-2</v>
      </c>
      <c r="R278" s="13">
        <f t="shared" ca="1" si="123"/>
        <v>4.4208904788283588E-4</v>
      </c>
      <c r="S278" s="13">
        <f t="shared" ca="1" si="124"/>
        <v>0.28623893118130866</v>
      </c>
      <c r="T278" s="13">
        <f t="shared" ca="1" si="125"/>
        <v>-2.0928697772202686E-5</v>
      </c>
      <c r="U278" s="13">
        <f t="shared" ca="1" si="126"/>
        <v>0.20677886764611447</v>
      </c>
      <c r="V278" s="13">
        <f t="shared" ca="1" si="127"/>
        <v>2.4897202448000559</v>
      </c>
      <c r="X278" s="3">
        <f t="shared" ca="1" si="128"/>
        <v>1.1090945413088043E-4</v>
      </c>
      <c r="Y278" s="3">
        <f t="shared" ca="1" si="129"/>
        <v>-1.0107475341297673E-5</v>
      </c>
      <c r="Z278" s="3">
        <f t="shared" ca="1" si="130"/>
        <v>1.4607179886181114E-2</v>
      </c>
      <c r="AA278" s="3">
        <f t="shared" ca="1" si="131"/>
        <v>4.4208904788283588E-4</v>
      </c>
      <c r="AB278" s="3">
        <f t="shared" ca="1" si="132"/>
        <v>0.28623893118130866</v>
      </c>
      <c r="AC278" s="3">
        <f t="shared" ca="1" si="133"/>
        <v>-2.0928697772202686E-5</v>
      </c>
      <c r="AD278" s="3">
        <f t="shared" ca="1" si="134"/>
        <v>0.20677886764611447</v>
      </c>
      <c r="AE278" s="3">
        <f t="shared" ca="1" si="135"/>
        <v>2.4897202448000559</v>
      </c>
      <c r="AG278" s="3">
        <f t="shared" ca="1" si="136"/>
        <v>1.1090945413088043E-4</v>
      </c>
      <c r="AH278" s="3">
        <f t="shared" ca="1" si="137"/>
        <v>-1.0107475341297673E-5</v>
      </c>
      <c r="AI278" s="3">
        <f t="shared" ca="1" si="138"/>
        <v>1.4607179886181114E-2</v>
      </c>
      <c r="AJ278" s="3">
        <f t="shared" ca="1" si="139"/>
        <v>4.4208904788283588E-4</v>
      </c>
      <c r="AK278" s="3">
        <f t="shared" ca="1" si="140"/>
        <v>0.28623893118130866</v>
      </c>
      <c r="AL278" s="3">
        <f t="shared" ca="1" si="141"/>
        <v>-2.0928697772202686E-5</v>
      </c>
      <c r="AM278" s="3">
        <f t="shared" ca="1" si="142"/>
        <v>0.20677886764611447</v>
      </c>
      <c r="AN278" s="3">
        <f t="shared" ca="1" si="143"/>
        <v>2.4897202448000559</v>
      </c>
      <c r="AP278" s="3">
        <f t="shared" ca="1" si="144"/>
        <v>8.698048984898648</v>
      </c>
      <c r="AQ278" s="3">
        <f t="shared" ca="1" si="151"/>
        <v>0.40071565343119042</v>
      </c>
      <c r="AR278" s="3">
        <f t="shared" ca="1" si="145"/>
        <v>1.771520016971434E-4</v>
      </c>
      <c r="AS278" s="3">
        <f t="shared" ca="1" si="146"/>
        <v>0.20660171564441732</v>
      </c>
      <c r="AT278" s="3">
        <f t="shared" ca="1" si="147"/>
        <v>0.70816278481415618</v>
      </c>
      <c r="AU278" s="3">
        <f t="shared" ca="1" si="148"/>
        <v>5.3045163020168033E-2</v>
      </c>
      <c r="AV278" s="10">
        <f t="shared" ca="1" si="152"/>
        <v>0.70816278481415618</v>
      </c>
      <c r="AW278" s="10">
        <f t="shared" ca="1" si="153"/>
        <v>0.70816278481415618</v>
      </c>
      <c r="AY278" s="3">
        <f t="shared" ca="1" si="159"/>
        <v>8.698048984898648</v>
      </c>
      <c r="AZ278" s="3">
        <f t="shared" ca="1" si="154"/>
        <v>0.40071565343119042</v>
      </c>
      <c r="BA278" s="3">
        <f t="shared" ca="1" si="149"/>
        <v>1.771520016971434E-4</v>
      </c>
      <c r="BB278" s="3">
        <f t="shared" ca="1" si="155"/>
        <v>0.20660171564441732</v>
      </c>
      <c r="BC278" s="3">
        <f t="shared" ca="1" si="156"/>
        <v>0.70816278481415618</v>
      </c>
      <c r="BD278" s="3">
        <f t="shared" ca="1" si="150"/>
        <v>5.3045163020168033E-2</v>
      </c>
      <c r="BE278" s="3">
        <f t="shared" ca="1" si="157"/>
        <v>0.70816278481415618</v>
      </c>
      <c r="BF278" s="3">
        <f t="shared" ca="1" si="158"/>
        <v>0.70816278481415618</v>
      </c>
    </row>
    <row r="279" spans="1:58" ht="15" x14ac:dyDescent="0.25">
      <c r="A279" s="72">
        <v>213</v>
      </c>
      <c r="B279" s="72">
        <v>1498730231.701</v>
      </c>
      <c r="C279" s="73">
        <v>2.8161946152350901E-4</v>
      </c>
      <c r="D279" s="73">
        <v>6.1406572239317598E-6</v>
      </c>
      <c r="E279" s="73">
        <v>1.45680150516534E-2</v>
      </c>
      <c r="F279" s="73">
        <v>4.4710448029529202E-4</v>
      </c>
      <c r="G279" s="73">
        <v>0.27051950562199201</v>
      </c>
      <c r="H279" s="73">
        <v>-1.6705687004994898E-5</v>
      </c>
      <c r="I279" s="73">
        <v>0.195561648669142</v>
      </c>
      <c r="J279" s="73">
        <v>2.3507932262823199</v>
      </c>
      <c r="K279" s="73"/>
      <c r="L279" s="73"/>
      <c r="M279" s="73"/>
      <c r="O279" s="13">
        <f t="shared" ca="1" si="120"/>
        <v>1.6932232251947431E-5</v>
      </c>
      <c r="P279" s="13">
        <f t="shared" ca="1" si="121"/>
        <v>-5.1468181609084134E-6</v>
      </c>
      <c r="Q279" s="13">
        <f t="shared" ca="1" si="122"/>
        <v>1.3727275433680715E-2</v>
      </c>
      <c r="R279" s="13">
        <f t="shared" ca="1" si="123"/>
        <v>4.3732820140461088E-4</v>
      </c>
      <c r="S279" s="13">
        <f t="shared" ca="1" si="124"/>
        <v>0.26938442698875065</v>
      </c>
      <c r="T279" s="13">
        <f t="shared" ca="1" si="125"/>
        <v>-1.7055508516018985E-5</v>
      </c>
      <c r="U279" s="13">
        <f t="shared" ca="1" si="126"/>
        <v>0.19490780467435348</v>
      </c>
      <c r="V279" s="13">
        <f t="shared" ca="1" si="127"/>
        <v>2.3436544453598658</v>
      </c>
      <c r="X279" s="3">
        <f t="shared" ca="1" si="128"/>
        <v>1.6932232251947431E-5</v>
      </c>
      <c r="Y279" s="3">
        <f t="shared" ca="1" si="129"/>
        <v>-5.1468181609084134E-6</v>
      </c>
      <c r="Z279" s="3">
        <f t="shared" ca="1" si="130"/>
        <v>1.3727275433680715E-2</v>
      </c>
      <c r="AA279" s="3">
        <f t="shared" ca="1" si="131"/>
        <v>4.3732820140461088E-4</v>
      </c>
      <c r="AB279" s="3">
        <f t="shared" ca="1" si="132"/>
        <v>0.26938442698875065</v>
      </c>
      <c r="AC279" s="3">
        <f t="shared" ca="1" si="133"/>
        <v>-1.7055508516018985E-5</v>
      </c>
      <c r="AD279" s="3">
        <f t="shared" ca="1" si="134"/>
        <v>0.19490780467435348</v>
      </c>
      <c r="AE279" s="3">
        <f t="shared" ca="1" si="135"/>
        <v>2.3436544453598658</v>
      </c>
      <c r="AG279" s="3">
        <f t="shared" ca="1" si="136"/>
        <v>1.6932232251947431E-5</v>
      </c>
      <c r="AH279" s="3">
        <f t="shared" ca="1" si="137"/>
        <v>-5.1468181609084134E-6</v>
      </c>
      <c r="AI279" s="3">
        <f t="shared" ca="1" si="138"/>
        <v>1.3727275433680715E-2</v>
      </c>
      <c r="AJ279" s="3">
        <f t="shared" ca="1" si="139"/>
        <v>4.3732820140461088E-4</v>
      </c>
      <c r="AK279" s="3">
        <f t="shared" ca="1" si="140"/>
        <v>0.26938442698875065</v>
      </c>
      <c r="AL279" s="3">
        <f t="shared" ca="1" si="141"/>
        <v>-1.7055508516018985E-5</v>
      </c>
      <c r="AM279" s="3">
        <f t="shared" ca="1" si="142"/>
        <v>0.19490780467435348</v>
      </c>
      <c r="AN279" s="3">
        <f t="shared" ca="1" si="143"/>
        <v>2.3436544453598658</v>
      </c>
      <c r="AP279" s="3">
        <f t="shared" ca="1" si="144"/>
        <v>8.7000368638894461</v>
      </c>
      <c r="AQ279" s="3">
        <f t="shared" ca="1" si="151"/>
        <v>0.40080834511714325</v>
      </c>
      <c r="AR279" s="3">
        <f t="shared" ca="1" si="145"/>
        <v>1.7528479267803882E-4</v>
      </c>
      <c r="AS279" s="3">
        <f t="shared" ca="1" si="146"/>
        <v>0.19473251988167545</v>
      </c>
      <c r="AT279" s="3">
        <f t="shared" ca="1" si="147"/>
        <v>0.70915945507119138</v>
      </c>
      <c r="AU279" s="3">
        <f t="shared" ca="1" si="148"/>
        <v>5.2981167663110028E-2</v>
      </c>
      <c r="AV279" s="10">
        <f t="shared" ca="1" si="152"/>
        <v>0.70915945507119138</v>
      </c>
      <c r="AW279" s="10">
        <f t="shared" ca="1" si="153"/>
        <v>0.70915945507119138</v>
      </c>
      <c r="AY279" s="3">
        <f t="shared" ca="1" si="159"/>
        <v>8.7000368638894461</v>
      </c>
      <c r="AZ279" s="3">
        <f t="shared" ca="1" si="154"/>
        <v>0.40080834511714325</v>
      </c>
      <c r="BA279" s="3">
        <f t="shared" ca="1" si="149"/>
        <v>1.7528479267803882E-4</v>
      </c>
      <c r="BB279" s="3">
        <f t="shared" ca="1" si="155"/>
        <v>0.19473251988167545</v>
      </c>
      <c r="BC279" s="3">
        <f t="shared" ca="1" si="156"/>
        <v>0.70915945507119138</v>
      </c>
      <c r="BD279" s="3">
        <f t="shared" ca="1" si="150"/>
        <v>5.2981167663110028E-2</v>
      </c>
      <c r="BE279" s="3">
        <f t="shared" ca="1" si="157"/>
        <v>0.70915945507119138</v>
      </c>
      <c r="BF279" s="3">
        <f t="shared" ca="1" si="158"/>
        <v>0.70915945507119138</v>
      </c>
    </row>
    <row r="280" spans="1:58" ht="15" x14ac:dyDescent="0.25">
      <c r="A280" s="72">
        <v>214</v>
      </c>
      <c r="B280" s="72">
        <v>1498730232.2279999</v>
      </c>
      <c r="C280" s="73">
        <v>2.8994620003056201E-4</v>
      </c>
      <c r="D280" s="73">
        <v>4.2755798794746799E-5</v>
      </c>
      <c r="E280" s="73">
        <v>1.3920790673874001E-2</v>
      </c>
      <c r="F280" s="73">
        <v>4.2115826581555997E-4</v>
      </c>
      <c r="G280" s="73">
        <v>0.25692552867161</v>
      </c>
      <c r="H280" s="73">
        <v>6.2373498066623501E-5</v>
      </c>
      <c r="I280" s="73">
        <v>0.18546864558809201</v>
      </c>
      <c r="J280" s="73">
        <v>2.2315247816394002</v>
      </c>
      <c r="K280" s="73"/>
      <c r="L280" s="73"/>
      <c r="M280" s="73"/>
      <c r="O280" s="13">
        <f t="shared" ca="1" si="120"/>
        <v>2.5258970759000428E-5</v>
      </c>
      <c r="P280" s="13">
        <f t="shared" ca="1" si="121"/>
        <v>3.1468323409906627E-5</v>
      </c>
      <c r="Q280" s="13">
        <f t="shared" ca="1" si="122"/>
        <v>1.3080051055901315E-2</v>
      </c>
      <c r="R280" s="13">
        <f t="shared" ca="1" si="123"/>
        <v>4.1138198692487884E-4</v>
      </c>
      <c r="S280" s="13">
        <f t="shared" ca="1" si="124"/>
        <v>0.25579045003836864</v>
      </c>
      <c r="T280" s="13">
        <f t="shared" ca="1" si="125"/>
        <v>6.2023676555599412E-5</v>
      </c>
      <c r="U280" s="13">
        <f t="shared" ca="1" si="126"/>
        <v>0.18481480159330349</v>
      </c>
      <c r="V280" s="13">
        <f t="shared" ca="1" si="127"/>
        <v>2.224386000716946</v>
      </c>
      <c r="X280" s="3">
        <f t="shared" ca="1" si="128"/>
        <v>2.5258970759000428E-5</v>
      </c>
      <c r="Y280" s="3">
        <f t="shared" ca="1" si="129"/>
        <v>3.1468323409906627E-5</v>
      </c>
      <c r="Z280" s="3">
        <f t="shared" ca="1" si="130"/>
        <v>1.3079576528362866E-2</v>
      </c>
      <c r="AA280" s="3">
        <f t="shared" ca="1" si="131"/>
        <v>3.9989626355104802E-4</v>
      </c>
      <c r="AB280" s="3">
        <f t="shared" ca="1" si="132"/>
        <v>0.25570692240688475</v>
      </c>
      <c r="AC280" s="3">
        <f t="shared" ca="1" si="133"/>
        <v>6.2023676555599412E-5</v>
      </c>
      <c r="AD280" s="3">
        <f t="shared" ca="1" si="134"/>
        <v>0.18469145139509863</v>
      </c>
      <c r="AE280" s="3">
        <f t="shared" ca="1" si="135"/>
        <v>2.2243359480760194</v>
      </c>
      <c r="AG280" s="3">
        <f t="shared" ca="1" si="136"/>
        <v>2.5258970759000428E-5</v>
      </c>
      <c r="AH280" s="3">
        <f t="shared" ca="1" si="137"/>
        <v>3.1468323409906627E-5</v>
      </c>
      <c r="AI280" s="3">
        <f t="shared" ca="1" si="138"/>
        <v>1.3054228960772228E-2</v>
      </c>
      <c r="AJ280" s="3">
        <f t="shared" ca="1" si="139"/>
        <v>3.8589926857089668E-4</v>
      </c>
      <c r="AK280" s="3">
        <f t="shared" ca="1" si="140"/>
        <v>0.25570692240688475</v>
      </c>
      <c r="AL280" s="3">
        <f t="shared" ca="1" si="141"/>
        <v>6.2023676555599412E-5</v>
      </c>
      <c r="AM280" s="3">
        <f t="shared" ca="1" si="142"/>
        <v>0.18469145139509863</v>
      </c>
      <c r="AN280" s="3">
        <f t="shared" ca="1" si="143"/>
        <v>2.2243359480760194</v>
      </c>
      <c r="AP280" s="3">
        <f t="shared" ca="1" si="144"/>
        <v>8.6961260687538857</v>
      </c>
      <c r="AQ280" s="3">
        <f t="shared" ca="1" si="151"/>
        <v>0.40062599110554792</v>
      </c>
      <c r="AR280" s="3">
        <f t="shared" ca="1" si="145"/>
        <v>1.6481031623474915E-4</v>
      </c>
      <c r="AS280" s="3">
        <f t="shared" ca="1" si="146"/>
        <v>0.18464999127706874</v>
      </c>
      <c r="AT280" s="3">
        <f t="shared" ca="1" si="147"/>
        <v>0.70833907423645448</v>
      </c>
      <c r="AU280" s="3">
        <f t="shared" ca="1" si="148"/>
        <v>5.3141642202154456E-2</v>
      </c>
      <c r="AV280" s="10">
        <f t="shared" ca="1" si="152"/>
        <v>0.70833907423645448</v>
      </c>
      <c r="AW280" s="10">
        <f t="shared" ca="1" si="153"/>
        <v>0.70833907423645448</v>
      </c>
      <c r="AY280" s="3">
        <f t="shared" ca="1" si="159"/>
        <v>8.6987709489406093</v>
      </c>
      <c r="AZ280" s="3">
        <f t="shared" ca="1" si="154"/>
        <v>0.40074931745475423</v>
      </c>
      <c r="BA280" s="3">
        <f t="shared" ca="1" si="149"/>
        <v>1.5464886848607574E-4</v>
      </c>
      <c r="BB280" s="3">
        <f t="shared" ca="1" si="155"/>
        <v>0.18453680252661256</v>
      </c>
      <c r="BC280" s="3">
        <f t="shared" ca="1" si="156"/>
        <v>0.70802767166328751</v>
      </c>
      <c r="BD280" s="3">
        <f t="shared" ca="1" si="150"/>
        <v>5.3070568159338374E-2</v>
      </c>
      <c r="BE280" s="3">
        <f t="shared" ca="1" si="157"/>
        <v>0.70802767166328751</v>
      </c>
      <c r="BF280" s="3">
        <f t="shared" ca="1" si="158"/>
        <v>0.70802767166328751</v>
      </c>
    </row>
    <row r="281" spans="1:58" ht="15" x14ac:dyDescent="0.25">
      <c r="A281" s="72">
        <v>215</v>
      </c>
      <c r="B281" s="72">
        <v>1498730232.7550001</v>
      </c>
      <c r="C281" s="73">
        <v>2.5497436488630502E-4</v>
      </c>
      <c r="D281" s="73">
        <v>6.8505320493819196E-5</v>
      </c>
      <c r="E281" s="73">
        <v>1.3661531935889501E-2</v>
      </c>
      <c r="F281" s="73">
        <v>4.1663560016147602E-4</v>
      </c>
      <c r="G281" s="73">
        <v>0.25064391782716899</v>
      </c>
      <c r="H281" s="73">
        <v>5.7806924155453796E-6</v>
      </c>
      <c r="I281" s="73">
        <v>0.181065433014097</v>
      </c>
      <c r="J281" s="73">
        <v>2.1773978225912098</v>
      </c>
      <c r="K281" s="73"/>
      <c r="L281" s="73"/>
      <c r="M281" s="73"/>
      <c r="O281" s="13">
        <f t="shared" ca="1" si="120"/>
        <v>-9.7128643852565592E-6</v>
      </c>
      <c r="P281" s="13">
        <f t="shared" ca="1" si="121"/>
        <v>5.7217845108979025E-5</v>
      </c>
      <c r="Q281" s="13">
        <f t="shared" ca="1" si="122"/>
        <v>1.2820792317916815E-2</v>
      </c>
      <c r="R281" s="13">
        <f t="shared" ca="1" si="123"/>
        <v>4.0685932127079488E-4</v>
      </c>
      <c r="S281" s="13">
        <f t="shared" ca="1" si="124"/>
        <v>0.24950883919392763</v>
      </c>
      <c r="T281" s="13">
        <f t="shared" ca="1" si="125"/>
        <v>5.4308709045212932E-6</v>
      </c>
      <c r="U281" s="13">
        <f t="shared" ca="1" si="126"/>
        <v>0.18041158901930848</v>
      </c>
      <c r="V281" s="13">
        <f t="shared" ca="1" si="127"/>
        <v>2.1702590416687557</v>
      </c>
      <c r="X281" s="3">
        <f t="shared" ca="1" si="128"/>
        <v>-9.7128643852565592E-6</v>
      </c>
      <c r="Y281" s="3">
        <f t="shared" ca="1" si="129"/>
        <v>5.7217845108979025E-5</v>
      </c>
      <c r="Z281" s="3">
        <f t="shared" ca="1" si="130"/>
        <v>1.2820750767690433E-2</v>
      </c>
      <c r="AA281" s="3">
        <f t="shared" ca="1" si="131"/>
        <v>4.0585361692767357E-4</v>
      </c>
      <c r="AB281" s="3">
        <f t="shared" ca="1" si="132"/>
        <v>0.249501525409761</v>
      </c>
      <c r="AC281" s="3">
        <f t="shared" ca="1" si="133"/>
        <v>5.4308709045212932E-6</v>
      </c>
      <c r="AD281" s="3">
        <f t="shared" ca="1" si="134"/>
        <v>0.18040078832125736</v>
      </c>
      <c r="AE281" s="3">
        <f t="shared" ca="1" si="135"/>
        <v>2.1702546589967442</v>
      </c>
      <c r="AG281" s="3">
        <f t="shared" ca="1" si="136"/>
        <v>-9.7128643852565592E-6</v>
      </c>
      <c r="AH281" s="3">
        <f t="shared" ca="1" si="137"/>
        <v>5.7217845108979025E-5</v>
      </c>
      <c r="AI281" s="3">
        <f t="shared" ca="1" si="138"/>
        <v>1.2774662096953245E-2</v>
      </c>
      <c r="AJ281" s="3">
        <f t="shared" ca="1" si="139"/>
        <v>3.8040332901963301E-4</v>
      </c>
      <c r="AK281" s="3">
        <f t="shared" ca="1" si="140"/>
        <v>0.249501525409761</v>
      </c>
      <c r="AL281" s="3">
        <f t="shared" ca="1" si="141"/>
        <v>5.4308709045212932E-6</v>
      </c>
      <c r="AM281" s="3">
        <f t="shared" ca="1" si="142"/>
        <v>0.18040078832125736</v>
      </c>
      <c r="AN281" s="3">
        <f t="shared" ca="1" si="143"/>
        <v>2.1702546589967442</v>
      </c>
      <c r="AP281" s="3">
        <f t="shared" ca="1" si="144"/>
        <v>8.6981248787821457</v>
      </c>
      <c r="AQ281" s="3">
        <f t="shared" ca="1" si="151"/>
        <v>0.40071919223947322</v>
      </c>
      <c r="AR281" s="3">
        <f t="shared" ca="1" si="145"/>
        <v>1.6303633857473325E-4</v>
      </c>
      <c r="AS281" s="3">
        <f t="shared" ca="1" si="146"/>
        <v>0.18024855268073375</v>
      </c>
      <c r="AT281" s="3">
        <f t="shared" ca="1" si="147"/>
        <v>0.70878059711367047</v>
      </c>
      <c r="AU281" s="3">
        <f t="shared" ca="1" si="148"/>
        <v>5.3412255689521244E-2</v>
      </c>
      <c r="AV281" s="10">
        <f t="shared" ca="1" si="152"/>
        <v>0.70878059711367047</v>
      </c>
      <c r="AW281" s="10">
        <f t="shared" ca="1" si="153"/>
        <v>0.70878059711367047</v>
      </c>
      <c r="AY281" s="3">
        <f t="shared" ca="1" si="159"/>
        <v>8.6983622862926175</v>
      </c>
      <c r="AZ281" s="3">
        <f t="shared" ca="1" si="154"/>
        <v>0.40073026216776336</v>
      </c>
      <c r="BA281" s="3">
        <f t="shared" ca="1" si="149"/>
        <v>1.5243912576752748E-4</v>
      </c>
      <c r="BB281" s="3">
        <f t="shared" ca="1" si="155"/>
        <v>0.18024834919548982</v>
      </c>
      <c r="BC281" s="3">
        <f t="shared" ca="1" si="156"/>
        <v>0.70879083148372224</v>
      </c>
      <c r="BD281" s="3">
        <f t="shared" ca="1" si="150"/>
        <v>5.322312066782979E-2</v>
      </c>
      <c r="BE281" s="3">
        <f t="shared" ca="1" si="157"/>
        <v>0.70879083148372224</v>
      </c>
      <c r="BF281" s="3">
        <f t="shared" ca="1" si="158"/>
        <v>0.70879083148372224</v>
      </c>
    </row>
    <row r="282" spans="1:58" ht="15" x14ac:dyDescent="0.25">
      <c r="A282" s="72">
        <v>216</v>
      </c>
      <c r="B282" s="72">
        <v>1498730233.2820001</v>
      </c>
      <c r="C282" s="73">
        <v>2.4736161071961402E-4</v>
      </c>
      <c r="D282" s="73">
        <v>-1.0867206994350499E-5</v>
      </c>
      <c r="E282" s="73">
        <v>1.34763533417723E-2</v>
      </c>
      <c r="F282" s="73">
        <v>3.6141312377106999E-4</v>
      </c>
      <c r="G282" s="73">
        <v>0.24814223745804001</v>
      </c>
      <c r="H282" s="73">
        <v>5.61533278301163E-6</v>
      </c>
      <c r="I282" s="73">
        <v>0.179267445136716</v>
      </c>
      <c r="J282" s="73">
        <v>2.15342502343313</v>
      </c>
      <c r="K282" s="73"/>
      <c r="L282" s="73"/>
      <c r="M282" s="73"/>
      <c r="O282" s="13">
        <f t="shared" ca="1" si="120"/>
        <v>-1.7325618551947565E-5</v>
      </c>
      <c r="P282" s="13">
        <f t="shared" ca="1" si="121"/>
        <v>-2.2154682379190674E-5</v>
      </c>
      <c r="Q282" s="13">
        <f t="shared" ca="1" si="122"/>
        <v>1.2635613723799614E-2</v>
      </c>
      <c r="R282" s="13">
        <f t="shared" ca="1" si="123"/>
        <v>3.5163684488038886E-4</v>
      </c>
      <c r="S282" s="13">
        <f t="shared" ca="1" si="124"/>
        <v>0.24700715882479865</v>
      </c>
      <c r="T282" s="13">
        <f t="shared" ca="1" si="125"/>
        <v>5.2655112719875436E-6</v>
      </c>
      <c r="U282" s="13">
        <f t="shared" ca="1" si="126"/>
        <v>0.17861360114192748</v>
      </c>
      <c r="V282" s="13">
        <f t="shared" ca="1" si="127"/>
        <v>2.1462862425106759</v>
      </c>
      <c r="X282" s="3">
        <f t="shared" ca="1" si="128"/>
        <v>-1.7325618551947565E-5</v>
      </c>
      <c r="Y282" s="3">
        <f t="shared" ca="1" si="129"/>
        <v>-2.2154682379190674E-5</v>
      </c>
      <c r="Z282" s="3">
        <f t="shared" ca="1" si="130"/>
        <v>1.263557343869816E-2</v>
      </c>
      <c r="AA282" s="3">
        <f t="shared" ca="1" si="131"/>
        <v>3.5066176231111191E-4</v>
      </c>
      <c r="AB282" s="3">
        <f t="shared" ca="1" si="132"/>
        <v>0.24700006773137231</v>
      </c>
      <c r="AC282" s="3">
        <f t="shared" ca="1" si="133"/>
        <v>5.2655112719875436E-6</v>
      </c>
      <c r="AD282" s="3">
        <f t="shared" ca="1" si="134"/>
        <v>0.17860312930447575</v>
      </c>
      <c r="AE282" s="3">
        <f t="shared" ca="1" si="135"/>
        <v>2.1462819932826451</v>
      </c>
      <c r="AG282" s="3">
        <f t="shared" ca="1" si="136"/>
        <v>-1.7325618551947565E-5</v>
      </c>
      <c r="AH282" s="3">
        <f t="shared" ca="1" si="137"/>
        <v>-2.2154682379190674E-5</v>
      </c>
      <c r="AI282" s="3">
        <f t="shared" ca="1" si="138"/>
        <v>1.263557343869816E-2</v>
      </c>
      <c r="AJ282" s="3">
        <f t="shared" ca="1" si="139"/>
        <v>3.5066176231111191E-4</v>
      </c>
      <c r="AK282" s="3">
        <f t="shared" ca="1" si="140"/>
        <v>0.24700006773137231</v>
      </c>
      <c r="AL282" s="3">
        <f t="shared" ca="1" si="141"/>
        <v>5.2655112719875436E-6</v>
      </c>
      <c r="AM282" s="3">
        <f t="shared" ca="1" si="142"/>
        <v>0.17860312930447575</v>
      </c>
      <c r="AN282" s="3">
        <f t="shared" ca="1" si="143"/>
        <v>2.1462819932826451</v>
      </c>
      <c r="AP282" s="3">
        <f t="shared" ca="1" si="144"/>
        <v>8.6891661469335375</v>
      </c>
      <c r="AQ282" s="3">
        <f t="shared" ca="1" si="151"/>
        <v>0.40030146374018444</v>
      </c>
      <c r="AR282" s="3">
        <f t="shared" ca="1" si="145"/>
        <v>1.4076074371059983E-4</v>
      </c>
      <c r="AS282" s="3">
        <f t="shared" ca="1" si="146"/>
        <v>0.17847284039821687</v>
      </c>
      <c r="AT282" s="3">
        <f t="shared" ca="1" si="147"/>
        <v>0.70927383908729769</v>
      </c>
      <c r="AU282" s="3">
        <f t="shared" ca="1" si="148"/>
        <v>5.3117894008598149E-2</v>
      </c>
      <c r="AV282" s="10">
        <f t="shared" ca="1" si="152"/>
        <v>0.70927383908729769</v>
      </c>
      <c r="AW282" s="10">
        <f t="shared" ca="1" si="153"/>
        <v>0.70927383908729769</v>
      </c>
      <c r="AY282" s="3">
        <f t="shared" ca="1" si="159"/>
        <v>8.6893983997480451</v>
      </c>
      <c r="AZ282" s="3">
        <f t="shared" ca="1" si="154"/>
        <v>0.4003122931779467</v>
      </c>
      <c r="BA282" s="3">
        <f t="shared" ca="1" si="149"/>
        <v>1.4037421420058128E-4</v>
      </c>
      <c r="BB282" s="3">
        <f t="shared" ca="1" si="155"/>
        <v>0.17846275509027518</v>
      </c>
      <c r="BC282" s="3">
        <f t="shared" ca="1" si="156"/>
        <v>0.70924457332917246</v>
      </c>
      <c r="BD282" s="3">
        <f t="shared" ca="1" si="150"/>
        <v>5.3120702444143672E-2</v>
      </c>
      <c r="BE282" s="3">
        <f t="shared" ca="1" si="157"/>
        <v>0.70924457332917246</v>
      </c>
      <c r="BF282" s="3">
        <f t="shared" ca="1" si="158"/>
        <v>0.70924457332917246</v>
      </c>
    </row>
    <row r="283" spans="1:58" ht="15" x14ac:dyDescent="0.25">
      <c r="A283" s="72">
        <v>217</v>
      </c>
      <c r="B283" s="72">
        <v>1498730233.809</v>
      </c>
      <c r="C283" s="73">
        <v>3.3824265263561199E-4</v>
      </c>
      <c r="D283" s="73">
        <v>-4.53544811109952E-5</v>
      </c>
      <c r="E283" s="73">
        <v>1.4035368022157799E-2</v>
      </c>
      <c r="F283" s="73">
        <v>4.8114503152465701E-4</v>
      </c>
      <c r="G283" s="73">
        <v>0.258783197897126</v>
      </c>
      <c r="H283" s="73">
        <v>-4.9788241872231403E-5</v>
      </c>
      <c r="I283" s="73">
        <v>0.18672547580881299</v>
      </c>
      <c r="J283" s="73">
        <v>2.2450428210214501</v>
      </c>
      <c r="K283" s="73"/>
      <c r="L283" s="73"/>
      <c r="M283" s="73"/>
      <c r="O283" s="13">
        <f t="shared" ca="1" si="120"/>
        <v>7.355542336405041E-5</v>
      </c>
      <c r="P283" s="13">
        <f t="shared" ca="1" si="121"/>
        <v>-5.6641956495835371E-5</v>
      </c>
      <c r="Q283" s="13">
        <f t="shared" ca="1" si="122"/>
        <v>1.3194628404185114E-2</v>
      </c>
      <c r="R283" s="13">
        <f t="shared" ca="1" si="123"/>
        <v>4.7136875263397587E-4</v>
      </c>
      <c r="S283" s="13">
        <f t="shared" ca="1" si="124"/>
        <v>0.25764811926388465</v>
      </c>
      <c r="T283" s="13">
        <f t="shared" ca="1" si="125"/>
        <v>-5.0138063383255492E-5</v>
      </c>
      <c r="U283" s="13">
        <f t="shared" ca="1" si="126"/>
        <v>0.18607163181402447</v>
      </c>
      <c r="V283" s="13">
        <f t="shared" ca="1" si="127"/>
        <v>2.237904040098996</v>
      </c>
      <c r="X283" s="3">
        <f t="shared" ca="1" si="128"/>
        <v>7.355542336405041E-5</v>
      </c>
      <c r="Y283" s="3">
        <f t="shared" ca="1" si="129"/>
        <v>-5.6641956495835371E-5</v>
      </c>
      <c r="Z283" s="3">
        <f t="shared" ca="1" si="130"/>
        <v>1.3194628404185114E-2</v>
      </c>
      <c r="AA283" s="3">
        <f t="shared" ca="1" si="131"/>
        <v>4.7136875263397587E-4</v>
      </c>
      <c r="AB283" s="3">
        <f t="shared" ca="1" si="132"/>
        <v>0.25764811926388465</v>
      </c>
      <c r="AC283" s="3">
        <f t="shared" ca="1" si="133"/>
        <v>-5.0138063383255492E-5</v>
      </c>
      <c r="AD283" s="3">
        <f t="shared" ca="1" si="134"/>
        <v>0.18607163181402447</v>
      </c>
      <c r="AE283" s="3">
        <f t="shared" ca="1" si="135"/>
        <v>2.237904040098996</v>
      </c>
      <c r="AG283" s="3">
        <f t="shared" ca="1" si="136"/>
        <v>7.355542336405041E-5</v>
      </c>
      <c r="AH283" s="3">
        <f t="shared" ca="1" si="137"/>
        <v>-5.6641956495835371E-5</v>
      </c>
      <c r="AI283" s="3">
        <f t="shared" ca="1" si="138"/>
        <v>1.3194628404185114E-2</v>
      </c>
      <c r="AJ283" s="3">
        <f t="shared" ca="1" si="139"/>
        <v>4.7136875263397587E-4</v>
      </c>
      <c r="AK283" s="3">
        <f t="shared" ca="1" si="140"/>
        <v>0.25764811926388465</v>
      </c>
      <c r="AL283" s="3">
        <f t="shared" ca="1" si="141"/>
        <v>-5.0138063383255492E-5</v>
      </c>
      <c r="AM283" s="3">
        <f t="shared" ca="1" si="142"/>
        <v>0.18607163181402447</v>
      </c>
      <c r="AN283" s="3">
        <f t="shared" ca="1" si="143"/>
        <v>2.237904040098996</v>
      </c>
      <c r="AP283" s="3">
        <f t="shared" ca="1" si="144"/>
        <v>8.6858931728002329</v>
      </c>
      <c r="AQ283" s="3">
        <f t="shared" ca="1" si="151"/>
        <v>0.40014885253059168</v>
      </c>
      <c r="AR283" s="3">
        <f t="shared" ca="1" si="145"/>
        <v>1.8861766548526176E-4</v>
      </c>
      <c r="AS283" s="3">
        <f t="shared" ca="1" si="146"/>
        <v>0.18588301414853922</v>
      </c>
      <c r="AT283" s="3">
        <f t="shared" ca="1" si="147"/>
        <v>0.70834767482757699</v>
      </c>
      <c r="AU283" s="3">
        <f t="shared" ca="1" si="148"/>
        <v>5.3156553220228296E-2</v>
      </c>
      <c r="AV283" s="10">
        <f t="shared" ca="1" si="152"/>
        <v>0.70834767482757699</v>
      </c>
      <c r="AW283" s="10">
        <f t="shared" ca="1" si="153"/>
        <v>0.70834767482757699</v>
      </c>
      <c r="AY283" s="3">
        <f t="shared" ca="1" si="159"/>
        <v>8.6858931728002329</v>
      </c>
      <c r="AZ283" s="3">
        <f t="shared" ca="1" si="154"/>
        <v>0.40014885253059168</v>
      </c>
      <c r="BA283" s="3">
        <f t="shared" ca="1" si="149"/>
        <v>1.8861766548526176E-4</v>
      </c>
      <c r="BB283" s="3">
        <f t="shared" ca="1" si="155"/>
        <v>0.18588301414853922</v>
      </c>
      <c r="BC283" s="3">
        <f t="shared" ca="1" si="156"/>
        <v>0.70834767482757699</v>
      </c>
      <c r="BD283" s="3">
        <f t="shared" ca="1" si="150"/>
        <v>5.3156553220228296E-2</v>
      </c>
      <c r="BE283" s="3">
        <f t="shared" ca="1" si="157"/>
        <v>0.70834767482757699</v>
      </c>
      <c r="BF283" s="3">
        <f t="shared" ca="1" si="158"/>
        <v>0.70834767482757699</v>
      </c>
    </row>
    <row r="284" spans="1:58" ht="15" x14ac:dyDescent="0.25">
      <c r="A284" s="72">
        <v>218</v>
      </c>
      <c r="B284" s="72">
        <v>1498730234.335</v>
      </c>
      <c r="C284" s="73">
        <v>2.0430306248115201E-4</v>
      </c>
      <c r="D284" s="73">
        <v>-4.9842462877650903E-5</v>
      </c>
      <c r="E284" s="73">
        <v>1.4751596726165699E-2</v>
      </c>
      <c r="F284" s="73">
        <v>3.6783972050764401E-4</v>
      </c>
      <c r="G284" s="73">
        <v>0.275080957597304</v>
      </c>
      <c r="H284" s="73">
        <v>-1.1155426510033299E-5</v>
      </c>
      <c r="I284" s="73">
        <v>0.19843761413810801</v>
      </c>
      <c r="J284" s="73">
        <v>2.3840248013736698</v>
      </c>
      <c r="K284" s="73"/>
      <c r="L284" s="73"/>
      <c r="M284" s="73"/>
      <c r="O284" s="13">
        <f t="shared" ca="1" si="120"/>
        <v>-6.0384166790409578E-5</v>
      </c>
      <c r="P284" s="13">
        <f t="shared" ca="1" si="121"/>
        <v>-6.1129938262491075E-5</v>
      </c>
      <c r="Q284" s="13">
        <f t="shared" ca="1" si="122"/>
        <v>1.3910857108193014E-2</v>
      </c>
      <c r="R284" s="13">
        <f t="shared" ca="1" si="123"/>
        <v>3.5806344161696288E-4</v>
      </c>
      <c r="S284" s="13">
        <f t="shared" ca="1" si="124"/>
        <v>0.27394587896406264</v>
      </c>
      <c r="T284" s="13">
        <f t="shared" ca="1" si="125"/>
        <v>-1.1505248021057386E-5</v>
      </c>
      <c r="U284" s="13">
        <f t="shared" ca="1" si="126"/>
        <v>0.19778377014331949</v>
      </c>
      <c r="V284" s="13">
        <f t="shared" ca="1" si="127"/>
        <v>2.3768860204512157</v>
      </c>
      <c r="X284" s="3">
        <f t="shared" ca="1" si="128"/>
        <v>-6.0384166790409578E-5</v>
      </c>
      <c r="Y284" s="3">
        <f t="shared" ca="1" si="129"/>
        <v>-6.1129938262491075E-5</v>
      </c>
      <c r="Z284" s="3">
        <f t="shared" ca="1" si="130"/>
        <v>1.3910857108193014E-2</v>
      </c>
      <c r="AA284" s="3">
        <f t="shared" ca="1" si="131"/>
        <v>3.5806344161696288E-4</v>
      </c>
      <c r="AB284" s="3">
        <f t="shared" ca="1" si="132"/>
        <v>0.27394587896406264</v>
      </c>
      <c r="AC284" s="3">
        <f t="shared" ca="1" si="133"/>
        <v>-1.1505248021057386E-5</v>
      </c>
      <c r="AD284" s="3">
        <f t="shared" ca="1" si="134"/>
        <v>0.19778377014331949</v>
      </c>
      <c r="AE284" s="3">
        <f t="shared" ca="1" si="135"/>
        <v>2.3768860204512157</v>
      </c>
      <c r="AG284" s="3">
        <f t="shared" ca="1" si="136"/>
        <v>-6.0384166790409578E-5</v>
      </c>
      <c r="AH284" s="3">
        <f t="shared" ca="1" si="137"/>
        <v>-6.1129938262491075E-5</v>
      </c>
      <c r="AI284" s="3">
        <f t="shared" ca="1" si="138"/>
        <v>1.3910857108193014E-2</v>
      </c>
      <c r="AJ284" s="3">
        <f t="shared" ca="1" si="139"/>
        <v>3.5806344161696288E-4</v>
      </c>
      <c r="AK284" s="3">
        <f t="shared" ca="1" si="140"/>
        <v>0.27394587896406264</v>
      </c>
      <c r="AL284" s="3">
        <f t="shared" ca="1" si="141"/>
        <v>-1.1505248021057386E-5</v>
      </c>
      <c r="AM284" s="3">
        <f t="shared" ca="1" si="142"/>
        <v>0.19778377014331949</v>
      </c>
      <c r="AN284" s="3">
        <f t="shared" ca="1" si="143"/>
        <v>2.3768860204512157</v>
      </c>
      <c r="AP284" s="3">
        <f t="shared" ca="1" si="144"/>
        <v>8.6764802939891119</v>
      </c>
      <c r="AQ284" s="3">
        <f t="shared" ca="1" si="151"/>
        <v>0.39970995566299522</v>
      </c>
      <c r="AR284" s="3">
        <f t="shared" ca="1" si="145"/>
        <v>1.4312152237325572E-4</v>
      </c>
      <c r="AS284" s="3">
        <f t="shared" ca="1" si="146"/>
        <v>0.19764064862094624</v>
      </c>
      <c r="AT284" s="3">
        <f t="shared" ca="1" si="147"/>
        <v>0.70873255741081298</v>
      </c>
      <c r="AU284" s="3">
        <f t="shared" ca="1" si="148"/>
        <v>5.2649456922150985E-2</v>
      </c>
      <c r="AV284" s="10">
        <f t="shared" ca="1" si="152"/>
        <v>0.70873255741081298</v>
      </c>
      <c r="AW284" s="10">
        <f t="shared" ca="1" si="153"/>
        <v>0.70873255741081298</v>
      </c>
      <c r="AY284" s="3">
        <f t="shared" ca="1" si="159"/>
        <v>8.6764802939891119</v>
      </c>
      <c r="AZ284" s="3">
        <f t="shared" ca="1" si="154"/>
        <v>0.39970995566299522</v>
      </c>
      <c r="BA284" s="3">
        <f t="shared" ca="1" si="149"/>
        <v>1.4312152237325572E-4</v>
      </c>
      <c r="BB284" s="3">
        <f t="shared" ca="1" si="155"/>
        <v>0.19764064862094624</v>
      </c>
      <c r="BC284" s="3">
        <f t="shared" ca="1" si="156"/>
        <v>0.70873255741081298</v>
      </c>
      <c r="BD284" s="3">
        <f t="shared" ca="1" si="150"/>
        <v>5.2649456922150985E-2</v>
      </c>
      <c r="BE284" s="3">
        <f t="shared" ca="1" si="157"/>
        <v>0.70873255741081298</v>
      </c>
      <c r="BF284" s="3">
        <f t="shared" ca="1" si="158"/>
        <v>0.70873255741081298</v>
      </c>
    </row>
    <row r="285" spans="1:58" ht="15" x14ac:dyDescent="0.25">
      <c r="A285" s="72">
        <v>219</v>
      </c>
      <c r="B285" s="72">
        <v>1498730234.862</v>
      </c>
      <c r="C285" s="73">
        <v>2.9755927885590698E-4</v>
      </c>
      <c r="D285" s="73">
        <v>-7.2518270854778004E-5</v>
      </c>
      <c r="E285" s="73">
        <v>1.50429383381192E-2</v>
      </c>
      <c r="F285" s="73">
        <v>4.2496684224952803E-4</v>
      </c>
      <c r="G285" s="73">
        <v>0.28006835580313899</v>
      </c>
      <c r="H285" s="73">
        <v>-1.1155426510033299E-5</v>
      </c>
      <c r="I285" s="73">
        <v>0.20228486157117101</v>
      </c>
      <c r="J285" s="73">
        <v>2.4313547998879801</v>
      </c>
      <c r="K285" s="73"/>
      <c r="L285" s="73"/>
      <c r="M285" s="73"/>
      <c r="O285" s="13">
        <f t="shared" ca="1" si="120"/>
        <v>3.2872049584345398E-5</v>
      </c>
      <c r="P285" s="13">
        <f t="shared" ca="1" si="121"/>
        <v>-8.3805746239618183E-5</v>
      </c>
      <c r="Q285" s="13">
        <f t="shared" ca="1" si="122"/>
        <v>1.4202198720146515E-2</v>
      </c>
      <c r="R285" s="13">
        <f t="shared" ca="1" si="123"/>
        <v>4.1519056335884689E-4</v>
      </c>
      <c r="S285" s="13">
        <f t="shared" ca="1" si="124"/>
        <v>0.27893327716989763</v>
      </c>
      <c r="T285" s="13">
        <f t="shared" ca="1" si="125"/>
        <v>-1.1505248021057386E-5</v>
      </c>
      <c r="U285" s="13">
        <f t="shared" ca="1" si="126"/>
        <v>0.20163101757638249</v>
      </c>
      <c r="V285" s="13">
        <f t="shared" ca="1" si="127"/>
        <v>2.424216018965526</v>
      </c>
      <c r="X285" s="3">
        <f t="shared" ca="1" si="128"/>
        <v>3.2872049584345398E-5</v>
      </c>
      <c r="Y285" s="3">
        <f t="shared" ca="1" si="129"/>
        <v>-8.3805746239618183E-5</v>
      </c>
      <c r="Z285" s="3">
        <f t="shared" ca="1" si="130"/>
        <v>1.4202198720146515E-2</v>
      </c>
      <c r="AA285" s="3">
        <f t="shared" ca="1" si="131"/>
        <v>4.1519056335884689E-4</v>
      </c>
      <c r="AB285" s="3">
        <f t="shared" ca="1" si="132"/>
        <v>0.27893327716989763</v>
      </c>
      <c r="AC285" s="3">
        <f t="shared" ca="1" si="133"/>
        <v>-1.1505248021057386E-5</v>
      </c>
      <c r="AD285" s="3">
        <f t="shared" ca="1" si="134"/>
        <v>0.20163101757638249</v>
      </c>
      <c r="AE285" s="3">
        <f t="shared" ca="1" si="135"/>
        <v>2.424216018965526</v>
      </c>
      <c r="AG285" s="3">
        <f t="shared" ca="1" si="136"/>
        <v>3.2872049584345398E-5</v>
      </c>
      <c r="AH285" s="3">
        <f t="shared" ca="1" si="137"/>
        <v>-8.3805746239618183E-5</v>
      </c>
      <c r="AI285" s="3">
        <f t="shared" ca="1" si="138"/>
        <v>1.4202198720146515E-2</v>
      </c>
      <c r="AJ285" s="3">
        <f t="shared" ca="1" si="139"/>
        <v>4.1519056335884689E-4</v>
      </c>
      <c r="AK285" s="3">
        <f t="shared" ca="1" si="140"/>
        <v>0.27893327716989763</v>
      </c>
      <c r="AL285" s="3">
        <f t="shared" ca="1" si="141"/>
        <v>-1.1505248021057386E-5</v>
      </c>
      <c r="AM285" s="3">
        <f t="shared" ca="1" si="142"/>
        <v>0.20163101757638249</v>
      </c>
      <c r="AN285" s="3">
        <f t="shared" ca="1" si="143"/>
        <v>2.424216018965526</v>
      </c>
      <c r="AP285" s="3">
        <f t="shared" ca="1" si="144"/>
        <v>8.6910247624880608</v>
      </c>
      <c r="AQ285" s="3">
        <f t="shared" ca="1" si="151"/>
        <v>0.40038812699272347</v>
      </c>
      <c r="AR285" s="3">
        <f t="shared" ca="1" si="145"/>
        <v>1.6623737200830238E-4</v>
      </c>
      <c r="AS285" s="3">
        <f t="shared" ca="1" si="146"/>
        <v>0.20146478020437419</v>
      </c>
      <c r="AT285" s="3">
        <f t="shared" ca="1" si="147"/>
        <v>0.70893003228822993</v>
      </c>
      <c r="AU285" s="3">
        <f t="shared" ca="1" si="148"/>
        <v>5.2881570994918616E-2</v>
      </c>
      <c r="AV285" s="10">
        <f t="shared" ca="1" si="152"/>
        <v>0.70893003228822993</v>
      </c>
      <c r="AW285" s="10">
        <f t="shared" ca="1" si="153"/>
        <v>0.70893003228822993</v>
      </c>
      <c r="AY285" s="3">
        <f t="shared" ca="1" si="159"/>
        <v>8.6910247624880608</v>
      </c>
      <c r="AZ285" s="3">
        <f t="shared" ca="1" si="154"/>
        <v>0.40038812699272347</v>
      </c>
      <c r="BA285" s="3">
        <f t="shared" ca="1" si="149"/>
        <v>1.6623737200830238E-4</v>
      </c>
      <c r="BB285" s="3">
        <f t="shared" ca="1" si="155"/>
        <v>0.20146478020437419</v>
      </c>
      <c r="BC285" s="3">
        <f t="shared" ca="1" si="156"/>
        <v>0.70893003228822993</v>
      </c>
      <c r="BD285" s="3">
        <f t="shared" ca="1" si="150"/>
        <v>5.2881570994918616E-2</v>
      </c>
      <c r="BE285" s="3">
        <f t="shared" ca="1" si="157"/>
        <v>0.70893003228822993</v>
      </c>
      <c r="BF285" s="3">
        <f t="shared" ca="1" si="158"/>
        <v>0.70893003228822993</v>
      </c>
    </row>
    <row r="286" spans="1:58" ht="15" x14ac:dyDescent="0.25">
      <c r="A286" s="72">
        <v>220</v>
      </c>
      <c r="B286" s="72">
        <v>1498730235.3889999</v>
      </c>
      <c r="C286" s="73">
        <v>2.9065992370481801E-4</v>
      </c>
      <c r="D286" s="73">
        <v>-4.1575112297952602E-5</v>
      </c>
      <c r="E286" s="73">
        <v>1.5560523398512801E-2</v>
      </c>
      <c r="F286" s="73">
        <v>4.7328941673691099E-4</v>
      </c>
      <c r="G286" s="73">
        <v>0.289882850544677</v>
      </c>
      <c r="H286" s="73">
        <v>1.4805021849922099E-5</v>
      </c>
      <c r="I286" s="73">
        <v>0.20923085005598199</v>
      </c>
      <c r="J286" s="73">
        <v>2.5157355773492198</v>
      </c>
      <c r="K286" s="73"/>
      <c r="L286" s="73"/>
      <c r="M286" s="73"/>
      <c r="O286" s="13">
        <f t="shared" ca="1" si="120"/>
        <v>2.5972694433256424E-5</v>
      </c>
      <c r="P286" s="13">
        <f t="shared" ca="1" si="121"/>
        <v>-5.2862587682792773E-5</v>
      </c>
      <c r="Q286" s="13">
        <f t="shared" ca="1" si="122"/>
        <v>1.4719783780540115E-2</v>
      </c>
      <c r="R286" s="13">
        <f t="shared" ca="1" si="123"/>
        <v>4.6351313784622985E-4</v>
      </c>
      <c r="S286" s="13">
        <f t="shared" ca="1" si="124"/>
        <v>0.28874777191143564</v>
      </c>
      <c r="T286" s="13">
        <f t="shared" ca="1" si="125"/>
        <v>1.4455200338898013E-5</v>
      </c>
      <c r="U286" s="13">
        <f t="shared" ca="1" si="126"/>
        <v>0.20857700606119348</v>
      </c>
      <c r="V286" s="13">
        <f t="shared" ca="1" si="127"/>
        <v>2.5085967964267657</v>
      </c>
      <c r="X286" s="3">
        <f t="shared" ca="1" si="128"/>
        <v>2.5972694433256424E-5</v>
      </c>
      <c r="Y286" s="3">
        <f t="shared" ca="1" si="129"/>
        <v>-5.2862587682792773E-5</v>
      </c>
      <c r="Z286" s="3">
        <f t="shared" ca="1" si="130"/>
        <v>1.4719673187440585E-2</v>
      </c>
      <c r="AA286" s="3">
        <f t="shared" ca="1" si="131"/>
        <v>4.6083628214166588E-4</v>
      </c>
      <c r="AB286" s="3">
        <f t="shared" ca="1" si="132"/>
        <v>0.28872830501243857</v>
      </c>
      <c r="AC286" s="3">
        <f t="shared" ca="1" si="133"/>
        <v>1.4455200338898013E-5</v>
      </c>
      <c r="AD286" s="3">
        <f t="shared" ca="1" si="134"/>
        <v>0.20854825813901418</v>
      </c>
      <c r="AE286" s="3">
        <f t="shared" ca="1" si="135"/>
        <v>2.5085851311887106</v>
      </c>
      <c r="AG286" s="3">
        <f t="shared" ca="1" si="136"/>
        <v>2.5972694433256424E-5</v>
      </c>
      <c r="AH286" s="3">
        <f t="shared" ca="1" si="137"/>
        <v>-5.2862587682792773E-5</v>
      </c>
      <c r="AI286" s="3">
        <f t="shared" ca="1" si="138"/>
        <v>1.4719673187440585E-2</v>
      </c>
      <c r="AJ286" s="3">
        <f t="shared" ca="1" si="139"/>
        <v>4.6083628214166588E-4</v>
      </c>
      <c r="AK286" s="3">
        <f t="shared" ca="1" si="140"/>
        <v>0.28872830501243857</v>
      </c>
      <c r="AL286" s="3">
        <f t="shared" ca="1" si="141"/>
        <v>1.4455200338898013E-5</v>
      </c>
      <c r="AM286" s="3">
        <f t="shared" ca="1" si="142"/>
        <v>0.20854825813901418</v>
      </c>
      <c r="AN286" s="3">
        <f t="shared" ca="1" si="143"/>
        <v>2.5085851311887106</v>
      </c>
      <c r="AP286" s="3">
        <f t="shared" ca="1" si="144"/>
        <v>8.6878481514177697</v>
      </c>
      <c r="AQ286" s="3">
        <f t="shared" ca="1" si="151"/>
        <v>0.40024000857549397</v>
      </c>
      <c r="AR286" s="3">
        <f t="shared" ca="1" si="145"/>
        <v>1.8551650226642915E-4</v>
      </c>
      <c r="AS286" s="3">
        <f t="shared" ca="1" si="146"/>
        <v>0.20839148955892706</v>
      </c>
      <c r="AT286" s="3">
        <f t="shared" ca="1" si="147"/>
        <v>0.70850979765253908</v>
      </c>
      <c r="AU286" s="3">
        <f t="shared" ca="1" si="148"/>
        <v>5.292604292763789E-2</v>
      </c>
      <c r="AV286" s="10">
        <f t="shared" ca="1" si="152"/>
        <v>0.70850979765253908</v>
      </c>
      <c r="AW286" s="10">
        <f t="shared" ca="1" si="153"/>
        <v>0.70850979765253908</v>
      </c>
      <c r="AY286" s="3">
        <f t="shared" ca="1" si="159"/>
        <v>8.6883935091872591</v>
      </c>
      <c r="AZ286" s="3">
        <f t="shared" ca="1" si="154"/>
        <v>0.40026543736721898</v>
      </c>
      <c r="BA286" s="3">
        <f t="shared" ca="1" si="149"/>
        <v>1.8445683602611701E-4</v>
      </c>
      <c r="BB286" s="3">
        <f t="shared" ca="1" si="155"/>
        <v>0.20836380130298807</v>
      </c>
      <c r="BC286" s="3">
        <f t="shared" ca="1" si="156"/>
        <v>0.7084410290976999</v>
      </c>
      <c r="BD286" s="3">
        <f t="shared" ca="1" si="150"/>
        <v>5.2932613432645971E-2</v>
      </c>
      <c r="BE286" s="3">
        <f t="shared" ca="1" si="157"/>
        <v>0.7084410290976999</v>
      </c>
      <c r="BF286" s="3">
        <f t="shared" ca="1" si="158"/>
        <v>0.7084410290976999</v>
      </c>
    </row>
    <row r="287" spans="1:58" ht="15" x14ac:dyDescent="0.25">
      <c r="A287" s="72">
        <v>221</v>
      </c>
      <c r="B287" s="72">
        <v>1498730235.9159999</v>
      </c>
      <c r="C287" s="73">
        <v>2.2737840716133601E-4</v>
      </c>
      <c r="D287" s="73">
        <v>6.5670478030368504E-5</v>
      </c>
      <c r="E287" s="73">
        <v>1.53015772638848E-2</v>
      </c>
      <c r="F287" s="73">
        <v>3.9473666663595902E-4</v>
      </c>
      <c r="G287" s="73">
        <v>0.28584670109687399</v>
      </c>
      <c r="H287" s="73">
        <v>-2.3979600641277101E-5</v>
      </c>
      <c r="I287" s="73">
        <v>0.20663171383286999</v>
      </c>
      <c r="J287" s="73">
        <v>2.4833624775677601</v>
      </c>
      <c r="K287" s="73"/>
      <c r="L287" s="73"/>
      <c r="M287" s="73"/>
      <c r="O287" s="13">
        <f t="shared" ca="1" si="120"/>
        <v>-3.7308822110225574E-5</v>
      </c>
      <c r="P287" s="13">
        <f t="shared" ca="1" si="121"/>
        <v>5.4383002645528332E-5</v>
      </c>
      <c r="Q287" s="13">
        <f t="shared" ca="1" si="122"/>
        <v>1.4460837645912114E-2</v>
      </c>
      <c r="R287" s="13">
        <f t="shared" ca="1" si="123"/>
        <v>3.8496038774527789E-4</v>
      </c>
      <c r="S287" s="13">
        <f t="shared" ca="1" si="124"/>
        <v>0.28471162246363263</v>
      </c>
      <c r="T287" s="13">
        <f t="shared" ca="1" si="125"/>
        <v>-2.4329422152301187E-5</v>
      </c>
      <c r="U287" s="13">
        <f t="shared" ca="1" si="126"/>
        <v>0.20597786983808147</v>
      </c>
      <c r="V287" s="13">
        <f t="shared" ca="1" si="127"/>
        <v>2.4762236966453059</v>
      </c>
      <c r="X287" s="3">
        <f t="shared" ca="1" si="128"/>
        <v>-3.7308822110225574E-5</v>
      </c>
      <c r="Y287" s="3">
        <f t="shared" ca="1" si="129"/>
        <v>5.4383002645528332E-5</v>
      </c>
      <c r="Z287" s="3">
        <f t="shared" ca="1" si="130"/>
        <v>1.4460837645912114E-2</v>
      </c>
      <c r="AA287" s="3">
        <f t="shared" ca="1" si="131"/>
        <v>3.8496038774527789E-4</v>
      </c>
      <c r="AB287" s="3">
        <f t="shared" ca="1" si="132"/>
        <v>0.28471162246363263</v>
      </c>
      <c r="AC287" s="3">
        <f t="shared" ca="1" si="133"/>
        <v>-2.4329422152301187E-5</v>
      </c>
      <c r="AD287" s="3">
        <f t="shared" ca="1" si="134"/>
        <v>0.20597786983808147</v>
      </c>
      <c r="AE287" s="3">
        <f t="shared" ca="1" si="135"/>
        <v>2.4762236966453059</v>
      </c>
      <c r="AG287" s="3">
        <f t="shared" ca="1" si="136"/>
        <v>-3.7308822110225574E-5</v>
      </c>
      <c r="AH287" s="3">
        <f t="shared" ca="1" si="137"/>
        <v>5.4383002645528332E-5</v>
      </c>
      <c r="AI287" s="3">
        <f t="shared" ca="1" si="138"/>
        <v>1.4417032425742507E-2</v>
      </c>
      <c r="AJ287" s="3">
        <f t="shared" ca="1" si="139"/>
        <v>3.6077102738058236E-4</v>
      </c>
      <c r="AK287" s="3">
        <f t="shared" ca="1" si="140"/>
        <v>0.28471162246363263</v>
      </c>
      <c r="AL287" s="3">
        <f t="shared" ca="1" si="141"/>
        <v>-2.4329422152301187E-5</v>
      </c>
      <c r="AM287" s="3">
        <f t="shared" ca="1" si="142"/>
        <v>0.20597786983808147</v>
      </c>
      <c r="AN287" s="3">
        <f t="shared" ca="1" si="143"/>
        <v>2.4762236966453059</v>
      </c>
      <c r="AP287" s="3">
        <f t="shared" ca="1" si="144"/>
        <v>8.697304575128836</v>
      </c>
      <c r="AQ287" s="3">
        <f t="shared" ca="1" si="151"/>
        <v>0.40068094283487948</v>
      </c>
      <c r="AR287" s="3">
        <f t="shared" ca="1" si="145"/>
        <v>1.5424629111585874E-4</v>
      </c>
      <c r="AS287" s="3">
        <f t="shared" ca="1" si="146"/>
        <v>0.20582362354696562</v>
      </c>
      <c r="AT287" s="3">
        <f t="shared" ca="1" si="147"/>
        <v>0.70931087779913993</v>
      </c>
      <c r="AU287" s="3">
        <f t="shared" ca="1" si="148"/>
        <v>5.2790810787572764E-2</v>
      </c>
      <c r="AV287" s="10">
        <f t="shared" ca="1" si="152"/>
        <v>0.70931087779913993</v>
      </c>
      <c r="AW287" s="10">
        <f t="shared" ca="1" si="153"/>
        <v>0.70931087779913993</v>
      </c>
      <c r="AY287" s="3">
        <f t="shared" ca="1" si="159"/>
        <v>8.697304575128836</v>
      </c>
      <c r="AZ287" s="3">
        <f t="shared" ca="1" si="154"/>
        <v>0.40068094283487948</v>
      </c>
      <c r="BA287" s="3">
        <f t="shared" ca="1" si="149"/>
        <v>1.4455407539835986E-4</v>
      </c>
      <c r="BB287" s="3">
        <f t="shared" ca="1" si="155"/>
        <v>0.2058333157626831</v>
      </c>
      <c r="BC287" s="3">
        <f t="shared" ca="1" si="156"/>
        <v>0.70934427918387843</v>
      </c>
      <c r="BD287" s="3">
        <f t="shared" ca="1" si="150"/>
        <v>5.2630895217942161E-2</v>
      </c>
      <c r="BE287" s="3">
        <f t="shared" ca="1" si="157"/>
        <v>0.70934427918387843</v>
      </c>
      <c r="BF287" s="3">
        <f t="shared" ca="1" si="158"/>
        <v>0.70934427918387843</v>
      </c>
    </row>
    <row r="288" spans="1:58" ht="15" x14ac:dyDescent="0.25">
      <c r="A288" s="72">
        <v>222</v>
      </c>
      <c r="B288" s="72">
        <v>1498730236.4430001</v>
      </c>
      <c r="C288" s="73">
        <v>3.08027357012232E-4</v>
      </c>
      <c r="D288" s="73">
        <v>-5.8345951603461399E-5</v>
      </c>
      <c r="E288" s="73">
        <v>1.56900212975884E-2</v>
      </c>
      <c r="F288" s="73">
        <v>4.8328748264355099E-4</v>
      </c>
      <c r="G288" s="73">
        <v>0.29248458669508298</v>
      </c>
      <c r="H288" s="73">
        <v>3.7534850779437802E-5</v>
      </c>
      <c r="I288" s="73">
        <v>0.211306755506382</v>
      </c>
      <c r="J288" s="73">
        <v>2.54088375412503</v>
      </c>
      <c r="K288" s="73"/>
      <c r="L288" s="73"/>
      <c r="M288" s="73"/>
      <c r="O288" s="13">
        <f t="shared" ca="1" si="120"/>
        <v>4.334012774067042E-5</v>
      </c>
      <c r="P288" s="13">
        <f t="shared" ca="1" si="121"/>
        <v>-6.9633426988301571E-5</v>
      </c>
      <c r="Q288" s="13">
        <f t="shared" ca="1" si="122"/>
        <v>1.4849281679615715E-2</v>
      </c>
      <c r="R288" s="13">
        <f t="shared" ca="1" si="123"/>
        <v>4.7351120375286986E-4</v>
      </c>
      <c r="S288" s="13">
        <f t="shared" ca="1" si="124"/>
        <v>0.29134950806184162</v>
      </c>
      <c r="T288" s="13">
        <f t="shared" ca="1" si="125"/>
        <v>3.7185029268413713E-5</v>
      </c>
      <c r="U288" s="13">
        <f t="shared" ca="1" si="126"/>
        <v>0.21065291151159349</v>
      </c>
      <c r="V288" s="13">
        <f t="shared" ca="1" si="127"/>
        <v>2.5337449732025759</v>
      </c>
      <c r="X288" s="3">
        <f t="shared" ca="1" si="128"/>
        <v>4.334012774067042E-5</v>
      </c>
      <c r="Y288" s="3">
        <f t="shared" ca="1" si="129"/>
        <v>-6.9633426988301571E-5</v>
      </c>
      <c r="Z288" s="3">
        <f t="shared" ca="1" si="130"/>
        <v>1.4848997186315965E-2</v>
      </c>
      <c r="AA288" s="3">
        <f t="shared" ca="1" si="131"/>
        <v>4.666251727475659E-4</v>
      </c>
      <c r="AB288" s="3">
        <f t="shared" ca="1" si="132"/>
        <v>0.29129943077532888</v>
      </c>
      <c r="AC288" s="3">
        <f t="shared" ca="1" si="133"/>
        <v>3.7185029268413713E-5</v>
      </c>
      <c r="AD288" s="3">
        <f t="shared" ca="1" si="134"/>
        <v>0.2105789594180506</v>
      </c>
      <c r="AE288" s="3">
        <f t="shared" ca="1" si="135"/>
        <v>2.5337149651633695</v>
      </c>
      <c r="AG288" s="3">
        <f t="shared" ca="1" si="136"/>
        <v>4.334012774067042E-5</v>
      </c>
      <c r="AH288" s="3">
        <f t="shared" ca="1" si="137"/>
        <v>-6.9633426988301571E-5</v>
      </c>
      <c r="AI288" s="3">
        <f t="shared" ca="1" si="138"/>
        <v>1.4848997186315965E-2</v>
      </c>
      <c r="AJ288" s="3">
        <f t="shared" ca="1" si="139"/>
        <v>4.666251727475659E-4</v>
      </c>
      <c r="AK288" s="3">
        <f t="shared" ca="1" si="140"/>
        <v>0.29129943077532888</v>
      </c>
      <c r="AL288" s="3">
        <f t="shared" ca="1" si="141"/>
        <v>3.7185029268413713E-5</v>
      </c>
      <c r="AM288" s="3">
        <f t="shared" ca="1" si="142"/>
        <v>0.2105789594180506</v>
      </c>
      <c r="AN288" s="3">
        <f t="shared" ca="1" si="143"/>
        <v>2.5337149651633695</v>
      </c>
      <c r="AP288" s="3">
        <f t="shared" ca="1" si="144"/>
        <v>8.6965822940904545</v>
      </c>
      <c r="AQ288" s="3">
        <f t="shared" ca="1" si="151"/>
        <v>0.40064726409915669</v>
      </c>
      <c r="AR288" s="3">
        <f t="shared" ca="1" si="145"/>
        <v>1.8971096830388564E-4</v>
      </c>
      <c r="AS288" s="3">
        <f t="shared" ca="1" si="146"/>
        <v>0.2104632005432896</v>
      </c>
      <c r="AT288" s="3">
        <f t="shared" ca="1" si="147"/>
        <v>0.70880478651800449</v>
      </c>
      <c r="AU288" s="3">
        <f t="shared" ca="1" si="148"/>
        <v>5.2969311481423829E-2</v>
      </c>
      <c r="AV288" s="10">
        <f t="shared" ca="1" si="152"/>
        <v>0.70880478651800449</v>
      </c>
      <c r="AW288" s="10">
        <f t="shared" ca="1" si="153"/>
        <v>0.70880478651800449</v>
      </c>
      <c r="AY288" s="3">
        <f t="shared" ca="1" si="159"/>
        <v>8.6979743091827491</v>
      </c>
      <c r="AZ288" s="3">
        <f t="shared" ca="1" si="154"/>
        <v>0.40071217142444582</v>
      </c>
      <c r="BA288" s="3">
        <f t="shared" ca="1" si="149"/>
        <v>1.8698238621298426E-4</v>
      </c>
      <c r="BB288" s="3">
        <f t="shared" ca="1" si="155"/>
        <v>0.21039197703183762</v>
      </c>
      <c r="BC288" s="3">
        <f t="shared" ca="1" si="156"/>
        <v>0.70862960849840761</v>
      </c>
      <c r="BD288" s="3">
        <f t="shared" ca="1" si="150"/>
        <v>5.2986079420230953E-2</v>
      </c>
      <c r="BE288" s="3">
        <f t="shared" ca="1" si="157"/>
        <v>0.70862960849840761</v>
      </c>
      <c r="BF288" s="3">
        <f t="shared" ca="1" si="158"/>
        <v>0.70862960849840761</v>
      </c>
    </row>
    <row r="289" spans="1:58" ht="15" x14ac:dyDescent="0.25">
      <c r="A289" s="72">
        <v>223</v>
      </c>
      <c r="B289" s="72">
        <v>1498730236.97</v>
      </c>
      <c r="C289" s="73">
        <v>3.7274154893063999E-4</v>
      </c>
      <c r="D289" s="73">
        <v>1.1573786403654601E-5</v>
      </c>
      <c r="E289" s="73">
        <v>1.5009197217518E-2</v>
      </c>
      <c r="F289" s="73">
        <v>5.4803928458886501E-4</v>
      </c>
      <c r="G289" s="73">
        <v>0.27981326239360799</v>
      </c>
      <c r="H289" s="73">
        <v>5.1335957435379401E-5</v>
      </c>
      <c r="I289" s="73">
        <v>0.20204351000381099</v>
      </c>
      <c r="J289" s="73">
        <v>2.4297866854857602</v>
      </c>
      <c r="K289" s="73"/>
      <c r="L289" s="73"/>
      <c r="M289" s="73"/>
      <c r="O289" s="13">
        <f t="shared" ca="1" si="120"/>
        <v>1.080543196590784E-4</v>
      </c>
      <c r="P289" s="13">
        <f t="shared" ca="1" si="121"/>
        <v>2.8631101881442733E-7</v>
      </c>
      <c r="Q289" s="13">
        <f t="shared" ca="1" si="122"/>
        <v>1.4168457599545315E-2</v>
      </c>
      <c r="R289" s="13">
        <f t="shared" ca="1" si="123"/>
        <v>5.3826300569818387E-4</v>
      </c>
      <c r="S289" s="13">
        <f t="shared" ca="1" si="124"/>
        <v>0.27867818376036663</v>
      </c>
      <c r="T289" s="13">
        <f t="shared" ca="1" si="125"/>
        <v>5.0986135924355311E-5</v>
      </c>
      <c r="U289" s="13">
        <f t="shared" ca="1" si="126"/>
        <v>0.20138966600902247</v>
      </c>
      <c r="V289" s="13">
        <f t="shared" ca="1" si="127"/>
        <v>2.422647904563306</v>
      </c>
      <c r="X289" s="3">
        <f t="shared" ca="1" si="128"/>
        <v>1.080543196590784E-4</v>
      </c>
      <c r="Y289" s="3">
        <f t="shared" ca="1" si="129"/>
        <v>2.8631101881442733E-7</v>
      </c>
      <c r="Z289" s="3">
        <f t="shared" ca="1" si="130"/>
        <v>1.4168067517452173E-2</v>
      </c>
      <c r="AA289" s="3">
        <f t="shared" ca="1" si="131"/>
        <v>5.2882124594370167E-4</v>
      </c>
      <c r="AB289" s="3">
        <f t="shared" ca="1" si="132"/>
        <v>0.27860952044647136</v>
      </c>
      <c r="AC289" s="3">
        <f t="shared" ca="1" si="133"/>
        <v>5.0986135924355311E-5</v>
      </c>
      <c r="AD289" s="3">
        <f t="shared" ca="1" si="134"/>
        <v>0.2012882668285606</v>
      </c>
      <c r="AE289" s="3">
        <f t="shared" ca="1" si="135"/>
        <v>2.4226067591347316</v>
      </c>
      <c r="AG289" s="3">
        <f t="shared" ca="1" si="136"/>
        <v>1.080543196590784E-4</v>
      </c>
      <c r="AH289" s="3">
        <f t="shared" ca="1" si="137"/>
        <v>2.8631101881442733E-7</v>
      </c>
      <c r="AI289" s="3">
        <f t="shared" ca="1" si="138"/>
        <v>1.4167836895445185E-2</v>
      </c>
      <c r="AJ289" s="3">
        <f t="shared" ca="1" si="139"/>
        <v>5.2869389585132758E-4</v>
      </c>
      <c r="AK289" s="3">
        <f t="shared" ca="1" si="140"/>
        <v>0.27860952044647136</v>
      </c>
      <c r="AL289" s="3">
        <f t="shared" ca="1" si="141"/>
        <v>5.0986135924355311E-5</v>
      </c>
      <c r="AM289" s="3">
        <f t="shared" ca="1" si="142"/>
        <v>0.2012882668285606</v>
      </c>
      <c r="AN289" s="3">
        <f t="shared" ca="1" si="143"/>
        <v>2.4226067591347316</v>
      </c>
      <c r="AP289" s="3">
        <f t="shared" ca="1" si="144"/>
        <v>8.6933532861206082</v>
      </c>
      <c r="AQ289" s="3">
        <f t="shared" ca="1" si="151"/>
        <v>0.4004967013671813</v>
      </c>
      <c r="AR289" s="3">
        <f t="shared" ca="1" si="145"/>
        <v>2.1557255825010695E-4</v>
      </c>
      <c r="AS289" s="3">
        <f t="shared" ca="1" si="146"/>
        <v>0.20117409345077236</v>
      </c>
      <c r="AT289" s="3">
        <f t="shared" ca="1" si="147"/>
        <v>0.70845955541819894</v>
      </c>
      <c r="AU289" s="3">
        <f t="shared" ca="1" si="148"/>
        <v>5.2818704275668739E-2</v>
      </c>
      <c r="AV289" s="10">
        <f t="shared" ca="1" si="152"/>
        <v>0.70845955541819894</v>
      </c>
      <c r="AW289" s="10">
        <f t="shared" ca="1" si="153"/>
        <v>0.70845955541819894</v>
      </c>
      <c r="AY289" s="3">
        <f t="shared" ca="1" si="159"/>
        <v>8.6953480816179844</v>
      </c>
      <c r="AZ289" s="3">
        <f t="shared" ca="1" si="154"/>
        <v>0.4005897149503273</v>
      </c>
      <c r="BA289" s="3">
        <f t="shared" ca="1" si="149"/>
        <v>2.1178933703506136E-4</v>
      </c>
      <c r="BB289" s="3">
        <f t="shared" ca="1" si="155"/>
        <v>0.20107647749152555</v>
      </c>
      <c r="BC289" s="3">
        <f t="shared" ca="1" si="156"/>
        <v>0.708208471031328</v>
      </c>
      <c r="BD289" s="3">
        <f t="shared" ca="1" si="150"/>
        <v>5.2841811179369889E-2</v>
      </c>
      <c r="BE289" s="3">
        <f t="shared" ca="1" si="157"/>
        <v>0.708208471031328</v>
      </c>
      <c r="BF289" s="3">
        <f t="shared" ca="1" si="158"/>
        <v>0.708208471031328</v>
      </c>
    </row>
    <row r="290" spans="1:58" ht="15" x14ac:dyDescent="0.25">
      <c r="A290" s="72">
        <v>224</v>
      </c>
      <c r="B290" s="72">
        <v>1498730237.497</v>
      </c>
      <c r="C290" s="73">
        <v>3.2872592546326698E-4</v>
      </c>
      <c r="D290" s="73">
        <v>-5.6703905264218704E-6</v>
      </c>
      <c r="E290" s="73">
        <v>1.5782392112989398E-2</v>
      </c>
      <c r="F290" s="73">
        <v>4.6948065604802698E-4</v>
      </c>
      <c r="G290" s="73">
        <v>0.29311309818166997</v>
      </c>
      <c r="H290" s="73">
        <v>-8.4392283850985002E-6</v>
      </c>
      <c r="I290" s="73">
        <v>0.21160686548133401</v>
      </c>
      <c r="J290" s="73">
        <v>2.5426049753378202</v>
      </c>
      <c r="K290" s="73"/>
      <c r="L290" s="73"/>
      <c r="M290" s="73"/>
      <c r="O290" s="13">
        <f t="shared" ca="1" si="120"/>
        <v>6.4038696191705399E-5</v>
      </c>
      <c r="P290" s="13">
        <f t="shared" ca="1" si="121"/>
        <v>-1.6957865911262043E-5</v>
      </c>
      <c r="Q290" s="13">
        <f t="shared" ca="1" si="122"/>
        <v>1.4941652495016713E-2</v>
      </c>
      <c r="R290" s="13">
        <f t="shared" ca="1" si="123"/>
        <v>4.5970437715734584E-4</v>
      </c>
      <c r="S290" s="13">
        <f t="shared" ca="1" si="124"/>
        <v>0.29197801954842861</v>
      </c>
      <c r="T290" s="13">
        <f t="shared" ca="1" si="125"/>
        <v>-8.7890498961225866E-6</v>
      </c>
      <c r="U290" s="13">
        <f t="shared" ca="1" si="126"/>
        <v>0.21095302148654549</v>
      </c>
      <c r="V290" s="13">
        <f t="shared" ca="1" si="127"/>
        <v>2.535466194415366</v>
      </c>
      <c r="X290" s="3">
        <f t="shared" ca="1" si="128"/>
        <v>6.4038696191705399E-5</v>
      </c>
      <c r="Y290" s="3">
        <f t="shared" ca="1" si="129"/>
        <v>-1.6957865911262043E-5</v>
      </c>
      <c r="Z290" s="3">
        <f t="shared" ca="1" si="130"/>
        <v>1.4941652495016713E-2</v>
      </c>
      <c r="AA290" s="3">
        <f t="shared" ca="1" si="131"/>
        <v>4.5970437715734584E-4</v>
      </c>
      <c r="AB290" s="3">
        <f t="shared" ca="1" si="132"/>
        <v>0.29197801954842861</v>
      </c>
      <c r="AC290" s="3">
        <f t="shared" ca="1" si="133"/>
        <v>-8.7890498961225866E-6</v>
      </c>
      <c r="AD290" s="3">
        <f t="shared" ca="1" si="134"/>
        <v>0.21095302148654549</v>
      </c>
      <c r="AE290" s="3">
        <f t="shared" ca="1" si="135"/>
        <v>2.535466194415366</v>
      </c>
      <c r="AG290" s="3">
        <f t="shared" ca="1" si="136"/>
        <v>6.4038696191705399E-5</v>
      </c>
      <c r="AH290" s="3">
        <f t="shared" ca="1" si="137"/>
        <v>-1.6957865911262043E-5</v>
      </c>
      <c r="AI290" s="3">
        <f t="shared" ca="1" si="138"/>
        <v>1.4941652495016713E-2</v>
      </c>
      <c r="AJ290" s="3">
        <f t="shared" ca="1" si="139"/>
        <v>4.5970437715734584E-4</v>
      </c>
      <c r="AK290" s="3">
        <f t="shared" ca="1" si="140"/>
        <v>0.29197801954842861</v>
      </c>
      <c r="AL290" s="3">
        <f t="shared" ca="1" si="141"/>
        <v>-8.7890498961225866E-6</v>
      </c>
      <c r="AM290" s="3">
        <f t="shared" ca="1" si="142"/>
        <v>0.21095302148654549</v>
      </c>
      <c r="AN290" s="3">
        <f t="shared" ca="1" si="143"/>
        <v>2.535466194415366</v>
      </c>
      <c r="AP290" s="3">
        <f t="shared" ca="1" si="144"/>
        <v>8.6837570798538266</v>
      </c>
      <c r="AQ290" s="3">
        <f t="shared" ca="1" si="151"/>
        <v>0.40004925183593043</v>
      </c>
      <c r="AR290" s="3">
        <f t="shared" ca="1" si="145"/>
        <v>1.8390439214749859E-4</v>
      </c>
      <c r="AS290" s="3">
        <f t="shared" ca="1" si="146"/>
        <v>0.210769117094398</v>
      </c>
      <c r="AT290" s="3">
        <f t="shared" ca="1" si="147"/>
        <v>0.70883369464878476</v>
      </c>
      <c r="AU290" s="3">
        <f t="shared" ca="1" si="148"/>
        <v>5.3103824188493985E-2</v>
      </c>
      <c r="AV290" s="10">
        <f t="shared" ca="1" si="152"/>
        <v>0.70883369464878476</v>
      </c>
      <c r="AW290" s="10">
        <f t="shared" ca="1" si="153"/>
        <v>0.70883369464878476</v>
      </c>
      <c r="AY290" s="3">
        <f t="shared" ca="1" si="159"/>
        <v>8.6837570798538266</v>
      </c>
      <c r="AZ290" s="3">
        <f t="shared" ca="1" si="154"/>
        <v>0.40004925183593043</v>
      </c>
      <c r="BA290" s="3">
        <f t="shared" ca="1" si="149"/>
        <v>1.8390439214749859E-4</v>
      </c>
      <c r="BB290" s="3">
        <f t="shared" ca="1" si="155"/>
        <v>0.210769117094398</v>
      </c>
      <c r="BC290" s="3">
        <f t="shared" ca="1" si="156"/>
        <v>0.70883369464878476</v>
      </c>
      <c r="BD290" s="3">
        <f t="shared" ca="1" si="150"/>
        <v>5.3103824188493985E-2</v>
      </c>
      <c r="BE290" s="3">
        <f t="shared" ca="1" si="157"/>
        <v>0.70883369464878476</v>
      </c>
      <c r="BF290" s="3">
        <f t="shared" ca="1" si="158"/>
        <v>0.70883369464878476</v>
      </c>
    </row>
    <row r="291" spans="1:58" ht="15" x14ac:dyDescent="0.25">
      <c r="A291" s="72">
        <v>225</v>
      </c>
      <c r="B291" s="72">
        <v>1498730238.0239999</v>
      </c>
      <c r="C291" s="73">
        <v>3.6322449298003E-4</v>
      </c>
      <c r="D291" s="73">
        <v>3.2361685777444797E-5</v>
      </c>
      <c r="E291" s="73">
        <v>1.50631835501855E-2</v>
      </c>
      <c r="F291" s="73">
        <v>4.3353619232268598E-4</v>
      </c>
      <c r="G291" s="73">
        <v>0.27846430901012797</v>
      </c>
      <c r="H291" s="73">
        <v>6.0955329874385798E-5</v>
      </c>
      <c r="I291" s="73">
        <v>0.20114230450540899</v>
      </c>
      <c r="J291" s="73">
        <v>2.42107599735886</v>
      </c>
      <c r="K291" s="73"/>
      <c r="L291" s="73"/>
      <c r="M291" s="73"/>
      <c r="O291" s="13">
        <f t="shared" ca="1" si="120"/>
        <v>9.8537263708468415E-5</v>
      </c>
      <c r="P291" s="13">
        <f t="shared" ca="1" si="121"/>
        <v>2.1074210392604626E-5</v>
      </c>
      <c r="Q291" s="13">
        <f t="shared" ca="1" si="122"/>
        <v>1.4222443932212815E-2</v>
      </c>
      <c r="R291" s="13">
        <f t="shared" ca="1" si="123"/>
        <v>4.2375991343200485E-4</v>
      </c>
      <c r="S291" s="13">
        <f t="shared" ca="1" si="124"/>
        <v>0.27732923037688662</v>
      </c>
      <c r="T291" s="13">
        <f t="shared" ca="1" si="125"/>
        <v>6.0605508363361708E-5</v>
      </c>
      <c r="U291" s="13">
        <f t="shared" ca="1" si="126"/>
        <v>0.20048846051062047</v>
      </c>
      <c r="V291" s="13">
        <f t="shared" ca="1" si="127"/>
        <v>2.4139372164364059</v>
      </c>
      <c r="X291" s="3">
        <f t="shared" ca="1" si="128"/>
        <v>9.8537263708468415E-5</v>
      </c>
      <c r="Y291" s="3">
        <f t="shared" ca="1" si="129"/>
        <v>2.1074210392604626E-5</v>
      </c>
      <c r="Z291" s="3">
        <f t="shared" ca="1" si="130"/>
        <v>1.4221980254722263E-2</v>
      </c>
      <c r="AA291" s="3">
        <f t="shared" ca="1" si="131"/>
        <v>4.1253681053567842E-4</v>
      </c>
      <c r="AB291" s="3">
        <f t="shared" ca="1" si="132"/>
        <v>0.27724761260042458</v>
      </c>
      <c r="AC291" s="3">
        <f t="shared" ca="1" si="133"/>
        <v>6.0605508363361708E-5</v>
      </c>
      <c r="AD291" s="3">
        <f t="shared" ca="1" si="134"/>
        <v>0.20036793070838879</v>
      </c>
      <c r="AE291" s="3">
        <f t="shared" ca="1" si="135"/>
        <v>2.4138883082465541</v>
      </c>
      <c r="AG291" s="3">
        <f t="shared" ca="1" si="136"/>
        <v>9.8537263708468415E-5</v>
      </c>
      <c r="AH291" s="3">
        <f t="shared" ca="1" si="137"/>
        <v>2.1074210392604626E-5</v>
      </c>
      <c r="AI291" s="3">
        <f t="shared" ca="1" si="138"/>
        <v>1.4205005090034025E-2</v>
      </c>
      <c r="AJ291" s="3">
        <f t="shared" ca="1" si="139"/>
        <v>4.0316307895063065E-4</v>
      </c>
      <c r="AK291" s="3">
        <f t="shared" ca="1" si="140"/>
        <v>0.27724761260042458</v>
      </c>
      <c r="AL291" s="3">
        <f t="shared" ca="1" si="141"/>
        <v>6.0605508363361708E-5</v>
      </c>
      <c r="AM291" s="3">
        <f t="shared" ca="1" si="142"/>
        <v>0.20036793070838879</v>
      </c>
      <c r="AN291" s="3">
        <f t="shared" ca="1" si="143"/>
        <v>2.4138883082465541</v>
      </c>
      <c r="AP291" s="3">
        <f t="shared" ca="1" si="144"/>
        <v>8.7042293131376685</v>
      </c>
      <c r="AQ291" s="3">
        <f t="shared" ca="1" si="151"/>
        <v>0.40100383330574518</v>
      </c>
      <c r="AR291" s="3">
        <f t="shared" ca="1" si="145"/>
        <v>1.6992934968754469E-4</v>
      </c>
      <c r="AS291" s="3">
        <f t="shared" ca="1" si="146"/>
        <v>0.20031853116093293</v>
      </c>
      <c r="AT291" s="3">
        <f t="shared" ca="1" si="147"/>
        <v>0.70843174337561654</v>
      </c>
      <c r="AU291" s="3">
        <f t="shared" ca="1" si="148"/>
        <v>5.3346059296548544E-2</v>
      </c>
      <c r="AV291" s="10">
        <f t="shared" ca="1" si="152"/>
        <v>0.70843174337561654</v>
      </c>
      <c r="AW291" s="10">
        <f t="shared" ca="1" si="153"/>
        <v>0.70843174337561654</v>
      </c>
      <c r="AY291" s="3">
        <f t="shared" ca="1" si="159"/>
        <v>8.7066153089855582</v>
      </c>
      <c r="AZ291" s="3">
        <f t="shared" ca="1" si="154"/>
        <v>0.4011150895468274</v>
      </c>
      <c r="BA291" s="3">
        <f t="shared" ca="1" si="149"/>
        <v>1.6171479451525687E-4</v>
      </c>
      <c r="BB291" s="3">
        <f t="shared" ca="1" si="155"/>
        <v>0.20020621591387353</v>
      </c>
      <c r="BC291" s="3">
        <f t="shared" ca="1" si="156"/>
        <v>0.70814522396574719</v>
      </c>
      <c r="BD291" s="3">
        <f t="shared" ca="1" si="150"/>
        <v>5.3311283395135078E-2</v>
      </c>
      <c r="BE291" s="3">
        <f t="shared" ca="1" si="157"/>
        <v>0.70814522396574719</v>
      </c>
      <c r="BF291" s="3">
        <f t="shared" ca="1" si="158"/>
        <v>0.70814522396574719</v>
      </c>
    </row>
    <row r="292" spans="1:58" ht="15" x14ac:dyDescent="0.25">
      <c r="A292" s="72">
        <v>226</v>
      </c>
      <c r="B292" s="72">
        <v>1498730238.5510001</v>
      </c>
      <c r="C292" s="73">
        <v>2.33087853085326E-4</v>
      </c>
      <c r="D292" s="73">
        <v>5.8110937725492902E-5</v>
      </c>
      <c r="E292" s="73">
        <v>1.4229817375692099E-2</v>
      </c>
      <c r="F292" s="73">
        <v>3.4332366607435602E-4</v>
      </c>
      <c r="G292" s="73">
        <v>0.26441721999534301</v>
      </c>
      <c r="H292" s="73">
        <v>2.08059467221774E-5</v>
      </c>
      <c r="I292" s="73">
        <v>0.19101026312498001</v>
      </c>
      <c r="J292" s="73">
        <v>2.2956217094359199</v>
      </c>
      <c r="K292" s="73"/>
      <c r="L292" s="73"/>
      <c r="M292" s="73"/>
      <c r="O292" s="13">
        <f t="shared" ca="1" si="120"/>
        <v>-3.1599376186235584E-5</v>
      </c>
      <c r="P292" s="13">
        <f t="shared" ca="1" si="121"/>
        <v>4.682346234065273E-5</v>
      </c>
      <c r="Q292" s="13">
        <f t="shared" ca="1" si="122"/>
        <v>1.3389077757719414E-2</v>
      </c>
      <c r="R292" s="13">
        <f t="shared" ca="1" si="123"/>
        <v>3.3354738718367489E-4</v>
      </c>
      <c r="S292" s="13">
        <f t="shared" ca="1" si="124"/>
        <v>0.26328214136210165</v>
      </c>
      <c r="T292" s="13">
        <f t="shared" ca="1" si="125"/>
        <v>2.0456125211153314E-5</v>
      </c>
      <c r="U292" s="13">
        <f t="shared" ca="1" si="126"/>
        <v>0.1903564191301915</v>
      </c>
      <c r="V292" s="13">
        <f t="shared" ca="1" si="127"/>
        <v>2.2884829285134658</v>
      </c>
      <c r="X292" s="3">
        <f t="shared" ca="1" si="128"/>
        <v>-3.1599376186235584E-5</v>
      </c>
      <c r="Y292" s="3">
        <f t="shared" ca="1" si="129"/>
        <v>4.682346234065273E-5</v>
      </c>
      <c r="Z292" s="3">
        <f t="shared" ca="1" si="130"/>
        <v>1.3388921253054072E-2</v>
      </c>
      <c r="AA292" s="3">
        <f t="shared" ca="1" si="131"/>
        <v>3.2975926289753821E-4</v>
      </c>
      <c r="AB292" s="3">
        <f t="shared" ca="1" si="132"/>
        <v>0.26325459298407711</v>
      </c>
      <c r="AC292" s="3">
        <f t="shared" ca="1" si="133"/>
        <v>2.0456125211153314E-5</v>
      </c>
      <c r="AD292" s="3">
        <f t="shared" ca="1" si="134"/>
        <v>0.19031573680951291</v>
      </c>
      <c r="AE292" s="3">
        <f t="shared" ca="1" si="135"/>
        <v>2.2884664205741303</v>
      </c>
      <c r="AG292" s="3">
        <f t="shared" ca="1" si="136"/>
        <v>-3.1599376186235584E-5</v>
      </c>
      <c r="AH292" s="3">
        <f t="shared" ca="1" si="137"/>
        <v>4.682346234065273E-5</v>
      </c>
      <c r="AI292" s="3">
        <f t="shared" ca="1" si="138"/>
        <v>1.3351205202502305E-2</v>
      </c>
      <c r="AJ292" s="3">
        <f t="shared" ca="1" si="139"/>
        <v>3.0893235836886869E-4</v>
      </c>
      <c r="AK292" s="3">
        <f t="shared" ca="1" si="140"/>
        <v>0.26325459298407711</v>
      </c>
      <c r="AL292" s="3">
        <f t="shared" ca="1" si="141"/>
        <v>2.0456125211153314E-5</v>
      </c>
      <c r="AM292" s="3">
        <f t="shared" ca="1" si="142"/>
        <v>0.19031573680951291</v>
      </c>
      <c r="AN292" s="3">
        <f t="shared" ca="1" si="143"/>
        <v>2.2884664205741303</v>
      </c>
      <c r="AP292" s="3">
        <f t="shared" ca="1" si="144"/>
        <v>8.692131250049469</v>
      </c>
      <c r="AQ292" s="3">
        <f t="shared" ca="1" si="151"/>
        <v>0.4004397202386405</v>
      </c>
      <c r="AR292" s="3">
        <f t="shared" ca="1" si="145"/>
        <v>1.3356562241016026E-4</v>
      </c>
      <c r="AS292" s="3">
        <f t="shared" ca="1" si="146"/>
        <v>0.19022285350778134</v>
      </c>
      <c r="AT292" s="3">
        <f t="shared" ca="1" si="147"/>
        <v>0.70911719677803808</v>
      </c>
      <c r="AU292" s="3">
        <f t="shared" ca="1" si="148"/>
        <v>5.2824443280933997E-2</v>
      </c>
      <c r="AV292" s="10">
        <f t="shared" ca="1" si="152"/>
        <v>0.70911719677803808</v>
      </c>
      <c r="AW292" s="10">
        <f t="shared" ca="1" si="153"/>
        <v>0.70911719677803808</v>
      </c>
      <c r="AY292" s="3">
        <f t="shared" ca="1" si="159"/>
        <v>8.6929781343360943</v>
      </c>
      <c r="AZ292" s="3">
        <f t="shared" ca="1" si="154"/>
        <v>0.4004792087700394</v>
      </c>
      <c r="BA292" s="3">
        <f t="shared" ca="1" si="149"/>
        <v>1.2372098644302681E-4</v>
      </c>
      <c r="BB292" s="3">
        <f t="shared" ca="1" si="155"/>
        <v>0.19019201582306988</v>
      </c>
      <c r="BC292" s="3">
        <f t="shared" ca="1" si="156"/>
        <v>0.70904164438600803</v>
      </c>
      <c r="BD292" s="3">
        <f t="shared" ca="1" si="150"/>
        <v>5.2685787499705587E-2</v>
      </c>
      <c r="BE292" s="3">
        <f t="shared" ca="1" si="157"/>
        <v>0.70904164438600803</v>
      </c>
      <c r="BF292" s="3">
        <f t="shared" ca="1" si="158"/>
        <v>0.70904164438600803</v>
      </c>
    </row>
    <row r="293" spans="1:58" ht="15" x14ac:dyDescent="0.25">
      <c r="A293" s="72">
        <v>227</v>
      </c>
      <c r="B293" s="72">
        <v>1498730239.0780001</v>
      </c>
      <c r="C293" s="73">
        <v>3.6132109267385801E-4</v>
      </c>
      <c r="D293" s="73">
        <v>1.09847693436966E-4</v>
      </c>
      <c r="E293" s="73">
        <v>1.54199513129906E-2</v>
      </c>
      <c r="F293" s="73">
        <v>4.5853054996501902E-4</v>
      </c>
      <c r="G293" s="73">
        <v>0.28420794945404798</v>
      </c>
      <c r="H293" s="73">
        <v>1.5230272289825E-5</v>
      </c>
      <c r="I293" s="73">
        <v>0.20524841550747899</v>
      </c>
      <c r="J293" s="73">
        <v>2.46478948416806</v>
      </c>
      <c r="K293" s="73"/>
      <c r="L293" s="73"/>
      <c r="M293" s="73"/>
      <c r="O293" s="13">
        <f t="shared" ca="1" si="120"/>
        <v>9.663386340229643E-5</v>
      </c>
      <c r="P293" s="13">
        <f t="shared" ca="1" si="121"/>
        <v>9.8560218052125826E-5</v>
      </c>
      <c r="Q293" s="13">
        <f t="shared" ca="1" si="122"/>
        <v>1.4579211695017915E-2</v>
      </c>
      <c r="R293" s="13">
        <f t="shared" ca="1" si="123"/>
        <v>4.4875427107433788E-4</v>
      </c>
      <c r="S293" s="13">
        <f t="shared" ca="1" si="124"/>
        <v>0.28307287082080662</v>
      </c>
      <c r="T293" s="13">
        <f t="shared" ca="1" si="125"/>
        <v>1.4880450778800914E-5</v>
      </c>
      <c r="U293" s="13">
        <f t="shared" ca="1" si="126"/>
        <v>0.20459457151269048</v>
      </c>
      <c r="V293" s="13">
        <f t="shared" ca="1" si="127"/>
        <v>2.4576507032456059</v>
      </c>
      <c r="X293" s="3">
        <f t="shared" ca="1" si="128"/>
        <v>9.663386340229643E-5</v>
      </c>
      <c r="Y293" s="3">
        <f t="shared" ca="1" si="129"/>
        <v>9.8560218052125826E-5</v>
      </c>
      <c r="Z293" s="3">
        <f t="shared" ca="1" si="130"/>
        <v>1.4579097848434299E-2</v>
      </c>
      <c r="AA293" s="3">
        <f t="shared" ca="1" si="131"/>
        <v>4.4599866626639001E-4</v>
      </c>
      <c r="AB293" s="3">
        <f t="shared" ca="1" si="132"/>
        <v>0.28305283123466807</v>
      </c>
      <c r="AC293" s="3">
        <f t="shared" ca="1" si="133"/>
        <v>1.4880450778800914E-5</v>
      </c>
      <c r="AD293" s="3">
        <f t="shared" ca="1" si="134"/>
        <v>0.20456497786950653</v>
      </c>
      <c r="AE293" s="3">
        <f t="shared" ca="1" si="135"/>
        <v>2.4576386948336411</v>
      </c>
      <c r="AG293" s="3">
        <f t="shared" ca="1" si="136"/>
        <v>9.663386340229643E-5</v>
      </c>
      <c r="AH293" s="3">
        <f t="shared" ca="1" si="137"/>
        <v>9.8560218052125826E-5</v>
      </c>
      <c r="AI293" s="3">
        <f t="shared" ca="1" si="138"/>
        <v>1.4499708115581935E-2</v>
      </c>
      <c r="AJ293" s="3">
        <f t="shared" ca="1" si="139"/>
        <v>4.0215944231574487E-4</v>
      </c>
      <c r="AK293" s="3">
        <f t="shared" ca="1" si="140"/>
        <v>0.28305283123466807</v>
      </c>
      <c r="AL293" s="3">
        <f t="shared" ca="1" si="141"/>
        <v>1.4880450778800914E-5</v>
      </c>
      <c r="AM293" s="3">
        <f t="shared" ca="1" si="142"/>
        <v>0.20456497786950653</v>
      </c>
      <c r="AN293" s="3">
        <f t="shared" ca="1" si="143"/>
        <v>2.4576386948336411</v>
      </c>
      <c r="AP293" s="3">
        <f t="shared" ca="1" si="144"/>
        <v>8.6820425289054644</v>
      </c>
      <c r="AQ293" s="3">
        <f t="shared" ca="1" si="151"/>
        <v>0.39996930680986825</v>
      </c>
      <c r="AR293" s="3">
        <f t="shared" ca="1" si="145"/>
        <v>1.7948793472957064E-4</v>
      </c>
      <c r="AS293" s="3">
        <f t="shared" ca="1" si="146"/>
        <v>0.2044150835779609</v>
      </c>
      <c r="AT293" s="3">
        <f t="shared" ca="1" si="147"/>
        <v>0.70916192787271859</v>
      </c>
      <c r="AU293" s="3">
        <f t="shared" ca="1" si="148"/>
        <v>5.3434944897878901E-2</v>
      </c>
      <c r="AV293" s="10">
        <f t="shared" ca="1" si="152"/>
        <v>0.70916192787271859</v>
      </c>
      <c r="AW293" s="10">
        <f t="shared" ca="1" si="153"/>
        <v>0.70916192787271859</v>
      </c>
      <c r="AY293" s="3">
        <f t="shared" ca="1" si="159"/>
        <v>8.6826147758829819</v>
      </c>
      <c r="AZ293" s="3">
        <f t="shared" ca="1" si="154"/>
        <v>0.39999598916834583</v>
      </c>
      <c r="BA293" s="3">
        <f t="shared" ca="1" si="149"/>
        <v>1.6086216393247668E-4</v>
      </c>
      <c r="BB293" s="3">
        <f t="shared" ca="1" si="155"/>
        <v>0.20440411570557404</v>
      </c>
      <c r="BC293" s="3">
        <f t="shared" ca="1" si="156"/>
        <v>0.70915054425738144</v>
      </c>
      <c r="BD293" s="3">
        <f t="shared" ca="1" si="150"/>
        <v>5.3150899573516111E-2</v>
      </c>
      <c r="BE293" s="3">
        <f t="shared" ca="1" si="157"/>
        <v>0.70915054425738144</v>
      </c>
      <c r="BF293" s="3">
        <f t="shared" ca="1" si="158"/>
        <v>0.70915054425738144</v>
      </c>
    </row>
    <row r="294" spans="1:58" ht="15" x14ac:dyDescent="0.25">
      <c r="A294" s="72">
        <v>228</v>
      </c>
      <c r="B294" s="72">
        <v>1498730239.605</v>
      </c>
      <c r="C294" s="73">
        <v>3.6488997122405498E-4</v>
      </c>
      <c r="D294" s="73">
        <v>5.6693530330222697E-5</v>
      </c>
      <c r="E294" s="73">
        <v>1.52634883535254E-2</v>
      </c>
      <c r="F294" s="73">
        <v>4.25918988627313E-4</v>
      </c>
      <c r="G294" s="73">
        <v>0.28270189439440202</v>
      </c>
      <c r="H294" s="73">
        <v>2.76814683353631E-5</v>
      </c>
      <c r="I294" s="73">
        <v>0.20430456399264699</v>
      </c>
      <c r="J294" s="73">
        <v>2.45549152410682</v>
      </c>
      <c r="K294" s="73"/>
      <c r="L294" s="73"/>
      <c r="M294" s="73"/>
      <c r="O294" s="13">
        <f t="shared" ca="1" si="120"/>
        <v>1.002027419524934E-4</v>
      </c>
      <c r="P294" s="13">
        <f t="shared" ca="1" si="121"/>
        <v>4.5406054945382525E-5</v>
      </c>
      <c r="Q294" s="13">
        <f t="shared" ca="1" si="122"/>
        <v>1.4422748735552715E-2</v>
      </c>
      <c r="R294" s="13">
        <f t="shared" ca="1" si="123"/>
        <v>4.1614270973663187E-4</v>
      </c>
      <c r="S294" s="13">
        <f t="shared" ca="1" si="124"/>
        <v>0.28156681576116066</v>
      </c>
      <c r="T294" s="13">
        <f t="shared" ca="1" si="125"/>
        <v>2.7331646824339014E-5</v>
      </c>
      <c r="U294" s="13">
        <f t="shared" ca="1" si="126"/>
        <v>0.20365071999785847</v>
      </c>
      <c r="V294" s="13">
        <f t="shared" ca="1" si="127"/>
        <v>2.4483527431843659</v>
      </c>
      <c r="X294" s="3">
        <f t="shared" ca="1" si="128"/>
        <v>1.002027419524934E-4</v>
      </c>
      <c r="Y294" s="3">
        <f t="shared" ca="1" si="129"/>
        <v>4.5406054945382525E-5</v>
      </c>
      <c r="Z294" s="3">
        <f t="shared" ca="1" si="130"/>
        <v>1.4422539628002025E-2</v>
      </c>
      <c r="AA294" s="3">
        <f t="shared" ca="1" si="131"/>
        <v>4.1108135652107085E-4</v>
      </c>
      <c r="AB294" s="3">
        <f t="shared" ca="1" si="132"/>
        <v>0.28153000807979489</v>
      </c>
      <c r="AC294" s="3">
        <f t="shared" ca="1" si="133"/>
        <v>2.7331646824339014E-5</v>
      </c>
      <c r="AD294" s="3">
        <f t="shared" ca="1" si="134"/>
        <v>0.20359636391578995</v>
      </c>
      <c r="AE294" s="3">
        <f t="shared" ca="1" si="135"/>
        <v>2.4483306867507522</v>
      </c>
      <c r="AG294" s="3">
        <f t="shared" ca="1" si="136"/>
        <v>1.002027419524934E-4</v>
      </c>
      <c r="AH294" s="3">
        <f t="shared" ca="1" si="137"/>
        <v>4.5406054945382525E-5</v>
      </c>
      <c r="AI294" s="3">
        <f t="shared" ca="1" si="138"/>
        <v>1.4385965291588856E-2</v>
      </c>
      <c r="AJ294" s="3">
        <f t="shared" ca="1" si="139"/>
        <v>3.9088490960966925E-4</v>
      </c>
      <c r="AK294" s="3">
        <f t="shared" ca="1" si="140"/>
        <v>0.28153000807979489</v>
      </c>
      <c r="AL294" s="3">
        <f t="shared" ca="1" si="141"/>
        <v>2.7331646824339014E-5</v>
      </c>
      <c r="AM294" s="3">
        <f t="shared" ca="1" si="142"/>
        <v>0.20359636391578995</v>
      </c>
      <c r="AN294" s="3">
        <f t="shared" ca="1" si="143"/>
        <v>2.4483306867507522</v>
      </c>
      <c r="AP294" s="3">
        <f t="shared" ca="1" si="144"/>
        <v>8.6954591455165779</v>
      </c>
      <c r="AQ294" s="3">
        <f t="shared" ca="1" si="151"/>
        <v>0.40059489365980067</v>
      </c>
      <c r="AR294" s="3">
        <f t="shared" ca="1" si="145"/>
        <v>1.6670464455424735E-4</v>
      </c>
      <c r="AS294" s="3">
        <f t="shared" ca="1" si="146"/>
        <v>0.20348401535330421</v>
      </c>
      <c r="AT294" s="3">
        <f t="shared" ca="1" si="147"/>
        <v>0.70915609094599907</v>
      </c>
      <c r="AU294" s="3">
        <f t="shared" ca="1" si="148"/>
        <v>5.3228269041524612E-2</v>
      </c>
      <c r="AV294" s="10">
        <f t="shared" ca="1" si="152"/>
        <v>0.70915609094599907</v>
      </c>
      <c r="AW294" s="10">
        <f t="shared" ca="1" si="153"/>
        <v>0.70915609094599907</v>
      </c>
      <c r="AY294" s="3">
        <f t="shared" ca="1" si="159"/>
        <v>8.6965176588096238</v>
      </c>
      <c r="AZ294" s="3">
        <f t="shared" ca="1" si="154"/>
        <v>0.40064425026765443</v>
      </c>
      <c r="BA294" s="3">
        <f t="shared" ca="1" si="149"/>
        <v>1.566057915515058E-4</v>
      </c>
      <c r="BB294" s="3">
        <f t="shared" ca="1" si="155"/>
        <v>0.20343975812423845</v>
      </c>
      <c r="BC294" s="3">
        <f t="shared" ca="1" si="156"/>
        <v>0.70905108157755303</v>
      </c>
      <c r="BD294" s="3">
        <f t="shared" ca="1" si="150"/>
        <v>5.310607248527232E-2</v>
      </c>
      <c r="BE294" s="3">
        <f t="shared" ca="1" si="157"/>
        <v>0.70905108157755303</v>
      </c>
      <c r="BF294" s="3">
        <f t="shared" ca="1" si="158"/>
        <v>0.70905108157755303</v>
      </c>
    </row>
    <row r="295" spans="1:58" ht="15" x14ac:dyDescent="0.25">
      <c r="A295" s="72">
        <v>229</v>
      </c>
      <c r="B295" s="72">
        <v>1498730240.131</v>
      </c>
      <c r="C295" s="73">
        <v>3.2634675784113602E-4</v>
      </c>
      <c r="D295" s="73">
        <v>1.20478867770182E-4</v>
      </c>
      <c r="E295" s="73">
        <v>1.45921052372143E-2</v>
      </c>
      <c r="F295" s="73">
        <v>5.4327797970820301E-4</v>
      </c>
      <c r="G295" s="73">
        <v>0.26904446513306302</v>
      </c>
      <c r="H295" s="73">
        <v>1.12707957933657E-4</v>
      </c>
      <c r="I295" s="73">
        <v>0.19431355789938501</v>
      </c>
      <c r="J295" s="73">
        <v>2.33762409015918</v>
      </c>
      <c r="K295" s="73"/>
      <c r="L295" s="73"/>
      <c r="M295" s="73"/>
      <c r="O295" s="13">
        <f t="shared" ca="1" si="120"/>
        <v>6.1659528569574435E-5</v>
      </c>
      <c r="P295" s="13">
        <f t="shared" ca="1" si="121"/>
        <v>1.0919139238534182E-4</v>
      </c>
      <c r="Q295" s="13">
        <f t="shared" ca="1" si="122"/>
        <v>1.3751365619241614E-2</v>
      </c>
      <c r="R295" s="13">
        <f t="shared" ca="1" si="123"/>
        <v>5.3350170081752188E-4</v>
      </c>
      <c r="S295" s="13">
        <f t="shared" ca="1" si="124"/>
        <v>0.26790938649982166</v>
      </c>
      <c r="T295" s="13">
        <f t="shared" ca="1" si="125"/>
        <v>1.1235813642263291E-4</v>
      </c>
      <c r="U295" s="13">
        <f t="shared" ca="1" si="126"/>
        <v>0.19365971390459649</v>
      </c>
      <c r="V295" s="13">
        <f t="shared" ca="1" si="127"/>
        <v>2.3304853092367259</v>
      </c>
      <c r="X295" s="3">
        <f t="shared" ca="1" si="128"/>
        <v>6.1659528569574435E-5</v>
      </c>
      <c r="Y295" s="3">
        <f t="shared" ca="1" si="129"/>
        <v>1.0919139238534182E-4</v>
      </c>
      <c r="Z295" s="3">
        <f t="shared" ca="1" si="130"/>
        <v>1.3750505995419516E-2</v>
      </c>
      <c r="AA295" s="3">
        <f t="shared" ca="1" si="131"/>
        <v>5.1269489694170424E-4</v>
      </c>
      <c r="AB295" s="3">
        <f t="shared" ca="1" si="132"/>
        <v>0.2677580731702271</v>
      </c>
      <c r="AC295" s="3">
        <f t="shared" ca="1" si="133"/>
        <v>1.1235813642263291E-4</v>
      </c>
      <c r="AD295" s="3">
        <f t="shared" ca="1" si="134"/>
        <v>0.19343626055311325</v>
      </c>
      <c r="AE295" s="3">
        <f t="shared" ca="1" si="135"/>
        <v>2.3303946370649062</v>
      </c>
      <c r="AG295" s="3">
        <f t="shared" ca="1" si="136"/>
        <v>6.1659528569574435E-5</v>
      </c>
      <c r="AH295" s="3">
        <f t="shared" ca="1" si="137"/>
        <v>1.0919139238534182E-4</v>
      </c>
      <c r="AI295" s="3">
        <f t="shared" ca="1" si="138"/>
        <v>1.3662552908032215E-2</v>
      </c>
      <c r="AJ295" s="3">
        <f t="shared" ca="1" si="139"/>
        <v>4.6412696559102351E-4</v>
      </c>
      <c r="AK295" s="3">
        <f t="shared" ca="1" si="140"/>
        <v>0.2677580731702271</v>
      </c>
      <c r="AL295" s="3">
        <f t="shared" ca="1" si="141"/>
        <v>1.1235813642263291E-4</v>
      </c>
      <c r="AM295" s="3">
        <f t="shared" ca="1" si="142"/>
        <v>0.19343626055311325</v>
      </c>
      <c r="AN295" s="3">
        <f t="shared" ca="1" si="143"/>
        <v>2.3303946370649062</v>
      </c>
      <c r="AP295" s="3">
        <f t="shared" ca="1" si="144"/>
        <v>8.6987818518940809</v>
      </c>
      <c r="AQ295" s="3">
        <f t="shared" ca="1" si="151"/>
        <v>0.40074982584222063</v>
      </c>
      <c r="AR295" s="3">
        <f t="shared" ca="1" si="145"/>
        <v>2.1380071368915039E-4</v>
      </c>
      <c r="AS295" s="3">
        <f t="shared" ca="1" si="146"/>
        <v>0.19344591319090734</v>
      </c>
      <c r="AT295" s="3">
        <f t="shared" ca="1" si="147"/>
        <v>0.70840412351198345</v>
      </c>
      <c r="AU295" s="3">
        <f t="shared" ca="1" si="148"/>
        <v>5.3358480434098764E-2</v>
      </c>
      <c r="AV295" s="10">
        <f t="shared" ca="1" si="152"/>
        <v>0.70840412351198345</v>
      </c>
      <c r="AW295" s="10">
        <f t="shared" ca="1" si="153"/>
        <v>0.70840412351198345</v>
      </c>
      <c r="AY295" s="3">
        <f t="shared" ca="1" si="159"/>
        <v>8.7033590041685081</v>
      </c>
      <c r="AZ295" s="3">
        <f t="shared" ca="1" si="154"/>
        <v>0.4009632518919457</v>
      </c>
      <c r="BA295" s="3">
        <f t="shared" ca="1" si="149"/>
        <v>1.8609785741411798E-4</v>
      </c>
      <c r="BB295" s="3">
        <f t="shared" ca="1" si="155"/>
        <v>0.19325016269569914</v>
      </c>
      <c r="BC295" s="3">
        <f t="shared" ca="1" si="156"/>
        <v>0.70789964621713819</v>
      </c>
      <c r="BD295" s="3">
        <f t="shared" ca="1" si="150"/>
        <v>5.3072385222001056E-2</v>
      </c>
      <c r="BE295" s="3">
        <f t="shared" ca="1" si="157"/>
        <v>0.70789964621713819</v>
      </c>
      <c r="BF295" s="3">
        <f t="shared" ca="1" si="158"/>
        <v>0.70789964621713819</v>
      </c>
    </row>
    <row r="296" spans="1:58" ht="15" x14ac:dyDescent="0.25">
      <c r="A296" s="72">
        <v>230</v>
      </c>
      <c r="B296" s="72">
        <v>1498730240.658</v>
      </c>
      <c r="C296" s="73">
        <v>2.52595372974794E-4</v>
      </c>
      <c r="D296" s="73">
        <v>-3.02369194784492E-5</v>
      </c>
      <c r="E296" s="73">
        <v>1.38616979544009E-2</v>
      </c>
      <c r="F296" s="73">
        <v>4.0663820138199698E-4</v>
      </c>
      <c r="G296" s="73">
        <v>0.25619083861505698</v>
      </c>
      <c r="H296" s="73">
        <v>6.3105040172157101E-7</v>
      </c>
      <c r="I296" s="73">
        <v>0.18500816331926101</v>
      </c>
      <c r="J296" s="73">
        <v>2.2250059445404</v>
      </c>
      <c r="K296" s="73"/>
      <c r="L296" s="73"/>
      <c r="M296" s="73"/>
      <c r="O296" s="13">
        <f t="shared" ca="1" si="120"/>
        <v>-1.2091856296767586E-5</v>
      </c>
      <c r="P296" s="13">
        <f t="shared" ca="1" si="121"/>
        <v>-4.1524394863289375E-5</v>
      </c>
      <c r="Q296" s="13">
        <f t="shared" ca="1" si="122"/>
        <v>1.3020958336428214E-2</v>
      </c>
      <c r="R296" s="13">
        <f t="shared" ca="1" si="123"/>
        <v>3.9686192249131585E-4</v>
      </c>
      <c r="S296" s="13">
        <f t="shared" ca="1" si="124"/>
        <v>0.25505575998181562</v>
      </c>
      <c r="T296" s="13">
        <f t="shared" ca="1" si="125"/>
        <v>2.8122889069748439E-7</v>
      </c>
      <c r="U296" s="13">
        <f t="shared" ca="1" si="126"/>
        <v>0.18435431932447249</v>
      </c>
      <c r="V296" s="13">
        <f t="shared" ca="1" si="127"/>
        <v>2.2178671636179459</v>
      </c>
      <c r="X296" s="3">
        <f t="shared" ca="1" si="128"/>
        <v>-1.2091856296767586E-5</v>
      </c>
      <c r="Y296" s="3">
        <f t="shared" ca="1" si="129"/>
        <v>-4.1524394863289375E-5</v>
      </c>
      <c r="Z296" s="3">
        <f t="shared" ca="1" si="130"/>
        <v>1.3020956184816754E-2</v>
      </c>
      <c r="AA296" s="3">
        <f t="shared" ca="1" si="131"/>
        <v>3.9680984371394146E-4</v>
      </c>
      <c r="AB296" s="3">
        <f t="shared" ca="1" si="132"/>
        <v>0.2550553812492985</v>
      </c>
      <c r="AC296" s="3">
        <f t="shared" ca="1" si="133"/>
        <v>2.8122889069748439E-7</v>
      </c>
      <c r="AD296" s="3">
        <f t="shared" ca="1" si="134"/>
        <v>0.18435376002774365</v>
      </c>
      <c r="AE296" s="3">
        <f t="shared" ca="1" si="135"/>
        <v>2.2178669366683441</v>
      </c>
      <c r="AG296" s="3">
        <f t="shared" ca="1" si="136"/>
        <v>-1.2091856296767586E-5</v>
      </c>
      <c r="AH296" s="3">
        <f t="shared" ca="1" si="137"/>
        <v>-4.1524394863289375E-5</v>
      </c>
      <c r="AI296" s="3">
        <f t="shared" ca="1" si="138"/>
        <v>1.3020956184816754E-2</v>
      </c>
      <c r="AJ296" s="3">
        <f t="shared" ca="1" si="139"/>
        <v>3.9680984371394146E-4</v>
      </c>
      <c r="AK296" s="3">
        <f t="shared" ca="1" si="140"/>
        <v>0.2550553812492985</v>
      </c>
      <c r="AL296" s="3">
        <f t="shared" ca="1" si="141"/>
        <v>2.8122889069748439E-7</v>
      </c>
      <c r="AM296" s="3">
        <f t="shared" ca="1" si="142"/>
        <v>0.18435376002774365</v>
      </c>
      <c r="AN296" s="3">
        <f t="shared" ca="1" si="143"/>
        <v>2.2178669366683441</v>
      </c>
      <c r="AP296" s="3">
        <f t="shared" ca="1" si="144"/>
        <v>8.6956168477672104</v>
      </c>
      <c r="AQ296" s="3">
        <f t="shared" ca="1" si="151"/>
        <v>0.40060224703297365</v>
      </c>
      <c r="AR296" s="3">
        <f t="shared" ca="1" si="145"/>
        <v>1.5898377791184694E-4</v>
      </c>
      <c r="AS296" s="3">
        <f t="shared" ca="1" si="146"/>
        <v>0.18419533554656065</v>
      </c>
      <c r="AT296" s="3">
        <f t="shared" ca="1" si="147"/>
        <v>0.70865121130148423</v>
      </c>
      <c r="AU296" s="3">
        <f t="shared" ca="1" si="148"/>
        <v>5.3050764678050082E-2</v>
      </c>
      <c r="AV296" s="10">
        <f t="shared" ca="1" si="152"/>
        <v>0.70865121130148423</v>
      </c>
      <c r="AW296" s="10">
        <f t="shared" ca="1" si="153"/>
        <v>0.70865121130148423</v>
      </c>
      <c r="AY296" s="3">
        <f t="shared" ca="1" si="159"/>
        <v>8.6956288701101236</v>
      </c>
      <c r="AZ296" s="3">
        <f t="shared" ca="1" si="154"/>
        <v>0.40060280761333295</v>
      </c>
      <c r="BA296" s="3">
        <f t="shared" ca="1" si="149"/>
        <v>1.589631374804128E-4</v>
      </c>
      <c r="BB296" s="3">
        <f t="shared" ca="1" si="155"/>
        <v>0.18419479689026325</v>
      </c>
      <c r="BC296" s="3">
        <f t="shared" ca="1" si="156"/>
        <v>0.70864969781353648</v>
      </c>
      <c r="BD296" s="3">
        <f t="shared" ca="1" si="150"/>
        <v>5.3050909739164646E-2</v>
      </c>
      <c r="BE296" s="3">
        <f t="shared" ca="1" si="157"/>
        <v>0.70864969781353648</v>
      </c>
      <c r="BF296" s="3">
        <f t="shared" ca="1" si="158"/>
        <v>0.70864969781353648</v>
      </c>
    </row>
    <row r="297" spans="1:58" ht="15" x14ac:dyDescent="0.25">
      <c r="A297" s="72">
        <v>231</v>
      </c>
      <c r="B297" s="72">
        <v>1498730241.1849999</v>
      </c>
      <c r="C297" s="73">
        <v>3.35149706356355E-4</v>
      </c>
      <c r="D297" s="73">
        <v>1.7715620432701799E-5</v>
      </c>
      <c r="E297" s="73">
        <v>1.4516734578232901E-2</v>
      </c>
      <c r="F297" s="73">
        <v>4.8542993835786499E-4</v>
      </c>
      <c r="G297" s="73">
        <v>0.26878993270360702</v>
      </c>
      <c r="H297" s="73">
        <v>6.9133711748119606E-5</v>
      </c>
      <c r="I297" s="73">
        <v>0.193911042427306</v>
      </c>
      <c r="J297" s="73">
        <v>2.3294932646837099</v>
      </c>
      <c r="K297" s="73"/>
      <c r="L297" s="73"/>
      <c r="M297" s="73"/>
      <c r="O297" s="13">
        <f t="shared" ca="1" si="120"/>
        <v>7.0462477084793414E-5</v>
      </c>
      <c r="P297" s="13">
        <f t="shared" ca="1" si="121"/>
        <v>6.4281450478616256E-6</v>
      </c>
      <c r="Q297" s="13">
        <f t="shared" ca="1" si="122"/>
        <v>1.3675994960260215E-2</v>
      </c>
      <c r="R297" s="13">
        <f t="shared" ca="1" si="123"/>
        <v>4.7565365946718386E-4</v>
      </c>
      <c r="S297" s="13">
        <f t="shared" ca="1" si="124"/>
        <v>0.26765485407036566</v>
      </c>
      <c r="T297" s="13">
        <f t="shared" ca="1" si="125"/>
        <v>6.8783890237095516E-5</v>
      </c>
      <c r="U297" s="13">
        <f t="shared" ca="1" si="126"/>
        <v>0.19325719843251749</v>
      </c>
      <c r="V297" s="13">
        <f t="shared" ca="1" si="127"/>
        <v>2.3223544837612558</v>
      </c>
      <c r="X297" s="3">
        <f t="shared" ca="1" si="128"/>
        <v>7.0462477084793414E-5</v>
      </c>
      <c r="Y297" s="3">
        <f t="shared" ca="1" si="129"/>
        <v>6.4281450478616256E-6</v>
      </c>
      <c r="Z297" s="3">
        <f t="shared" ca="1" si="130"/>
        <v>1.3675468712028382E-2</v>
      </c>
      <c r="AA297" s="3">
        <f t="shared" ca="1" si="131"/>
        <v>4.6291606021940277E-4</v>
      </c>
      <c r="AB297" s="3">
        <f t="shared" ca="1" si="132"/>
        <v>0.26756222242137595</v>
      </c>
      <c r="AC297" s="3">
        <f t="shared" ca="1" si="133"/>
        <v>6.8783890237095516E-5</v>
      </c>
      <c r="AD297" s="3">
        <f t="shared" ca="1" si="134"/>
        <v>0.19312040379270856</v>
      </c>
      <c r="AE297" s="3">
        <f t="shared" ca="1" si="135"/>
        <v>2.3222989756786854</v>
      </c>
      <c r="AG297" s="3">
        <f t="shared" ca="1" si="136"/>
        <v>7.0462477084793414E-5</v>
      </c>
      <c r="AH297" s="3">
        <f t="shared" ca="1" si="137"/>
        <v>6.4281450478616256E-6</v>
      </c>
      <c r="AI297" s="3">
        <f t="shared" ca="1" si="138"/>
        <v>1.3670290875288857E-2</v>
      </c>
      <c r="AJ297" s="3">
        <f t="shared" ca="1" si="139"/>
        <v>4.600568448492481E-4</v>
      </c>
      <c r="AK297" s="3">
        <f t="shared" ca="1" si="140"/>
        <v>0.26756222242137595</v>
      </c>
      <c r="AL297" s="3">
        <f t="shared" ca="1" si="141"/>
        <v>6.8783890237095516E-5</v>
      </c>
      <c r="AM297" s="3">
        <f t="shared" ca="1" si="142"/>
        <v>0.19312040379270856</v>
      </c>
      <c r="AN297" s="3">
        <f t="shared" ca="1" si="143"/>
        <v>2.3222989756786854</v>
      </c>
      <c r="AP297" s="3">
        <f t="shared" ca="1" si="144"/>
        <v>8.6766761313834255</v>
      </c>
      <c r="AQ297" s="3">
        <f t="shared" ca="1" si="151"/>
        <v>0.39971908696778824</v>
      </c>
      <c r="AR297" s="3">
        <f t="shared" ca="1" si="145"/>
        <v>1.9012784647511001E-4</v>
      </c>
      <c r="AS297" s="3">
        <f t="shared" ca="1" si="146"/>
        <v>0.19306707058604239</v>
      </c>
      <c r="AT297" s="3">
        <f t="shared" ca="1" si="147"/>
        <v>0.70859654661316396</v>
      </c>
      <c r="AU297" s="3">
        <f t="shared" ca="1" si="148"/>
        <v>5.2978372945159911E-2</v>
      </c>
      <c r="AV297" s="10">
        <f t="shared" ca="1" si="152"/>
        <v>0.70859654661316396</v>
      </c>
      <c r="AW297" s="10">
        <f t="shared" ca="1" si="153"/>
        <v>0.70859654661316396</v>
      </c>
      <c r="AY297" s="3">
        <f t="shared" ca="1" si="159"/>
        <v>8.6794725901975962</v>
      </c>
      <c r="AZ297" s="3">
        <f t="shared" ca="1" si="154"/>
        <v>0.39984947764859885</v>
      </c>
      <c r="BA297" s="3">
        <f t="shared" ca="1" si="149"/>
        <v>1.8395348910163435E-4</v>
      </c>
      <c r="BB297" s="3">
        <f t="shared" ca="1" si="155"/>
        <v>0.19293645030360693</v>
      </c>
      <c r="BC297" s="3">
        <f t="shared" ca="1" si="156"/>
        <v>0.70824735354740209</v>
      </c>
      <c r="BD297" s="3">
        <f t="shared" ca="1" si="150"/>
        <v>5.2992080657579807E-2</v>
      </c>
      <c r="BE297" s="3">
        <f t="shared" ca="1" si="157"/>
        <v>0.70824735354740209</v>
      </c>
      <c r="BF297" s="3">
        <f t="shared" ca="1" si="158"/>
        <v>0.70824735354740209</v>
      </c>
    </row>
    <row r="298" spans="1:58" ht="15" x14ac:dyDescent="0.25">
      <c r="A298" s="72">
        <v>232</v>
      </c>
      <c r="B298" s="72">
        <v>1498730241.711</v>
      </c>
      <c r="C298" s="73">
        <v>2.6353878269735399E-4</v>
      </c>
      <c r="D298" s="73">
        <v>7.0855471180362303E-6</v>
      </c>
      <c r="E298" s="73">
        <v>1.5222508214444701E-2</v>
      </c>
      <c r="F298" s="73">
        <v>5.0733086034885396E-4</v>
      </c>
      <c r="G298" s="73">
        <v>0.279916488205884</v>
      </c>
      <c r="H298" s="73">
        <v>5.7504538620312201E-5</v>
      </c>
      <c r="I298" s="73">
        <v>0.20210338534929301</v>
      </c>
      <c r="J298" s="73">
        <v>2.4297977689836499</v>
      </c>
      <c r="K298" s="73"/>
      <c r="L298" s="73"/>
      <c r="M298" s="73"/>
      <c r="O298" s="13">
        <f t="shared" ca="1" si="120"/>
        <v>-1.1484465742075955E-6</v>
      </c>
      <c r="P298" s="13">
        <f t="shared" ca="1" si="121"/>
        <v>-4.2019282668039429E-6</v>
      </c>
      <c r="Q298" s="13">
        <f t="shared" ca="1" si="122"/>
        <v>1.4381768596472016E-2</v>
      </c>
      <c r="R298" s="13">
        <f t="shared" ca="1" si="123"/>
        <v>4.9755458145817283E-4</v>
      </c>
      <c r="S298" s="13">
        <f t="shared" ca="1" si="124"/>
        <v>0.27878140957264264</v>
      </c>
      <c r="T298" s="13">
        <f t="shared" ca="1" si="125"/>
        <v>5.7154717109288111E-5</v>
      </c>
      <c r="U298" s="13">
        <f t="shared" ca="1" si="126"/>
        <v>0.20144954135450449</v>
      </c>
      <c r="V298" s="13">
        <f t="shared" ca="1" si="127"/>
        <v>2.4226589880611957</v>
      </c>
      <c r="X298" s="3">
        <f t="shared" ca="1" si="128"/>
        <v>-1.1484465742075955E-6</v>
      </c>
      <c r="Y298" s="3">
        <f t="shared" ca="1" si="129"/>
        <v>-4.2019282668039429E-6</v>
      </c>
      <c r="Z298" s="3">
        <f t="shared" ca="1" si="130"/>
        <v>1.438133132011681E-2</v>
      </c>
      <c r="AA298" s="3">
        <f t="shared" ca="1" si="131"/>
        <v>4.8697050604241818E-4</v>
      </c>
      <c r="AB298" s="3">
        <f t="shared" ca="1" si="132"/>
        <v>0.27870443899602759</v>
      </c>
      <c r="AC298" s="3">
        <f t="shared" ca="1" si="133"/>
        <v>5.7154717109288111E-5</v>
      </c>
      <c r="AD298" s="3">
        <f t="shared" ca="1" si="134"/>
        <v>0.20133587434739866</v>
      </c>
      <c r="AE298" s="3">
        <f t="shared" ca="1" si="135"/>
        <v>2.4226128646339564</v>
      </c>
      <c r="AG298" s="3">
        <f t="shared" ca="1" si="136"/>
        <v>-1.1484465742075955E-6</v>
      </c>
      <c r="AH298" s="3">
        <f t="shared" ca="1" si="137"/>
        <v>-4.2019282668039429E-6</v>
      </c>
      <c r="AI298" s="3">
        <f t="shared" ca="1" si="138"/>
        <v>1.438133132011681E-2</v>
      </c>
      <c r="AJ298" s="3">
        <f t="shared" ca="1" si="139"/>
        <v>4.8697050604241818E-4</v>
      </c>
      <c r="AK298" s="3">
        <f t="shared" ca="1" si="140"/>
        <v>0.27870443899602759</v>
      </c>
      <c r="AL298" s="3">
        <f t="shared" ca="1" si="141"/>
        <v>5.7154717109288111E-5</v>
      </c>
      <c r="AM298" s="3">
        <f t="shared" ca="1" si="142"/>
        <v>0.20133587434739866</v>
      </c>
      <c r="AN298" s="3">
        <f t="shared" ca="1" si="143"/>
        <v>2.4226128646339564</v>
      </c>
      <c r="AP298" s="3">
        <f t="shared" ca="1" si="144"/>
        <v>8.6901741108741994</v>
      </c>
      <c r="AQ298" s="3">
        <f t="shared" ca="1" si="151"/>
        <v>0.40034846290656501</v>
      </c>
      <c r="AR298" s="3">
        <f t="shared" ca="1" si="145"/>
        <v>1.9919521189889878E-4</v>
      </c>
      <c r="AS298" s="3">
        <f t="shared" ca="1" si="146"/>
        <v>0.20125034614260559</v>
      </c>
      <c r="AT298" s="3">
        <f t="shared" ca="1" si="147"/>
        <v>0.70859617483979265</v>
      </c>
      <c r="AU298" s="3">
        <f t="shared" ca="1" si="148"/>
        <v>5.3574001064717131E-2</v>
      </c>
      <c r="AV298" s="10">
        <f t="shared" ca="1" si="152"/>
        <v>0.70859617483979265</v>
      </c>
      <c r="AW298" s="10">
        <f t="shared" ca="1" si="153"/>
        <v>0.70859617483979265</v>
      </c>
      <c r="AY298" s="3">
        <f t="shared" ca="1" si="159"/>
        <v>8.6924086080612675</v>
      </c>
      <c r="AZ298" s="3">
        <f t="shared" ca="1" si="154"/>
        <v>0.40045265288644</v>
      </c>
      <c r="BA298" s="3">
        <f t="shared" ca="1" si="149"/>
        <v>1.9500863102213853E-4</v>
      </c>
      <c r="BB298" s="3">
        <f t="shared" ca="1" si="155"/>
        <v>0.20114086571637652</v>
      </c>
      <c r="BC298" s="3">
        <f t="shared" ca="1" si="156"/>
        <v>0.70831457343816184</v>
      </c>
      <c r="BD298" s="3">
        <f t="shared" ca="1" si="150"/>
        <v>5.3601266612161511E-2</v>
      </c>
      <c r="BE298" s="3">
        <f t="shared" ca="1" si="157"/>
        <v>0.70831457343816184</v>
      </c>
      <c r="BF298" s="3">
        <f t="shared" ca="1" si="158"/>
        <v>0.70831457343816184</v>
      </c>
    </row>
    <row r="299" spans="1:58" ht="15" x14ac:dyDescent="0.25">
      <c r="A299" s="72">
        <v>233</v>
      </c>
      <c r="B299" s="72">
        <v>1498730242.2379999</v>
      </c>
      <c r="C299" s="73">
        <v>3.08027357012232E-4</v>
      </c>
      <c r="D299" s="73">
        <v>3.2361685777444797E-5</v>
      </c>
      <c r="E299" s="73">
        <v>1.4108945579903999E-2</v>
      </c>
      <c r="F299" s="73">
        <v>3.8616764942799698E-4</v>
      </c>
      <c r="G299" s="73">
        <v>0.26133549497577302</v>
      </c>
      <c r="H299" s="73">
        <v>-1.00937029131875E-4</v>
      </c>
      <c r="I299" s="73">
        <v>0.18879427554026601</v>
      </c>
      <c r="J299" s="73">
        <v>2.27022871296536</v>
      </c>
      <c r="K299" s="73"/>
      <c r="L299" s="73"/>
      <c r="M299" s="73"/>
      <c r="O299" s="13">
        <f t="shared" ca="1" si="120"/>
        <v>4.334012774067042E-5</v>
      </c>
      <c r="P299" s="13">
        <f t="shared" ca="1" si="121"/>
        <v>2.1074210392604626E-5</v>
      </c>
      <c r="Q299" s="13">
        <f t="shared" ca="1" si="122"/>
        <v>1.3268205961931314E-2</v>
      </c>
      <c r="R299" s="13">
        <f t="shared" ca="1" si="123"/>
        <v>3.7639137053731585E-4</v>
      </c>
      <c r="S299" s="13">
        <f t="shared" ca="1" si="124"/>
        <v>0.26020041634253166</v>
      </c>
      <c r="T299" s="13">
        <f t="shared" ca="1" si="125"/>
        <v>-1.0128685064289909E-4</v>
      </c>
      <c r="U299" s="13">
        <f t="shared" ca="1" si="126"/>
        <v>0.18814043154547749</v>
      </c>
      <c r="V299" s="13">
        <f t="shared" ca="1" si="127"/>
        <v>2.2630899320429059</v>
      </c>
      <c r="X299" s="3">
        <f t="shared" ca="1" si="128"/>
        <v>4.334012774067042E-5</v>
      </c>
      <c r="Y299" s="3">
        <f t="shared" ca="1" si="129"/>
        <v>2.1074210392604626E-5</v>
      </c>
      <c r="Z299" s="3">
        <f t="shared" ca="1" si="130"/>
        <v>1.3268205961931314E-2</v>
      </c>
      <c r="AA299" s="3">
        <f t="shared" ca="1" si="131"/>
        <v>3.7639137053731585E-4</v>
      </c>
      <c r="AB299" s="3">
        <f t="shared" ca="1" si="132"/>
        <v>0.26020041634253166</v>
      </c>
      <c r="AC299" s="3">
        <f t="shared" ca="1" si="133"/>
        <v>-1.0128685064289909E-4</v>
      </c>
      <c r="AD299" s="3">
        <f t="shared" ca="1" si="134"/>
        <v>0.18814043154547749</v>
      </c>
      <c r="AE299" s="3">
        <f t="shared" ca="1" si="135"/>
        <v>2.2630899320429059</v>
      </c>
      <c r="AG299" s="3">
        <f t="shared" ca="1" si="136"/>
        <v>4.334012774067042E-5</v>
      </c>
      <c r="AH299" s="3">
        <f t="shared" ca="1" si="137"/>
        <v>2.1074210392604626E-5</v>
      </c>
      <c r="AI299" s="3">
        <f t="shared" ca="1" si="138"/>
        <v>1.3251230797243076E-2</v>
      </c>
      <c r="AJ299" s="3">
        <f t="shared" ca="1" si="139"/>
        <v>3.6701763895226807E-4</v>
      </c>
      <c r="AK299" s="3">
        <f t="shared" ca="1" si="140"/>
        <v>0.26020041634253166</v>
      </c>
      <c r="AL299" s="3">
        <f t="shared" ca="1" si="141"/>
        <v>-1.0128685064289909E-4</v>
      </c>
      <c r="AM299" s="3">
        <f t="shared" ca="1" si="142"/>
        <v>0.18814043154547749</v>
      </c>
      <c r="AN299" s="3">
        <f t="shared" ca="1" si="143"/>
        <v>2.2630899320429059</v>
      </c>
      <c r="AP299" s="3">
        <f t="shared" ca="1" si="144"/>
        <v>8.6974877436926956</v>
      </c>
      <c r="AQ299" s="3">
        <f t="shared" ca="1" si="151"/>
        <v>0.40068948367870871</v>
      </c>
      <c r="AR299" s="3">
        <f t="shared" ca="1" si="145"/>
        <v>1.5081606392171863E-4</v>
      </c>
      <c r="AS299" s="3">
        <f t="shared" ca="1" si="146"/>
        <v>0.18798961548155577</v>
      </c>
      <c r="AT299" s="3">
        <f t="shared" ca="1" si="147"/>
        <v>0.70887206642008616</v>
      </c>
      <c r="AU299" s="3">
        <f t="shared" ca="1" si="148"/>
        <v>5.3000950043387424E-2</v>
      </c>
      <c r="AV299" s="10">
        <f t="shared" ca="1" si="152"/>
        <v>0.70887206642008616</v>
      </c>
      <c r="AW299" s="10">
        <f t="shared" ca="1" si="153"/>
        <v>0.70887206642008616</v>
      </c>
      <c r="AY299" s="3">
        <f t="shared" ca="1" si="159"/>
        <v>8.6974877436926956</v>
      </c>
      <c r="AZ299" s="3">
        <f t="shared" ca="1" si="154"/>
        <v>0.40068948367870871</v>
      </c>
      <c r="BA299" s="3">
        <f t="shared" ca="1" si="149"/>
        <v>1.4706010825276303E-4</v>
      </c>
      <c r="BB299" s="3">
        <f t="shared" ca="1" si="155"/>
        <v>0.18799337143722472</v>
      </c>
      <c r="BC299" s="3">
        <f t="shared" ca="1" si="156"/>
        <v>0.70888622939419299</v>
      </c>
      <c r="BD299" s="3">
        <f t="shared" ca="1" si="150"/>
        <v>5.2933141339015416E-2</v>
      </c>
      <c r="BE299" s="3">
        <f t="shared" ca="1" si="157"/>
        <v>0.70888622939419299</v>
      </c>
      <c r="BF299" s="3">
        <f t="shared" ca="1" si="158"/>
        <v>0.70888622939419299</v>
      </c>
    </row>
    <row r="300" spans="1:58" ht="15" x14ac:dyDescent="0.25">
      <c r="A300" s="72">
        <v>234</v>
      </c>
      <c r="B300" s="72">
        <v>1498730242.7650001</v>
      </c>
      <c r="C300" s="73">
        <v>2.6330088121076002E-4</v>
      </c>
      <c r="D300" s="73">
        <v>1.0628892235247599E-5</v>
      </c>
      <c r="E300" s="73">
        <v>1.4162021237537801E-2</v>
      </c>
      <c r="F300" s="73">
        <v>3.6212718803327998E-4</v>
      </c>
      <c r="G300" s="73">
        <v>0.262652853301791</v>
      </c>
      <c r="H300" s="73">
        <v>7.5524200656340899E-6</v>
      </c>
      <c r="I300" s="73">
        <v>0.189738114068532</v>
      </c>
      <c r="J300" s="73">
        <v>2.2808654703053501</v>
      </c>
      <c r="K300" s="73"/>
      <c r="L300" s="73"/>
      <c r="M300" s="73"/>
      <c r="O300" s="13">
        <f t="shared" ca="1" si="120"/>
        <v>-1.3863480608015651E-6</v>
      </c>
      <c r="P300" s="13">
        <f t="shared" ca="1" si="121"/>
        <v>-6.5858314959257377E-7</v>
      </c>
      <c r="Q300" s="13">
        <f t="shared" ca="1" si="122"/>
        <v>1.3321281619565115E-2</v>
      </c>
      <c r="R300" s="13">
        <f t="shared" ca="1" si="123"/>
        <v>3.5235090914259885E-4</v>
      </c>
      <c r="S300" s="13">
        <f t="shared" ca="1" si="124"/>
        <v>0.26151777466854964</v>
      </c>
      <c r="T300" s="13">
        <f t="shared" ca="1" si="125"/>
        <v>7.2025985546100034E-6</v>
      </c>
      <c r="U300" s="13">
        <f t="shared" ca="1" si="126"/>
        <v>0.18908427007374348</v>
      </c>
      <c r="V300" s="13">
        <f t="shared" ca="1" si="127"/>
        <v>2.273726689382896</v>
      </c>
      <c r="X300" s="3">
        <f t="shared" ca="1" si="128"/>
        <v>-1.3863480608015651E-6</v>
      </c>
      <c r="Y300" s="3">
        <f t="shared" ca="1" si="129"/>
        <v>-6.5858314959257377E-7</v>
      </c>
      <c r="Z300" s="3">
        <f t="shared" ca="1" si="130"/>
        <v>1.3321226514296411E-2</v>
      </c>
      <c r="AA300" s="3">
        <f t="shared" ca="1" si="131"/>
        <v>3.5101711116148683E-4</v>
      </c>
      <c r="AB300" s="3">
        <f t="shared" ca="1" si="132"/>
        <v>0.2615080748888654</v>
      </c>
      <c r="AC300" s="3">
        <f t="shared" ca="1" si="133"/>
        <v>7.2025985546100034E-6</v>
      </c>
      <c r="AD300" s="3">
        <f t="shared" ca="1" si="134"/>
        <v>0.18906994583486181</v>
      </c>
      <c r="AE300" s="3">
        <f t="shared" ca="1" si="135"/>
        <v>2.2737208769399837</v>
      </c>
      <c r="AG300" s="3">
        <f t="shared" ca="1" si="136"/>
        <v>-1.3863480608015651E-6</v>
      </c>
      <c r="AH300" s="3">
        <f t="shared" ca="1" si="137"/>
        <v>-6.5858314959257377E-7</v>
      </c>
      <c r="AI300" s="3">
        <f t="shared" ca="1" si="138"/>
        <v>1.3321226514296411E-2</v>
      </c>
      <c r="AJ300" s="3">
        <f t="shared" ca="1" si="139"/>
        <v>3.5101711116148683E-4</v>
      </c>
      <c r="AK300" s="3">
        <f t="shared" ca="1" si="140"/>
        <v>0.2615080748888654</v>
      </c>
      <c r="AL300" s="3">
        <f t="shared" ca="1" si="141"/>
        <v>7.2025985546100034E-6</v>
      </c>
      <c r="AM300" s="3">
        <f t="shared" ca="1" si="142"/>
        <v>0.18906994583486181</v>
      </c>
      <c r="AN300" s="3">
        <f t="shared" ca="1" si="143"/>
        <v>2.2737208769399837</v>
      </c>
      <c r="AP300" s="3">
        <f t="shared" ca="1" si="144"/>
        <v>8.6943485668025478</v>
      </c>
      <c r="AQ300" s="3">
        <f t="shared" ca="1" si="151"/>
        <v>0.40054310941153709</v>
      </c>
      <c r="AR300" s="3">
        <f t="shared" ca="1" si="145"/>
        <v>1.4113172875195853E-4</v>
      </c>
      <c r="AS300" s="3">
        <f t="shared" ca="1" si="146"/>
        <v>0.18894313834499152</v>
      </c>
      <c r="AT300" s="3">
        <f t="shared" ca="1" si="147"/>
        <v>0.70900754289325552</v>
      </c>
      <c r="AU300" s="3">
        <f t="shared" ca="1" si="148"/>
        <v>5.2925358892381383E-2</v>
      </c>
      <c r="AV300" s="10">
        <f t="shared" ca="1" si="152"/>
        <v>0.70900754289325552</v>
      </c>
      <c r="AW300" s="10">
        <f t="shared" ca="1" si="153"/>
        <v>0.70900754289325552</v>
      </c>
      <c r="AY300" s="3">
        <f t="shared" ca="1" si="159"/>
        <v>8.694648828363178</v>
      </c>
      <c r="AZ300" s="3">
        <f t="shared" ca="1" si="154"/>
        <v>0.40055711004941663</v>
      </c>
      <c r="BA300" s="3">
        <f t="shared" ca="1" si="149"/>
        <v>1.4060239962473999E-4</v>
      </c>
      <c r="BB300" s="3">
        <f t="shared" ca="1" si="155"/>
        <v>0.18892934343523707</v>
      </c>
      <c r="BC300" s="3">
        <f t="shared" ca="1" si="156"/>
        <v>0.70896974388652001</v>
      </c>
      <c r="BD300" s="3">
        <f t="shared" ca="1" si="150"/>
        <v>5.292897339331408E-2</v>
      </c>
      <c r="BE300" s="3">
        <f t="shared" ca="1" si="157"/>
        <v>0.70896974388652001</v>
      </c>
      <c r="BF300" s="3">
        <f t="shared" ca="1" si="158"/>
        <v>0.70896974388652001</v>
      </c>
    </row>
    <row r="301" spans="1:58" ht="15" x14ac:dyDescent="0.25">
      <c r="A301" s="72">
        <v>235</v>
      </c>
      <c r="B301" s="72">
        <v>1498730243.2920001</v>
      </c>
      <c r="C301" s="73">
        <v>2.0763349167229401E-4</v>
      </c>
      <c r="D301" s="73">
        <v>-2.5748849025094199E-5</v>
      </c>
      <c r="E301" s="73">
        <v>1.4418271065415499E-2</v>
      </c>
      <c r="F301" s="73">
        <v>3.8830989683816399E-4</v>
      </c>
      <c r="G301" s="73">
        <v>0.26578521609840899</v>
      </c>
      <c r="H301" s="73">
        <v>6.3649866772710003E-5</v>
      </c>
      <c r="I301" s="73">
        <v>0.191836152066198</v>
      </c>
      <c r="J301" s="73">
        <v>2.30733022572629</v>
      </c>
      <c r="K301" s="73"/>
      <c r="L301" s="73"/>
      <c r="M301" s="73"/>
      <c r="O301" s="13">
        <f t="shared" ca="1" si="120"/>
        <v>-5.7053737599267577E-5</v>
      </c>
      <c r="P301" s="13">
        <f t="shared" ca="1" si="121"/>
        <v>-3.703632440993437E-5</v>
      </c>
      <c r="Q301" s="13">
        <f t="shared" ca="1" si="122"/>
        <v>1.3577531447442814E-2</v>
      </c>
      <c r="R301" s="13">
        <f t="shared" ca="1" si="123"/>
        <v>3.7853361794748286E-4</v>
      </c>
      <c r="S301" s="13">
        <f t="shared" ca="1" si="124"/>
        <v>0.26465013746516763</v>
      </c>
      <c r="T301" s="13">
        <f t="shared" ca="1" si="125"/>
        <v>6.3300045261685913E-5</v>
      </c>
      <c r="U301" s="13">
        <f t="shared" ca="1" si="126"/>
        <v>0.19118230807140948</v>
      </c>
      <c r="V301" s="13">
        <f t="shared" ca="1" si="127"/>
        <v>2.3001914448038359</v>
      </c>
      <c r="X301" s="3">
        <f t="shared" ca="1" si="128"/>
        <v>-5.7053737599267577E-5</v>
      </c>
      <c r="Y301" s="3">
        <f t="shared" ca="1" si="129"/>
        <v>-3.703632440993437E-5</v>
      </c>
      <c r="Z301" s="3">
        <f t="shared" ca="1" si="130"/>
        <v>1.3577047154728647E-2</v>
      </c>
      <c r="AA301" s="3">
        <f t="shared" ca="1" si="131"/>
        <v>3.6681153293410975E-4</v>
      </c>
      <c r="AB301" s="3">
        <f t="shared" ca="1" si="132"/>
        <v>0.26456489094082153</v>
      </c>
      <c r="AC301" s="3">
        <f t="shared" ca="1" si="133"/>
        <v>6.3300045261685913E-5</v>
      </c>
      <c r="AD301" s="3">
        <f t="shared" ca="1" si="134"/>
        <v>0.19105641948235741</v>
      </c>
      <c r="AE301" s="3">
        <f t="shared" ca="1" si="135"/>
        <v>2.3001403621429541</v>
      </c>
      <c r="AG301" s="3">
        <f t="shared" ca="1" si="136"/>
        <v>-5.7053737599267577E-5</v>
      </c>
      <c r="AH301" s="3">
        <f t="shared" ca="1" si="137"/>
        <v>-3.703632440993437E-5</v>
      </c>
      <c r="AI301" s="3">
        <f t="shared" ca="1" si="138"/>
        <v>1.3577047154728647E-2</v>
      </c>
      <c r="AJ301" s="3">
        <f t="shared" ca="1" si="139"/>
        <v>3.6681153293410975E-4</v>
      </c>
      <c r="AK301" s="3">
        <f t="shared" ca="1" si="140"/>
        <v>0.26456489094082153</v>
      </c>
      <c r="AL301" s="3">
        <f t="shared" ca="1" si="141"/>
        <v>6.3300045261685913E-5</v>
      </c>
      <c r="AM301" s="3">
        <f t="shared" ca="1" si="142"/>
        <v>0.19105641948235741</v>
      </c>
      <c r="AN301" s="3">
        <f t="shared" ca="1" si="143"/>
        <v>2.3001403621429541</v>
      </c>
      <c r="AP301" s="3">
        <f t="shared" ca="1" si="144"/>
        <v>8.6914424713139606</v>
      </c>
      <c r="AQ301" s="3">
        <f t="shared" ca="1" si="151"/>
        <v>0.4004076038893204</v>
      </c>
      <c r="AR301" s="3">
        <f t="shared" ca="1" si="145"/>
        <v>1.5156773895390706E-4</v>
      </c>
      <c r="AS301" s="3">
        <f t="shared" ca="1" si="146"/>
        <v>0.19103074033245557</v>
      </c>
      <c r="AT301" s="3">
        <f t="shared" ca="1" si="147"/>
        <v>0.70847608220146296</v>
      </c>
      <c r="AU301" s="3">
        <f t="shared" ca="1" si="148"/>
        <v>5.3286739093535956E-2</v>
      </c>
      <c r="AV301" s="10">
        <f t="shared" ca="1" si="152"/>
        <v>0.70847608220146296</v>
      </c>
      <c r="AW301" s="10">
        <f t="shared" ca="1" si="153"/>
        <v>0.70847608220146296</v>
      </c>
      <c r="AY301" s="3">
        <f t="shared" ca="1" si="159"/>
        <v>8.694049894388499</v>
      </c>
      <c r="AZ301" s="3">
        <f t="shared" ca="1" si="154"/>
        <v>0.40052918287842365</v>
      </c>
      <c r="BA301" s="3">
        <f t="shared" ca="1" si="149"/>
        <v>1.4691872355648096E-4</v>
      </c>
      <c r="BB301" s="3">
        <f t="shared" ca="1" si="155"/>
        <v>0.19090950075880092</v>
      </c>
      <c r="BC301" s="3">
        <f t="shared" ca="1" si="156"/>
        <v>0.70814759966864982</v>
      </c>
      <c r="BD301" s="3">
        <f t="shared" ca="1" si="150"/>
        <v>5.3318369936648832E-2</v>
      </c>
      <c r="BE301" s="3">
        <f t="shared" ca="1" si="157"/>
        <v>0.70814759966864982</v>
      </c>
      <c r="BF301" s="3">
        <f t="shared" ca="1" si="158"/>
        <v>0.70814759966864982</v>
      </c>
    </row>
    <row r="302" spans="1:58" ht="15" x14ac:dyDescent="0.25">
      <c r="A302" s="72">
        <v>236</v>
      </c>
      <c r="B302" s="72">
        <v>1498730243.819</v>
      </c>
      <c r="C302" s="73">
        <v>2.9708345972891099E-4</v>
      </c>
      <c r="D302" s="73">
        <v>-1.25207337984591E-5</v>
      </c>
      <c r="E302" s="73">
        <v>1.49691913457362E-2</v>
      </c>
      <c r="F302" s="73">
        <v>5.2923226253472305E-4</v>
      </c>
      <c r="G302" s="73">
        <v>0.27506957726313502</v>
      </c>
      <c r="H302" s="73">
        <v>-4.12175899936257E-5</v>
      </c>
      <c r="I302" s="73">
        <v>0.19864830279846299</v>
      </c>
      <c r="J302" s="73">
        <v>2.3862617707794498</v>
      </c>
      <c r="K302" s="73"/>
      <c r="L302" s="73"/>
      <c r="M302" s="73"/>
      <c r="O302" s="13">
        <f t="shared" ca="1" si="120"/>
        <v>3.2396230457349404E-5</v>
      </c>
      <c r="P302" s="13">
        <f t="shared" ca="1" si="121"/>
        <v>-2.3808209183299273E-5</v>
      </c>
      <c r="Q302" s="13">
        <f t="shared" ca="1" si="122"/>
        <v>1.4128451727763515E-2</v>
      </c>
      <c r="R302" s="13">
        <f t="shared" ca="1" si="123"/>
        <v>5.1945598364404192E-4</v>
      </c>
      <c r="S302" s="13">
        <f t="shared" ca="1" si="124"/>
        <v>0.27393449862989366</v>
      </c>
      <c r="T302" s="13">
        <f t="shared" ca="1" si="125"/>
        <v>-4.156741150464979E-5</v>
      </c>
      <c r="U302" s="13">
        <f t="shared" ca="1" si="126"/>
        <v>0.19799445880367447</v>
      </c>
      <c r="V302" s="13">
        <f t="shared" ca="1" si="127"/>
        <v>2.3791229898569957</v>
      </c>
      <c r="X302" s="3">
        <f t="shared" ca="1" si="128"/>
        <v>3.2396230457349404E-5</v>
      </c>
      <c r="Y302" s="3">
        <f t="shared" ca="1" si="129"/>
        <v>-2.3808209183299273E-5</v>
      </c>
      <c r="Z302" s="3">
        <f t="shared" ca="1" si="130"/>
        <v>1.4128451727763515E-2</v>
      </c>
      <c r="AA302" s="3">
        <f t="shared" ca="1" si="131"/>
        <v>5.1945598364404192E-4</v>
      </c>
      <c r="AB302" s="3">
        <f t="shared" ca="1" si="132"/>
        <v>0.27393449862989366</v>
      </c>
      <c r="AC302" s="3">
        <f t="shared" ca="1" si="133"/>
        <v>-4.156741150464979E-5</v>
      </c>
      <c r="AD302" s="3">
        <f t="shared" ca="1" si="134"/>
        <v>0.19799445880367447</v>
      </c>
      <c r="AE302" s="3">
        <f t="shared" ca="1" si="135"/>
        <v>2.3791229898569957</v>
      </c>
      <c r="AG302" s="3">
        <f t="shared" ca="1" si="136"/>
        <v>3.2396230457349404E-5</v>
      </c>
      <c r="AH302" s="3">
        <f t="shared" ca="1" si="137"/>
        <v>-2.3808209183299273E-5</v>
      </c>
      <c r="AI302" s="3">
        <f t="shared" ca="1" si="138"/>
        <v>1.4128451727763515E-2</v>
      </c>
      <c r="AJ302" s="3">
        <f t="shared" ca="1" si="139"/>
        <v>5.1945598364404192E-4</v>
      </c>
      <c r="AK302" s="3">
        <f t="shared" ca="1" si="140"/>
        <v>0.27393449862989366</v>
      </c>
      <c r="AL302" s="3">
        <f t="shared" ca="1" si="141"/>
        <v>-4.156741150464979E-5</v>
      </c>
      <c r="AM302" s="3">
        <f t="shared" ca="1" si="142"/>
        <v>0.19799445880367447</v>
      </c>
      <c r="AN302" s="3">
        <f t="shared" ca="1" si="143"/>
        <v>2.3791229898569957</v>
      </c>
      <c r="AP302" s="3">
        <f t="shared" ca="1" si="144"/>
        <v>8.6850068237347919</v>
      </c>
      <c r="AQ302" s="3">
        <f t="shared" ca="1" si="151"/>
        <v>0.40010752424484547</v>
      </c>
      <c r="AR302" s="3">
        <f t="shared" ca="1" si="145"/>
        <v>2.0783824756998856E-4</v>
      </c>
      <c r="AS302" s="3">
        <f t="shared" ca="1" si="146"/>
        <v>0.19778662055610449</v>
      </c>
      <c r="AT302" s="3">
        <f t="shared" ca="1" si="147"/>
        <v>0.70893471391627305</v>
      </c>
      <c r="AU302" s="3">
        <f t="shared" ca="1" si="148"/>
        <v>5.3528998461076872E-2</v>
      </c>
      <c r="AV302" s="10">
        <f t="shared" ca="1" si="152"/>
        <v>0.70893471391627305</v>
      </c>
      <c r="AW302" s="10">
        <f t="shared" ca="1" si="153"/>
        <v>0.70893471391627305</v>
      </c>
      <c r="AY302" s="3">
        <f t="shared" ca="1" si="159"/>
        <v>8.6850068237347919</v>
      </c>
      <c r="AZ302" s="3">
        <f t="shared" ca="1" si="154"/>
        <v>0.40010752424484547</v>
      </c>
      <c r="BA302" s="3">
        <f t="shared" ca="1" si="149"/>
        <v>2.0783824756998856E-4</v>
      </c>
      <c r="BB302" s="3">
        <f t="shared" ca="1" si="155"/>
        <v>0.19778662055610449</v>
      </c>
      <c r="BC302" s="3">
        <f t="shared" ca="1" si="156"/>
        <v>0.70893471391627305</v>
      </c>
      <c r="BD302" s="3">
        <f t="shared" ca="1" si="150"/>
        <v>5.3528998461076872E-2</v>
      </c>
      <c r="BE302" s="3">
        <f t="shared" ca="1" si="157"/>
        <v>0.70893471391627305</v>
      </c>
      <c r="BF302" s="3">
        <f t="shared" ca="1" si="158"/>
        <v>0.70893471391627305</v>
      </c>
    </row>
    <row r="303" spans="1:58" ht="15" x14ac:dyDescent="0.25">
      <c r="A303" s="72">
        <v>237</v>
      </c>
      <c r="B303" s="72">
        <v>1498730244.346</v>
      </c>
      <c r="C303" s="73">
        <v>3.5751430294537502E-4</v>
      </c>
      <c r="D303" s="73">
        <v>-2.0552110505113001E-5</v>
      </c>
      <c r="E303" s="73">
        <v>1.48395446235609E-2</v>
      </c>
      <c r="F303" s="73">
        <v>4.77574289871502E-4</v>
      </c>
      <c r="G303" s="73">
        <v>0.27423072677197802</v>
      </c>
      <c r="H303" s="73">
        <v>4.1882937485286798E-5</v>
      </c>
      <c r="I303" s="73">
        <v>0.19800145782916401</v>
      </c>
      <c r="J303" s="73">
        <v>2.3806521671795</v>
      </c>
      <c r="K303" s="73"/>
      <c r="L303" s="73"/>
      <c r="M303" s="73"/>
      <c r="O303" s="13">
        <f t="shared" ca="1" si="120"/>
        <v>9.2827073673813439E-5</v>
      </c>
      <c r="P303" s="13">
        <f t="shared" ca="1" si="121"/>
        <v>-3.1839585889953175E-5</v>
      </c>
      <c r="Q303" s="13">
        <f t="shared" ca="1" si="122"/>
        <v>1.3998805005588215E-2</v>
      </c>
      <c r="R303" s="13">
        <f t="shared" ca="1" si="123"/>
        <v>4.6779801098082086E-4</v>
      </c>
      <c r="S303" s="13">
        <f t="shared" ca="1" si="124"/>
        <v>0.27309564813873666</v>
      </c>
      <c r="T303" s="13">
        <f t="shared" ca="1" si="125"/>
        <v>4.1533115974262708E-5</v>
      </c>
      <c r="U303" s="13">
        <f t="shared" ca="1" si="126"/>
        <v>0.19734761383437549</v>
      </c>
      <c r="V303" s="13">
        <f t="shared" ca="1" si="127"/>
        <v>2.3735133862570459</v>
      </c>
      <c r="X303" s="3">
        <f t="shared" ca="1" si="128"/>
        <v>9.2827073673813439E-5</v>
      </c>
      <c r="Y303" s="3">
        <f t="shared" ca="1" si="129"/>
        <v>-3.1839585889953175E-5</v>
      </c>
      <c r="Z303" s="3">
        <f t="shared" ca="1" si="130"/>
        <v>1.3998487246171459E-2</v>
      </c>
      <c r="AA303" s="3">
        <f t="shared" ca="1" si="131"/>
        <v>4.6010678873432942E-4</v>
      </c>
      <c r="AB303" s="3">
        <f t="shared" ca="1" si="132"/>
        <v>0.27303971525958259</v>
      </c>
      <c r="AC303" s="3">
        <f t="shared" ca="1" si="133"/>
        <v>4.1533115974262708E-5</v>
      </c>
      <c r="AD303" s="3">
        <f t="shared" ca="1" si="134"/>
        <v>0.19726501444053113</v>
      </c>
      <c r="AE303" s="3">
        <f t="shared" ca="1" si="135"/>
        <v>2.3734798693445396</v>
      </c>
      <c r="AG303" s="3">
        <f t="shared" ca="1" si="136"/>
        <v>9.2827073673813439E-5</v>
      </c>
      <c r="AH303" s="3">
        <f t="shared" ca="1" si="137"/>
        <v>-3.1839585889953175E-5</v>
      </c>
      <c r="AI303" s="3">
        <f t="shared" ca="1" si="138"/>
        <v>1.3998487246171459E-2</v>
      </c>
      <c r="AJ303" s="3">
        <f t="shared" ca="1" si="139"/>
        <v>4.6010678873432942E-4</v>
      </c>
      <c r="AK303" s="3">
        <f t="shared" ca="1" si="140"/>
        <v>0.27303971525958259</v>
      </c>
      <c r="AL303" s="3">
        <f t="shared" ca="1" si="141"/>
        <v>4.1533115974262708E-5</v>
      </c>
      <c r="AM303" s="3">
        <f t="shared" ca="1" si="142"/>
        <v>0.19726501444053113</v>
      </c>
      <c r="AN303" s="3">
        <f t="shared" ca="1" si="143"/>
        <v>2.3734798693445396</v>
      </c>
      <c r="AP303" s="3">
        <f t="shared" ca="1" si="144"/>
        <v>8.6911432036121852</v>
      </c>
      <c r="AQ303" s="3">
        <f t="shared" ca="1" si="151"/>
        <v>0.40039364965564711</v>
      </c>
      <c r="AR303" s="3">
        <f t="shared" ca="1" si="145"/>
        <v>1.8730335291826334E-4</v>
      </c>
      <c r="AS303" s="3">
        <f t="shared" ca="1" si="146"/>
        <v>0.19716031048145724</v>
      </c>
      <c r="AT303" s="3">
        <f t="shared" ca="1" si="147"/>
        <v>0.70860841099067384</v>
      </c>
      <c r="AU303" s="3">
        <f t="shared" ca="1" si="148"/>
        <v>5.3239177030086127E-2</v>
      </c>
      <c r="AV303" s="10">
        <f t="shared" ca="1" si="152"/>
        <v>0.70860841099067384</v>
      </c>
      <c r="AW303" s="10">
        <f t="shared" ca="1" si="153"/>
        <v>0.70860841099067384</v>
      </c>
      <c r="AY303" s="3">
        <f t="shared" ca="1" si="159"/>
        <v>8.6928008516564699</v>
      </c>
      <c r="AZ303" s="3">
        <f t="shared" ca="1" si="154"/>
        <v>0.40047094242711423</v>
      </c>
      <c r="BA303" s="3">
        <f t="shared" ca="1" si="149"/>
        <v>1.8425939930155006E-4</v>
      </c>
      <c r="BB303" s="3">
        <f t="shared" ca="1" si="155"/>
        <v>0.19708075504122957</v>
      </c>
      <c r="BC303" s="3">
        <f t="shared" ca="1" si="156"/>
        <v>0.70839954640564784</v>
      </c>
      <c r="BD303" s="3">
        <f t="shared" ca="1" si="150"/>
        <v>5.3259266715433268E-2</v>
      </c>
      <c r="BE303" s="3">
        <f t="shared" ca="1" si="157"/>
        <v>0.70839954640564784</v>
      </c>
      <c r="BF303" s="3">
        <f t="shared" ca="1" si="158"/>
        <v>0.70839954640564784</v>
      </c>
    </row>
    <row r="304" spans="1:58" ht="15" x14ac:dyDescent="0.25">
      <c r="A304" s="72">
        <v>238</v>
      </c>
      <c r="B304" s="72">
        <v>1498730244.8729999</v>
      </c>
      <c r="C304" s="73">
        <v>3.2420551182761099E-4</v>
      </c>
      <c r="D304" s="73">
        <v>-8.2688021629118999E-6</v>
      </c>
      <c r="E304" s="73">
        <v>1.47303939925177E-2</v>
      </c>
      <c r="F304" s="73">
        <v>4.7828843718092899E-4</v>
      </c>
      <c r="G304" s="73">
        <v>0.27061547668434399</v>
      </c>
      <c r="H304" s="73">
        <v>4.4789645212099901E-5</v>
      </c>
      <c r="I304" s="73">
        <v>0.195437244976674</v>
      </c>
      <c r="J304" s="73">
        <v>2.34993784873642</v>
      </c>
      <c r="K304" s="73"/>
      <c r="L304" s="73"/>
      <c r="M304" s="73"/>
      <c r="O304" s="13">
        <f t="shared" ca="1" si="120"/>
        <v>5.9518282556049408E-5</v>
      </c>
      <c r="P304" s="13">
        <f t="shared" ca="1" si="121"/>
        <v>-1.9556277547752075E-5</v>
      </c>
      <c r="Q304" s="13">
        <f t="shared" ca="1" si="122"/>
        <v>1.3889654374545014E-2</v>
      </c>
      <c r="R304" s="13">
        <f t="shared" ca="1" si="123"/>
        <v>4.6851215829024786E-4</v>
      </c>
      <c r="S304" s="13">
        <f t="shared" ca="1" si="124"/>
        <v>0.26948039805110263</v>
      </c>
      <c r="T304" s="13">
        <f t="shared" ca="1" si="125"/>
        <v>4.4439823701075812E-5</v>
      </c>
      <c r="U304" s="13">
        <f t="shared" ca="1" si="126"/>
        <v>0.19478340098188549</v>
      </c>
      <c r="V304" s="13">
        <f t="shared" ca="1" si="127"/>
        <v>2.3427990678139659</v>
      </c>
      <c r="X304" s="3">
        <f t="shared" ca="1" si="128"/>
        <v>5.9518282556049408E-5</v>
      </c>
      <c r="Y304" s="3">
        <f t="shared" ca="1" si="129"/>
        <v>-1.9556277547752075E-5</v>
      </c>
      <c r="Z304" s="3">
        <f t="shared" ca="1" si="130"/>
        <v>1.3889314376639036E-2</v>
      </c>
      <c r="AA304" s="3">
        <f t="shared" ca="1" si="131"/>
        <v>4.6028266352053984E-4</v>
      </c>
      <c r="AB304" s="3">
        <f t="shared" ca="1" si="132"/>
        <v>0.26942055069242526</v>
      </c>
      <c r="AC304" s="3">
        <f t="shared" ca="1" si="133"/>
        <v>4.4439823701075812E-5</v>
      </c>
      <c r="AD304" s="3">
        <f t="shared" ca="1" si="134"/>
        <v>0.19469502084439391</v>
      </c>
      <c r="AE304" s="3">
        <f t="shared" ca="1" si="135"/>
        <v>2.3427632052101655</v>
      </c>
      <c r="AG304" s="3">
        <f t="shared" ca="1" si="136"/>
        <v>5.9518282556049408E-5</v>
      </c>
      <c r="AH304" s="3">
        <f t="shared" ca="1" si="137"/>
        <v>-1.9556277547752075E-5</v>
      </c>
      <c r="AI304" s="3">
        <f t="shared" ca="1" si="138"/>
        <v>1.3889314376639036E-2</v>
      </c>
      <c r="AJ304" s="3">
        <f t="shared" ca="1" si="139"/>
        <v>4.6028266352053984E-4</v>
      </c>
      <c r="AK304" s="3">
        <f t="shared" ca="1" si="140"/>
        <v>0.26942055069242526</v>
      </c>
      <c r="AL304" s="3">
        <f t="shared" ca="1" si="141"/>
        <v>4.4439823701075812E-5</v>
      </c>
      <c r="AM304" s="3">
        <f t="shared" ca="1" si="142"/>
        <v>0.19469502084439391</v>
      </c>
      <c r="AN304" s="3">
        <f t="shared" ca="1" si="143"/>
        <v>2.3427632052101655</v>
      </c>
      <c r="AP304" s="3">
        <f t="shared" ca="1" si="144"/>
        <v>8.6937643136837419</v>
      </c>
      <c r="AQ304" s="3">
        <f t="shared" ca="1" si="151"/>
        <v>0.4005158667925266</v>
      </c>
      <c r="AR304" s="3">
        <f t="shared" ca="1" si="145"/>
        <v>1.8764655318045606E-4</v>
      </c>
      <c r="AS304" s="3">
        <f t="shared" ca="1" si="146"/>
        <v>0.19459575442870503</v>
      </c>
      <c r="AT304" s="3">
        <f t="shared" ca="1" si="147"/>
        <v>0.70866636569469377</v>
      </c>
      <c r="AU304" s="3">
        <f t="shared" ca="1" si="148"/>
        <v>5.3549252048488892E-2</v>
      </c>
      <c r="AV304" s="10">
        <f t="shared" ca="1" si="152"/>
        <v>0.70866636569469377</v>
      </c>
      <c r="AW304" s="10">
        <f t="shared" ca="1" si="153"/>
        <v>0.70866636569469377</v>
      </c>
      <c r="AY304" s="3">
        <f t="shared" ca="1" si="159"/>
        <v>8.6955623807803022</v>
      </c>
      <c r="AZ304" s="3">
        <f t="shared" ca="1" si="154"/>
        <v>0.40059970733485534</v>
      </c>
      <c r="BA304" s="3">
        <f t="shared" ca="1" si="149"/>
        <v>1.8438910029763595E-4</v>
      </c>
      <c r="BB304" s="3">
        <f t="shared" ca="1" si="155"/>
        <v>0.19451063174409627</v>
      </c>
      <c r="BC304" s="3">
        <f t="shared" ca="1" si="156"/>
        <v>0.70843993769653102</v>
      </c>
      <c r="BD304" s="3">
        <f t="shared" ca="1" si="150"/>
        <v>5.3571171007608519E-2</v>
      </c>
      <c r="BE304" s="3">
        <f t="shared" ca="1" si="157"/>
        <v>0.70843993769653102</v>
      </c>
      <c r="BF304" s="3">
        <f t="shared" ca="1" si="158"/>
        <v>0.70843993769653102</v>
      </c>
    </row>
    <row r="305" spans="1:58" ht="15" x14ac:dyDescent="0.25">
      <c r="A305" s="72">
        <v>239</v>
      </c>
      <c r="B305" s="72">
        <v>1498730245.3989999</v>
      </c>
      <c r="C305" s="73">
        <v>3.2039886358498201E-4</v>
      </c>
      <c r="D305" s="73">
        <v>-4.4892920784146004E-6</v>
      </c>
      <c r="E305" s="73">
        <v>1.42681809034547E-2</v>
      </c>
      <c r="F305" s="73">
        <v>4.4400994225263799E-4</v>
      </c>
      <c r="G305" s="73">
        <v>0.26315290461130603</v>
      </c>
      <c r="H305" s="73">
        <v>-2.9670829844660699E-5</v>
      </c>
      <c r="I305" s="73">
        <v>0.190002649660998</v>
      </c>
      <c r="J305" s="73">
        <v>2.2834298532108099</v>
      </c>
      <c r="K305" s="73"/>
      <c r="L305" s="73"/>
      <c r="M305" s="73"/>
      <c r="O305" s="13">
        <f t="shared" ca="1" si="120"/>
        <v>5.5711634313420429E-5</v>
      </c>
      <c r="P305" s="13">
        <f t="shared" ca="1" si="121"/>
        <v>-1.5776767463254774E-5</v>
      </c>
      <c r="Q305" s="13">
        <f t="shared" ca="1" si="122"/>
        <v>1.3427441285482015E-2</v>
      </c>
      <c r="R305" s="13">
        <f t="shared" ca="1" si="123"/>
        <v>4.3423366336195685E-4</v>
      </c>
      <c r="S305" s="13">
        <f t="shared" ca="1" si="124"/>
        <v>0.26201782597806467</v>
      </c>
      <c r="T305" s="13">
        <f t="shared" ca="1" si="125"/>
        <v>-3.0020651355684786E-5</v>
      </c>
      <c r="U305" s="13">
        <f t="shared" ca="1" si="126"/>
        <v>0.18934880566620949</v>
      </c>
      <c r="V305" s="13">
        <f t="shared" ca="1" si="127"/>
        <v>2.2762910722883558</v>
      </c>
      <c r="X305" s="3">
        <f t="shared" ca="1" si="128"/>
        <v>5.5711634313420429E-5</v>
      </c>
      <c r="Y305" s="3">
        <f t="shared" ca="1" si="129"/>
        <v>-1.5776767463254774E-5</v>
      </c>
      <c r="Z305" s="3">
        <f t="shared" ca="1" si="130"/>
        <v>1.3427441285482015E-2</v>
      </c>
      <c r="AA305" s="3">
        <f t="shared" ca="1" si="131"/>
        <v>4.3423366336195685E-4</v>
      </c>
      <c r="AB305" s="3">
        <f t="shared" ca="1" si="132"/>
        <v>0.26201782597806467</v>
      </c>
      <c r="AC305" s="3">
        <f t="shared" ca="1" si="133"/>
        <v>-3.0020651355684786E-5</v>
      </c>
      <c r="AD305" s="3">
        <f t="shared" ca="1" si="134"/>
        <v>0.18934880566620949</v>
      </c>
      <c r="AE305" s="3">
        <f t="shared" ca="1" si="135"/>
        <v>2.2762910722883558</v>
      </c>
      <c r="AG305" s="3">
        <f t="shared" ca="1" si="136"/>
        <v>5.5711634313420429E-5</v>
      </c>
      <c r="AH305" s="3">
        <f t="shared" ca="1" si="137"/>
        <v>-1.5776767463254774E-5</v>
      </c>
      <c r="AI305" s="3">
        <f t="shared" ca="1" si="138"/>
        <v>1.3427441285482015E-2</v>
      </c>
      <c r="AJ305" s="3">
        <f t="shared" ca="1" si="139"/>
        <v>4.3423366336195685E-4</v>
      </c>
      <c r="AK305" s="3">
        <f t="shared" ca="1" si="140"/>
        <v>0.26201782597806467</v>
      </c>
      <c r="AL305" s="3">
        <f t="shared" ca="1" si="141"/>
        <v>-3.0020651355684786E-5</v>
      </c>
      <c r="AM305" s="3">
        <f t="shared" ca="1" si="142"/>
        <v>0.18934880566620949</v>
      </c>
      <c r="AN305" s="3">
        <f t="shared" ca="1" si="143"/>
        <v>2.2762910722883558</v>
      </c>
      <c r="AP305" s="3">
        <f t="shared" ca="1" si="144"/>
        <v>8.6875427799287213</v>
      </c>
      <c r="AQ305" s="3">
        <f t="shared" ca="1" si="151"/>
        <v>0.40022576980634644</v>
      </c>
      <c r="AR305" s="3">
        <f t="shared" ca="1" si="145"/>
        <v>1.7379150219486907E-4</v>
      </c>
      <c r="AS305" s="3">
        <f t="shared" ca="1" si="146"/>
        <v>0.18917501416401461</v>
      </c>
      <c r="AT305" s="3">
        <f t="shared" ca="1" si="147"/>
        <v>0.70880234692917143</v>
      </c>
      <c r="AU305" s="3">
        <f t="shared" ca="1" si="148"/>
        <v>5.320267128008474E-2</v>
      </c>
      <c r="AV305" s="10">
        <f t="shared" ca="1" si="152"/>
        <v>0.70880234692917143</v>
      </c>
      <c r="AW305" s="10">
        <f t="shared" ca="1" si="153"/>
        <v>0.70880234692917143</v>
      </c>
      <c r="AY305" s="3">
        <f t="shared" ca="1" si="159"/>
        <v>8.6875427799287213</v>
      </c>
      <c r="AZ305" s="3">
        <f t="shared" ca="1" si="154"/>
        <v>0.40022576980634644</v>
      </c>
      <c r="BA305" s="3">
        <f t="shared" ca="1" si="149"/>
        <v>1.7379150219486907E-4</v>
      </c>
      <c r="BB305" s="3">
        <f t="shared" ca="1" si="155"/>
        <v>0.18917501416401461</v>
      </c>
      <c r="BC305" s="3">
        <f t="shared" ca="1" si="156"/>
        <v>0.70880234692917143</v>
      </c>
      <c r="BD305" s="3">
        <f t="shared" ca="1" si="150"/>
        <v>5.320267128008474E-2</v>
      </c>
      <c r="BE305" s="3">
        <f t="shared" ca="1" si="157"/>
        <v>0.70880234692917143</v>
      </c>
      <c r="BF305" s="3">
        <f t="shared" ca="1" si="158"/>
        <v>0.70880234692917143</v>
      </c>
    </row>
    <row r="306" spans="1:58" ht="15" x14ac:dyDescent="0.25">
      <c r="A306" s="72">
        <v>240</v>
      </c>
      <c r="B306" s="72">
        <v>1498730245.9260001</v>
      </c>
      <c r="C306" s="73">
        <v>2.6211137462781102E-4</v>
      </c>
      <c r="D306" s="73">
        <v>6.8032846187484098E-5</v>
      </c>
      <c r="E306" s="73">
        <v>1.4854725444766299E-2</v>
      </c>
      <c r="F306" s="73">
        <v>5.1518674285817205E-4</v>
      </c>
      <c r="G306" s="73">
        <v>0.273881501096504</v>
      </c>
      <c r="H306" s="73">
        <v>6.9630109228078699E-5</v>
      </c>
      <c r="I306" s="73">
        <v>0.19764757860145701</v>
      </c>
      <c r="J306" s="73">
        <v>2.3763906764256602</v>
      </c>
      <c r="K306" s="73"/>
      <c r="L306" s="73"/>
      <c r="M306" s="73"/>
      <c r="O306" s="13">
        <f t="shared" ca="1" si="120"/>
        <v>-2.575854643750567E-6</v>
      </c>
      <c r="P306" s="13">
        <f t="shared" ca="1" si="121"/>
        <v>5.6745370802643927E-5</v>
      </c>
      <c r="Q306" s="13">
        <f t="shared" ca="1" si="122"/>
        <v>1.4013985826793614E-2</v>
      </c>
      <c r="R306" s="13">
        <f t="shared" ca="1" si="123"/>
        <v>5.0541046396749092E-4</v>
      </c>
      <c r="S306" s="13">
        <f t="shared" ca="1" si="124"/>
        <v>0.27274642246326264</v>
      </c>
      <c r="T306" s="13">
        <f t="shared" ca="1" si="125"/>
        <v>6.9280287717054609E-5</v>
      </c>
      <c r="U306" s="13">
        <f t="shared" ca="1" si="126"/>
        <v>0.1969937346066685</v>
      </c>
      <c r="V306" s="13">
        <f t="shared" ca="1" si="127"/>
        <v>2.369251895503206</v>
      </c>
      <c r="X306" s="3">
        <f t="shared" ca="1" si="128"/>
        <v>-2.575854643750567E-6</v>
      </c>
      <c r="Y306" s="3">
        <f t="shared" ca="1" si="129"/>
        <v>5.6745370802643927E-5</v>
      </c>
      <c r="Z306" s="3">
        <f t="shared" ca="1" si="130"/>
        <v>1.4013455780749601E-2</v>
      </c>
      <c r="AA306" s="3">
        <f t="shared" ca="1" si="131"/>
        <v>4.9258094040217654E-4</v>
      </c>
      <c r="AB306" s="3">
        <f t="shared" ca="1" si="132"/>
        <v>0.27265312231301536</v>
      </c>
      <c r="AC306" s="3">
        <f t="shared" ca="1" si="133"/>
        <v>6.9280287717054609E-5</v>
      </c>
      <c r="AD306" s="3">
        <f t="shared" ca="1" si="134"/>
        <v>0.19685595275147763</v>
      </c>
      <c r="AE306" s="3">
        <f t="shared" ca="1" si="135"/>
        <v>2.3691959868315995</v>
      </c>
      <c r="AG306" s="3">
        <f t="shared" ca="1" si="136"/>
        <v>-2.575854643750567E-6</v>
      </c>
      <c r="AH306" s="3">
        <f t="shared" ca="1" si="137"/>
        <v>5.6745370802643927E-5</v>
      </c>
      <c r="AI306" s="3">
        <f t="shared" ca="1" si="138"/>
        <v>1.3967747685560042E-2</v>
      </c>
      <c r="AJ306" s="3">
        <f t="shared" ca="1" si="139"/>
        <v>4.673408073348588E-4</v>
      </c>
      <c r="AK306" s="3">
        <f t="shared" ca="1" si="140"/>
        <v>0.27265312231301536</v>
      </c>
      <c r="AL306" s="3">
        <f t="shared" ca="1" si="141"/>
        <v>6.9280287717054609E-5</v>
      </c>
      <c r="AM306" s="3">
        <f t="shared" ca="1" si="142"/>
        <v>0.19685595275147763</v>
      </c>
      <c r="AN306" s="3">
        <f t="shared" ca="1" si="143"/>
        <v>2.3691959868315995</v>
      </c>
      <c r="AP306" s="3">
        <f t="shared" ca="1" si="144"/>
        <v>8.6866470111897822</v>
      </c>
      <c r="AQ306" s="3">
        <f t="shared" ca="1" si="151"/>
        <v>0.40018400220836753</v>
      </c>
      <c r="AR306" s="3">
        <f t="shared" ca="1" si="145"/>
        <v>2.0225718222849844E-4</v>
      </c>
      <c r="AS306" s="3">
        <f t="shared" ca="1" si="146"/>
        <v>0.19679147742444</v>
      </c>
      <c r="AT306" s="3">
        <f t="shared" ca="1" si="147"/>
        <v>0.70837297815185618</v>
      </c>
      <c r="AU306" s="3">
        <f t="shared" ca="1" si="148"/>
        <v>5.3336904021177904E-2</v>
      </c>
      <c r="AV306" s="10">
        <f t="shared" ca="1" si="152"/>
        <v>0.70837297815185618</v>
      </c>
      <c r="AW306" s="10">
        <f t="shared" ca="1" si="153"/>
        <v>0.70837297815185618</v>
      </c>
      <c r="AY306" s="3">
        <f t="shared" ca="1" si="159"/>
        <v>8.689414471885927</v>
      </c>
      <c r="AZ306" s="3">
        <f t="shared" ca="1" si="154"/>
        <v>0.4003130425865058</v>
      </c>
      <c r="BA306" s="3">
        <f t="shared" ca="1" si="149"/>
        <v>1.8708262050905132E-4</v>
      </c>
      <c r="BB306" s="3">
        <f t="shared" ca="1" si="155"/>
        <v>0.19666887013096859</v>
      </c>
      <c r="BC306" s="3">
        <f t="shared" ca="1" si="156"/>
        <v>0.70806029780978552</v>
      </c>
      <c r="BD306" s="3">
        <f t="shared" ca="1" si="150"/>
        <v>5.3196450259761975E-2</v>
      </c>
      <c r="BE306" s="3">
        <f t="shared" ca="1" si="157"/>
        <v>0.70806029780978552</v>
      </c>
      <c r="BF306" s="3">
        <f t="shared" ca="1" si="158"/>
        <v>0.70806029780978552</v>
      </c>
    </row>
    <row r="307" spans="1:58" ht="15" x14ac:dyDescent="0.25">
      <c r="A307" s="72">
        <v>241</v>
      </c>
      <c r="B307" s="72">
        <v>1498730246.4530001</v>
      </c>
      <c r="C307" s="73">
        <v>2.9779718850442901E-4</v>
      </c>
      <c r="D307" s="73">
        <v>-9.9223332974867194E-6</v>
      </c>
      <c r="E307" s="73">
        <v>1.45439254393593E-2</v>
      </c>
      <c r="F307" s="73">
        <v>4.1949201819213398E-4</v>
      </c>
      <c r="G307" s="73">
        <v>0.268909713922447</v>
      </c>
      <c r="H307" s="73">
        <v>-2.5845226283281301E-5</v>
      </c>
      <c r="I307" s="73">
        <v>0.194130985675601</v>
      </c>
      <c r="J307" s="73">
        <v>2.3355586430806698</v>
      </c>
      <c r="K307" s="73"/>
      <c r="L307" s="73"/>
      <c r="M307" s="73"/>
      <c r="O307" s="13">
        <f t="shared" ca="1" si="120"/>
        <v>3.3109959232867424E-5</v>
      </c>
      <c r="P307" s="13">
        <f t="shared" ca="1" si="121"/>
        <v>-2.1209808682326893E-5</v>
      </c>
      <c r="Q307" s="13">
        <f t="shared" ca="1" si="122"/>
        <v>1.3703185821386615E-2</v>
      </c>
      <c r="R307" s="13">
        <f t="shared" ca="1" si="123"/>
        <v>4.0971573930145285E-4</v>
      </c>
      <c r="S307" s="13">
        <f t="shared" ca="1" si="124"/>
        <v>0.26777463528920564</v>
      </c>
      <c r="T307" s="13">
        <f t="shared" ca="1" si="125"/>
        <v>-2.6195047794305388E-5</v>
      </c>
      <c r="U307" s="13">
        <f t="shared" ca="1" si="126"/>
        <v>0.19347714168081248</v>
      </c>
      <c r="V307" s="13">
        <f t="shared" ca="1" si="127"/>
        <v>2.3284198621582157</v>
      </c>
      <c r="X307" s="3">
        <f t="shared" ca="1" si="128"/>
        <v>3.3109959232867424E-5</v>
      </c>
      <c r="Y307" s="3">
        <f t="shared" ca="1" si="129"/>
        <v>-2.1209808682326893E-5</v>
      </c>
      <c r="Z307" s="3">
        <f t="shared" ca="1" si="130"/>
        <v>1.3703185821386615E-2</v>
      </c>
      <c r="AA307" s="3">
        <f t="shared" ca="1" si="131"/>
        <v>4.0971573930145285E-4</v>
      </c>
      <c r="AB307" s="3">
        <f t="shared" ca="1" si="132"/>
        <v>0.26777463528920564</v>
      </c>
      <c r="AC307" s="3">
        <f t="shared" ca="1" si="133"/>
        <v>-2.6195047794305388E-5</v>
      </c>
      <c r="AD307" s="3">
        <f t="shared" ca="1" si="134"/>
        <v>0.19347714168081248</v>
      </c>
      <c r="AE307" s="3">
        <f t="shared" ca="1" si="135"/>
        <v>2.3284198621582157</v>
      </c>
      <c r="AG307" s="3">
        <f t="shared" ca="1" si="136"/>
        <v>3.3109959232867424E-5</v>
      </c>
      <c r="AH307" s="3">
        <f t="shared" ca="1" si="137"/>
        <v>-2.1209808682326893E-5</v>
      </c>
      <c r="AI307" s="3">
        <f t="shared" ca="1" si="138"/>
        <v>1.3703185821386615E-2</v>
      </c>
      <c r="AJ307" s="3">
        <f t="shared" ca="1" si="139"/>
        <v>4.0971573930145285E-4</v>
      </c>
      <c r="AK307" s="3">
        <f t="shared" ca="1" si="140"/>
        <v>0.26777463528920564</v>
      </c>
      <c r="AL307" s="3">
        <f t="shared" ca="1" si="141"/>
        <v>-2.6195047794305388E-5</v>
      </c>
      <c r="AM307" s="3">
        <f t="shared" ca="1" si="142"/>
        <v>0.19347714168081248</v>
      </c>
      <c r="AN307" s="3">
        <f t="shared" ca="1" si="143"/>
        <v>2.3284198621582157</v>
      </c>
      <c r="AP307" s="3">
        <f t="shared" ca="1" si="144"/>
        <v>8.6954459284145553</v>
      </c>
      <c r="AQ307" s="3">
        <f t="shared" ca="1" si="151"/>
        <v>0.40059427737010622</v>
      </c>
      <c r="AR307" s="3">
        <f t="shared" ca="1" si="145"/>
        <v>1.6412978051262434E-4</v>
      </c>
      <c r="AS307" s="3">
        <f t="shared" ca="1" si="146"/>
        <v>0.19331301190029987</v>
      </c>
      <c r="AT307" s="3">
        <f t="shared" ca="1" si="147"/>
        <v>0.70841050253103244</v>
      </c>
      <c r="AU307" s="3">
        <f t="shared" ca="1" si="148"/>
        <v>5.317741355323883E-2</v>
      </c>
      <c r="AV307" s="10">
        <f t="shared" ca="1" si="152"/>
        <v>0.70841050253103244</v>
      </c>
      <c r="AW307" s="10">
        <f t="shared" ca="1" si="153"/>
        <v>0.70841050253103244</v>
      </c>
      <c r="AY307" s="3">
        <f t="shared" ca="1" si="159"/>
        <v>8.6954459284145553</v>
      </c>
      <c r="AZ307" s="3">
        <f t="shared" ca="1" si="154"/>
        <v>0.40059427737010622</v>
      </c>
      <c r="BA307" s="3">
        <f t="shared" ca="1" si="149"/>
        <v>1.6412978051262434E-4</v>
      </c>
      <c r="BB307" s="3">
        <f t="shared" ca="1" si="155"/>
        <v>0.19331301190029987</v>
      </c>
      <c r="BC307" s="3">
        <f t="shared" ca="1" si="156"/>
        <v>0.70841050253103244</v>
      </c>
      <c r="BD307" s="3">
        <f t="shared" ca="1" si="150"/>
        <v>5.317741355323883E-2</v>
      </c>
      <c r="BE307" s="3">
        <f t="shared" ca="1" si="157"/>
        <v>0.70841050253103244</v>
      </c>
      <c r="BF307" s="3">
        <f t="shared" ca="1" si="158"/>
        <v>0.70841050253103244</v>
      </c>
    </row>
    <row r="308" spans="1:58" ht="15" x14ac:dyDescent="0.25">
      <c r="A308" s="72">
        <v>242</v>
      </c>
      <c r="B308" s="72">
        <v>1498730246.98</v>
      </c>
      <c r="C308" s="73">
        <v>4.2794226209854703E-4</v>
      </c>
      <c r="D308" s="73">
        <v>7.2048884962913902E-5</v>
      </c>
      <c r="E308" s="73">
        <v>1.43328472476979E-2</v>
      </c>
      <c r="F308" s="73">
        <v>4.0901852534862997E-4</v>
      </c>
      <c r="G308" s="73">
        <v>0.264575864689087</v>
      </c>
      <c r="H308" s="73">
        <v>1.6938546337019701E-4</v>
      </c>
      <c r="I308" s="73">
        <v>0.19102587452573899</v>
      </c>
      <c r="J308" s="73">
        <v>2.29646264743619</v>
      </c>
      <c r="K308" s="73"/>
      <c r="L308" s="73"/>
      <c r="M308" s="73"/>
      <c r="O308" s="13">
        <f t="shared" ca="1" si="120"/>
        <v>1.6325503282698544E-4</v>
      </c>
      <c r="P308" s="13">
        <f t="shared" ca="1" si="121"/>
        <v>6.076140957807373E-5</v>
      </c>
      <c r="Q308" s="13">
        <f t="shared" ca="1" si="122"/>
        <v>1.3492107629725214E-2</v>
      </c>
      <c r="R308" s="13">
        <f t="shared" ca="1" si="123"/>
        <v>3.9924224645794884E-4</v>
      </c>
      <c r="S308" s="13">
        <f t="shared" ca="1" si="124"/>
        <v>0.26344078605584564</v>
      </c>
      <c r="T308" s="13">
        <f t="shared" ca="1" si="125"/>
        <v>1.6903564185917293E-4</v>
      </c>
      <c r="U308" s="13">
        <f t="shared" ca="1" si="126"/>
        <v>0.19037203053095048</v>
      </c>
      <c r="V308" s="13">
        <f t="shared" ca="1" si="127"/>
        <v>2.2893238665137359</v>
      </c>
      <c r="X308" s="3">
        <f t="shared" ca="1" si="128"/>
        <v>1.6325503282698544E-4</v>
      </c>
      <c r="Y308" s="3">
        <f t="shared" ca="1" si="129"/>
        <v>6.076140957807373E-5</v>
      </c>
      <c r="Z308" s="3">
        <f t="shared" ca="1" si="130"/>
        <v>1.3490814380574308E-2</v>
      </c>
      <c r="AA308" s="3">
        <f t="shared" ca="1" si="131"/>
        <v>3.6793973860077604E-4</v>
      </c>
      <c r="AB308" s="3">
        <f t="shared" ca="1" si="132"/>
        <v>0.26321314481325991</v>
      </c>
      <c r="AC308" s="3">
        <f t="shared" ca="1" si="133"/>
        <v>1.6903564185917293E-4</v>
      </c>
      <c r="AD308" s="3">
        <f t="shared" ca="1" si="134"/>
        <v>0.19003585923178012</v>
      </c>
      <c r="AE308" s="3">
        <f t="shared" ca="1" si="135"/>
        <v>2.2891874560209109</v>
      </c>
      <c r="AG308" s="3">
        <f t="shared" ca="1" si="136"/>
        <v>1.6325503282698544E-4</v>
      </c>
      <c r="AH308" s="3">
        <f t="shared" ca="1" si="137"/>
        <v>6.076140957807373E-5</v>
      </c>
      <c r="AI308" s="3">
        <f t="shared" ca="1" si="138"/>
        <v>1.3441871387453237E-2</v>
      </c>
      <c r="AJ308" s="3">
        <f t="shared" ca="1" si="139"/>
        <v>3.4091328619742126E-4</v>
      </c>
      <c r="AK308" s="3">
        <f t="shared" ca="1" si="140"/>
        <v>0.26321314481325991</v>
      </c>
      <c r="AL308" s="3">
        <f t="shared" ca="1" si="141"/>
        <v>1.6903564185917293E-4</v>
      </c>
      <c r="AM308" s="3">
        <f t="shared" ca="1" si="142"/>
        <v>0.19003585923178012</v>
      </c>
      <c r="AN308" s="3">
        <f t="shared" ca="1" si="143"/>
        <v>2.2891874560209109</v>
      </c>
      <c r="AP308" s="3">
        <f t="shared" ca="1" si="144"/>
        <v>8.690088959985232</v>
      </c>
      <c r="AQ308" s="3">
        <f t="shared" ca="1" si="151"/>
        <v>0.400344492503246</v>
      </c>
      <c r="AR308" s="3">
        <f t="shared" ca="1" si="145"/>
        <v>1.5983443454406339E-4</v>
      </c>
      <c r="AS308" s="3">
        <f t="shared" ca="1" si="146"/>
        <v>0.19021219609640641</v>
      </c>
      <c r="AT308" s="3">
        <f t="shared" ca="1" si="147"/>
        <v>0.70873432445606699</v>
      </c>
      <c r="AU308" s="3">
        <f t="shared" ca="1" si="148"/>
        <v>5.3186085085436131E-2</v>
      </c>
      <c r="AV308" s="10">
        <f t="shared" ca="1" si="152"/>
        <v>0.70873432445606699</v>
      </c>
      <c r="AW308" s="10">
        <f t="shared" ca="1" si="153"/>
        <v>0.70873432445606699</v>
      </c>
      <c r="AY308" s="3">
        <f t="shared" ca="1" si="159"/>
        <v>8.6970863770690698</v>
      </c>
      <c r="AZ308" s="3">
        <f t="shared" ca="1" si="154"/>
        <v>0.40067076862708129</v>
      </c>
      <c r="BA308" s="3">
        <f t="shared" ca="1" si="149"/>
        <v>1.3659398841590491E-4</v>
      </c>
      <c r="BB308" s="3">
        <f t="shared" ca="1" si="155"/>
        <v>0.18989926524336423</v>
      </c>
      <c r="BC308" s="3">
        <f t="shared" ca="1" si="156"/>
        <v>0.70789328704675492</v>
      </c>
      <c r="BD308" s="3">
        <f t="shared" ca="1" si="150"/>
        <v>5.3077577210321497E-2</v>
      </c>
      <c r="BE308" s="3">
        <f t="shared" ca="1" si="157"/>
        <v>0.70789328704675492</v>
      </c>
      <c r="BF308" s="3">
        <f t="shared" ca="1" si="158"/>
        <v>0.70789328704675492</v>
      </c>
    </row>
    <row r="309" spans="1:58" ht="15" x14ac:dyDescent="0.25">
      <c r="A309" s="72">
        <v>243</v>
      </c>
      <c r="B309" s="72">
        <v>1498730247.506</v>
      </c>
      <c r="C309" s="73">
        <v>4.02244998784871E-4</v>
      </c>
      <c r="D309" s="73">
        <v>1.5426313345255101E-4</v>
      </c>
      <c r="E309" s="73">
        <v>1.54881854116587E-2</v>
      </c>
      <c r="F309" s="73">
        <v>4.4591427222125102E-4</v>
      </c>
      <c r="G309" s="73">
        <v>0.28702277692371903</v>
      </c>
      <c r="H309" s="73">
        <v>9.3767478135869898E-5</v>
      </c>
      <c r="I309" s="73">
        <v>0.20739677879789201</v>
      </c>
      <c r="J309" s="73">
        <v>2.4914253382454699</v>
      </c>
      <c r="K309" s="73"/>
      <c r="L309" s="73"/>
      <c r="M309" s="73"/>
      <c r="O309" s="13">
        <f t="shared" ca="1" si="120"/>
        <v>1.3755776951330942E-4</v>
      </c>
      <c r="P309" s="13">
        <f t="shared" ca="1" si="121"/>
        <v>1.4297565806771083E-4</v>
      </c>
      <c r="Q309" s="13">
        <f t="shared" ca="1" si="122"/>
        <v>1.4647445793686015E-2</v>
      </c>
      <c r="R309" s="13">
        <f t="shared" ca="1" si="123"/>
        <v>4.3613799333056989E-4</v>
      </c>
      <c r="S309" s="13">
        <f t="shared" ca="1" si="124"/>
        <v>0.28588769829047767</v>
      </c>
      <c r="T309" s="13">
        <f t="shared" ca="1" si="125"/>
        <v>9.3417656624845808E-5</v>
      </c>
      <c r="U309" s="13">
        <f t="shared" ca="1" si="126"/>
        <v>0.20674293480310349</v>
      </c>
      <c r="V309" s="13">
        <f t="shared" ca="1" si="127"/>
        <v>2.4842865573230157</v>
      </c>
      <c r="X309" s="3">
        <f t="shared" ca="1" si="128"/>
        <v>1.3755776951330942E-4</v>
      </c>
      <c r="Y309" s="3">
        <f t="shared" ca="1" si="129"/>
        <v>1.4297565806771083E-4</v>
      </c>
      <c r="Z309" s="3">
        <f t="shared" ca="1" si="130"/>
        <v>1.4646731078707677E-2</v>
      </c>
      <c r="AA309" s="3">
        <f t="shared" ca="1" si="131"/>
        <v>4.1883864215033702E-4</v>
      </c>
      <c r="AB309" s="3">
        <f t="shared" ca="1" si="132"/>
        <v>0.28576189221076792</v>
      </c>
      <c r="AC309" s="3">
        <f t="shared" ca="1" si="133"/>
        <v>9.3417656624845808E-5</v>
      </c>
      <c r="AD309" s="3">
        <f t="shared" ca="1" si="134"/>
        <v>0.20655714951754112</v>
      </c>
      <c r="AE309" s="3">
        <f t="shared" ca="1" si="135"/>
        <v>2.4842111699760716</v>
      </c>
      <c r="AG309" s="3">
        <f t="shared" ca="1" si="136"/>
        <v>1.3755776951330942E-4</v>
      </c>
      <c r="AH309" s="3">
        <f t="shared" ca="1" si="137"/>
        <v>1.4297565806771083E-4</v>
      </c>
      <c r="AI309" s="3">
        <f t="shared" ca="1" si="138"/>
        <v>1.453156494451362E-2</v>
      </c>
      <c r="AJ309" s="3">
        <f t="shared" ca="1" si="139"/>
        <v>3.5524359318031247E-4</v>
      </c>
      <c r="AK309" s="3">
        <f t="shared" ca="1" si="140"/>
        <v>0.28576189221076792</v>
      </c>
      <c r="AL309" s="3">
        <f t="shared" ca="1" si="141"/>
        <v>9.3417656624845808E-5</v>
      </c>
      <c r="AM309" s="3">
        <f t="shared" ca="1" si="142"/>
        <v>0.20655714951754112</v>
      </c>
      <c r="AN309" s="3">
        <f t="shared" ca="1" si="143"/>
        <v>2.4842111699760716</v>
      </c>
      <c r="AP309" s="3">
        <f t="shared" ca="1" si="144"/>
        <v>8.6897287717460436</v>
      </c>
      <c r="AQ309" s="3">
        <f t="shared" ca="1" si="151"/>
        <v>0.40032769770341248</v>
      </c>
      <c r="AR309" s="3">
        <f t="shared" ca="1" si="145"/>
        <v>1.7459811875101332E-4</v>
      </c>
      <c r="AS309" s="3">
        <f t="shared" ca="1" si="146"/>
        <v>0.20656833668435248</v>
      </c>
      <c r="AT309" s="3">
        <f t="shared" ca="1" si="147"/>
        <v>0.7092600035096478</v>
      </c>
      <c r="AU309" s="3">
        <f t="shared" ca="1" si="148"/>
        <v>5.3204608556055237E-2</v>
      </c>
      <c r="AV309" s="10">
        <f t="shared" ca="1" si="152"/>
        <v>0.7092600035096478</v>
      </c>
      <c r="AW309" s="10">
        <f t="shared" ca="1" si="153"/>
        <v>0.7092600035096478</v>
      </c>
      <c r="AY309" s="3">
        <f t="shared" ca="1" si="159"/>
        <v>8.6932905950377908</v>
      </c>
      <c r="AZ309" s="3">
        <f t="shared" ca="1" si="154"/>
        <v>0.4004937782034369</v>
      </c>
      <c r="BA309" s="3">
        <f t="shared" ca="1" si="149"/>
        <v>1.4227284881534804E-4</v>
      </c>
      <c r="BB309" s="3">
        <f t="shared" ca="1" si="155"/>
        <v>0.20641487666872577</v>
      </c>
      <c r="BC309" s="3">
        <f t="shared" ca="1" si="156"/>
        <v>0.70889879706861347</v>
      </c>
      <c r="BD309" s="3">
        <f t="shared" ca="1" si="150"/>
        <v>5.282907532284177E-2</v>
      </c>
      <c r="BE309" s="3">
        <f t="shared" ca="1" si="157"/>
        <v>0.70889879706861347</v>
      </c>
      <c r="BF309" s="3">
        <f t="shared" ca="1" si="158"/>
        <v>0.70889879706861347</v>
      </c>
    </row>
    <row r="310" spans="1:58" ht="15" x14ac:dyDescent="0.25">
      <c r="A310" s="72">
        <v>244</v>
      </c>
      <c r="B310" s="72">
        <v>1498730248.033</v>
      </c>
      <c r="C310" s="73">
        <v>3.0136584003425201E-4</v>
      </c>
      <c r="D310" s="73">
        <v>3.3306600643183E-5</v>
      </c>
      <c r="E310" s="73">
        <v>1.50063051737834E-2</v>
      </c>
      <c r="F310" s="73">
        <v>4.2496684224952803E-4</v>
      </c>
      <c r="G310" s="73">
        <v>0.27727007230059603</v>
      </c>
      <c r="H310" s="73">
        <v>3.6471489013728901E-5</v>
      </c>
      <c r="I310" s="73">
        <v>0.20031879580950601</v>
      </c>
      <c r="J310" s="73">
        <v>2.4089594626297401</v>
      </c>
      <c r="K310" s="73"/>
      <c r="L310" s="73"/>
      <c r="M310" s="73"/>
      <c r="O310" s="13">
        <f t="shared" ca="1" si="120"/>
        <v>3.6678610762690426E-5</v>
      </c>
      <c r="P310" s="13">
        <f t="shared" ca="1" si="121"/>
        <v>2.2019125258342829E-5</v>
      </c>
      <c r="Q310" s="13">
        <f t="shared" ca="1" si="122"/>
        <v>1.4165565555810715E-2</v>
      </c>
      <c r="R310" s="13">
        <f t="shared" ca="1" si="123"/>
        <v>4.1519056335884689E-4</v>
      </c>
      <c r="S310" s="13">
        <f t="shared" ca="1" si="124"/>
        <v>0.27613499366735467</v>
      </c>
      <c r="T310" s="13">
        <f t="shared" ca="1" si="125"/>
        <v>3.6121667502704811E-5</v>
      </c>
      <c r="U310" s="13">
        <f t="shared" ca="1" si="126"/>
        <v>0.1996649518147175</v>
      </c>
      <c r="V310" s="13">
        <f t="shared" ca="1" si="127"/>
        <v>2.401820681707286</v>
      </c>
      <c r="X310" s="3">
        <f t="shared" ca="1" si="128"/>
        <v>3.6678610762690426E-5</v>
      </c>
      <c r="Y310" s="3">
        <f t="shared" ca="1" si="129"/>
        <v>2.2019125258342829E-5</v>
      </c>
      <c r="Z310" s="3">
        <f t="shared" ca="1" si="130"/>
        <v>1.4165289198024195E-2</v>
      </c>
      <c r="AA310" s="3">
        <f t="shared" ca="1" si="131"/>
        <v>4.0850144875330348E-4</v>
      </c>
      <c r="AB310" s="3">
        <f t="shared" ca="1" si="132"/>
        <v>0.27608634841606833</v>
      </c>
      <c r="AC310" s="3">
        <f t="shared" ca="1" si="133"/>
        <v>3.6121667502704811E-5</v>
      </c>
      <c r="AD310" s="3">
        <f t="shared" ca="1" si="134"/>
        <v>0.19959311449236922</v>
      </c>
      <c r="AE310" s="3">
        <f t="shared" ca="1" si="135"/>
        <v>2.4017915317930343</v>
      </c>
      <c r="AG310" s="3">
        <f t="shared" ca="1" si="136"/>
        <v>3.6678610762690426E-5</v>
      </c>
      <c r="AH310" s="3">
        <f t="shared" ca="1" si="137"/>
        <v>2.2019125258342829E-5</v>
      </c>
      <c r="AI310" s="3">
        <f t="shared" ca="1" si="138"/>
        <v>1.4147552909423676E-2</v>
      </c>
      <c r="AJ310" s="3">
        <f t="shared" ca="1" si="139"/>
        <v>3.9870742249732184E-4</v>
      </c>
      <c r="AK310" s="3">
        <f t="shared" ca="1" si="140"/>
        <v>0.27608634841606833</v>
      </c>
      <c r="AL310" s="3">
        <f t="shared" ca="1" si="141"/>
        <v>3.6121667502704811E-5</v>
      </c>
      <c r="AM310" s="3">
        <f t="shared" ca="1" si="142"/>
        <v>0.19959311449236922</v>
      </c>
      <c r="AN310" s="3">
        <f t="shared" ca="1" si="143"/>
        <v>2.4017915317930343</v>
      </c>
      <c r="AP310" s="3">
        <f t="shared" ca="1" si="144"/>
        <v>8.6979945924587643</v>
      </c>
      <c r="AQ310" s="3">
        <f t="shared" ca="1" si="151"/>
        <v>0.4007131172004636</v>
      </c>
      <c r="AR310" s="3">
        <f t="shared" ca="1" si="145"/>
        <v>1.6637230487574013E-4</v>
      </c>
      <c r="AS310" s="3">
        <f t="shared" ca="1" si="146"/>
        <v>0.19949857950984176</v>
      </c>
      <c r="AT310" s="3">
        <f t="shared" ca="1" si="147"/>
        <v>0.70883900389566645</v>
      </c>
      <c r="AU310" s="3">
        <f t="shared" ca="1" si="148"/>
        <v>5.3323396541629695E-2</v>
      </c>
      <c r="AV310" s="10">
        <f t="shared" ca="1" si="152"/>
        <v>0.70883900389566645</v>
      </c>
      <c r="AW310" s="10">
        <f t="shared" ca="1" si="153"/>
        <v>0.70883900389566645</v>
      </c>
      <c r="AY310" s="3">
        <f t="shared" ca="1" si="159"/>
        <v>8.6994215598573543</v>
      </c>
      <c r="AZ310" s="3">
        <f t="shared" ca="1" si="154"/>
        <v>0.40077965442573538</v>
      </c>
      <c r="BA310" s="3">
        <f t="shared" ca="1" si="149"/>
        <v>1.5979382300545231E-4</v>
      </c>
      <c r="BB310" s="3">
        <f t="shared" ca="1" si="155"/>
        <v>0.19943332066936376</v>
      </c>
      <c r="BC310" s="3">
        <f t="shared" ca="1" si="156"/>
        <v>0.70867343928166127</v>
      </c>
      <c r="BD310" s="3">
        <f t="shared" ca="1" si="150"/>
        <v>5.3273916687148898E-2</v>
      </c>
      <c r="BE310" s="3">
        <f t="shared" ca="1" si="157"/>
        <v>0.70867343928166127</v>
      </c>
      <c r="BF310" s="3">
        <f t="shared" ca="1" si="158"/>
        <v>0.70867343928166127</v>
      </c>
    </row>
    <row r="311" spans="1:58" ht="15" x14ac:dyDescent="0.25">
      <c r="A311" s="72">
        <v>245</v>
      </c>
      <c r="B311" s="72">
        <v>1498730248.5599999</v>
      </c>
      <c r="C311" s="73">
        <v>3.4252520945271601E-4</v>
      </c>
      <c r="D311" s="73">
        <v>1.9369197628704099E-5</v>
      </c>
      <c r="E311" s="73">
        <v>1.4238503330107E-2</v>
      </c>
      <c r="F311" s="73">
        <v>4.2996562085787502E-4</v>
      </c>
      <c r="G311" s="73">
        <v>0.26340651724578301</v>
      </c>
      <c r="H311" s="73">
        <v>-3.8431378312665603E-5</v>
      </c>
      <c r="I311" s="73">
        <v>0.19023521268990501</v>
      </c>
      <c r="J311" s="73">
        <v>2.2884218264629301</v>
      </c>
      <c r="K311" s="73"/>
      <c r="L311" s="73"/>
      <c r="M311" s="73"/>
      <c r="O311" s="13">
        <f t="shared" ca="1" si="120"/>
        <v>7.7837980181154429E-5</v>
      </c>
      <c r="P311" s="13">
        <f t="shared" ca="1" si="121"/>
        <v>8.0817222438639257E-6</v>
      </c>
      <c r="Q311" s="13">
        <f t="shared" ca="1" si="122"/>
        <v>1.3397763712134315E-2</v>
      </c>
      <c r="R311" s="13">
        <f t="shared" ca="1" si="123"/>
        <v>4.2018934196719389E-4</v>
      </c>
      <c r="S311" s="13">
        <f t="shared" ca="1" si="124"/>
        <v>0.26227143861254165</v>
      </c>
      <c r="T311" s="13">
        <f t="shared" ca="1" si="125"/>
        <v>-3.8781199823689693E-5</v>
      </c>
      <c r="U311" s="13">
        <f t="shared" ca="1" si="126"/>
        <v>0.18958136869511649</v>
      </c>
      <c r="V311" s="13">
        <f t="shared" ca="1" si="127"/>
        <v>2.281283045540476</v>
      </c>
      <c r="X311" s="3">
        <f t="shared" ca="1" si="128"/>
        <v>7.7837980181154429E-5</v>
      </c>
      <c r="Y311" s="3">
        <f t="shared" ca="1" si="129"/>
        <v>8.0817222438639257E-6</v>
      </c>
      <c r="Z311" s="3">
        <f t="shared" ca="1" si="130"/>
        <v>1.3397763712134315E-2</v>
      </c>
      <c r="AA311" s="3">
        <f t="shared" ca="1" si="131"/>
        <v>4.2018934196719389E-4</v>
      </c>
      <c r="AB311" s="3">
        <f t="shared" ca="1" si="132"/>
        <v>0.26227143861254165</v>
      </c>
      <c r="AC311" s="3">
        <f t="shared" ca="1" si="133"/>
        <v>-3.8781199823689693E-5</v>
      </c>
      <c r="AD311" s="3">
        <f t="shared" ca="1" si="134"/>
        <v>0.18958136869511649</v>
      </c>
      <c r="AE311" s="3">
        <f t="shared" ca="1" si="135"/>
        <v>2.281283045540476</v>
      </c>
      <c r="AG311" s="3">
        <f t="shared" ca="1" si="136"/>
        <v>7.7837980181154429E-5</v>
      </c>
      <c r="AH311" s="3">
        <f t="shared" ca="1" si="137"/>
        <v>8.0817222438639257E-6</v>
      </c>
      <c r="AI311" s="3">
        <f t="shared" ca="1" si="138"/>
        <v>1.3391253927734405E-2</v>
      </c>
      <c r="AJ311" s="3">
        <f t="shared" ca="1" si="139"/>
        <v>4.1659462151752641E-4</v>
      </c>
      <c r="AK311" s="3">
        <f t="shared" ca="1" si="140"/>
        <v>0.26227143861254165</v>
      </c>
      <c r="AL311" s="3">
        <f t="shared" ca="1" si="141"/>
        <v>-3.8781199823689693E-5</v>
      </c>
      <c r="AM311" s="3">
        <f t="shared" ca="1" si="142"/>
        <v>0.18958136869511649</v>
      </c>
      <c r="AN311" s="3">
        <f t="shared" ca="1" si="143"/>
        <v>2.281283045540476</v>
      </c>
      <c r="AP311" s="3">
        <f t="shared" ca="1" si="144"/>
        <v>8.698175667197436</v>
      </c>
      <c r="AQ311" s="3">
        <f t="shared" ca="1" si="151"/>
        <v>0.40072156042083762</v>
      </c>
      <c r="AR311" s="3">
        <f t="shared" ca="1" si="145"/>
        <v>1.6837892878529889E-4</v>
      </c>
      <c r="AS311" s="3">
        <f t="shared" ca="1" si="146"/>
        <v>0.1894129897663312</v>
      </c>
      <c r="AT311" s="3">
        <f t="shared" ca="1" si="147"/>
        <v>0.70857112994354132</v>
      </c>
      <c r="AU311" s="3">
        <f t="shared" ca="1" si="148"/>
        <v>5.310016864329304E-2</v>
      </c>
      <c r="AV311" s="10">
        <f t="shared" ca="1" si="152"/>
        <v>0.70857112994354132</v>
      </c>
      <c r="AW311" s="10">
        <f t="shared" ca="1" si="153"/>
        <v>0.70857112994354132</v>
      </c>
      <c r="AY311" s="3">
        <f t="shared" ca="1" si="159"/>
        <v>8.698175667197436</v>
      </c>
      <c r="AZ311" s="3">
        <f t="shared" ca="1" si="154"/>
        <v>0.40072156042083762</v>
      </c>
      <c r="BA311" s="3">
        <f t="shared" ca="1" si="149"/>
        <v>1.6693844679743143E-4</v>
      </c>
      <c r="BB311" s="3">
        <f t="shared" ca="1" si="155"/>
        <v>0.18941443024831905</v>
      </c>
      <c r="BC311" s="3">
        <f t="shared" ca="1" si="156"/>
        <v>0.70857651861277171</v>
      </c>
      <c r="BD311" s="3">
        <f t="shared" ca="1" si="150"/>
        <v>5.3074368020376128E-2</v>
      </c>
      <c r="BE311" s="3">
        <f t="shared" ca="1" si="157"/>
        <v>0.70857651861277171</v>
      </c>
      <c r="BF311" s="3">
        <f t="shared" ca="1" si="158"/>
        <v>0.70857651861277171</v>
      </c>
    </row>
    <row r="312" spans="1:58" ht="15" x14ac:dyDescent="0.25">
      <c r="A312" s="72">
        <v>246</v>
      </c>
      <c r="B312" s="72">
        <v>1498730249.0869999</v>
      </c>
      <c r="C312" s="73">
        <v>2.8423642900097E-4</v>
      </c>
      <c r="D312" s="73">
        <v>8.4333339771825103E-5</v>
      </c>
      <c r="E312" s="73">
        <v>1.38879877586057E-2</v>
      </c>
      <c r="F312" s="73">
        <v>3.7736068056949001E-4</v>
      </c>
      <c r="G312" s="73">
        <v>0.25848744954855202</v>
      </c>
      <c r="H312" s="73">
        <v>-9.8327654114837906E-6</v>
      </c>
      <c r="I312" s="73">
        <v>0.186745466779699</v>
      </c>
      <c r="J312" s="73">
        <v>2.24409909442261</v>
      </c>
      <c r="K312" s="73"/>
      <c r="L312" s="73"/>
      <c r="M312" s="73"/>
      <c r="O312" s="13">
        <f t="shared" ca="1" si="120"/>
        <v>1.9549199729408412E-5</v>
      </c>
      <c r="P312" s="13">
        <f t="shared" ca="1" si="121"/>
        <v>7.3045864386984925E-5</v>
      </c>
      <c r="Q312" s="13">
        <f t="shared" ca="1" si="122"/>
        <v>1.3047248140633015E-2</v>
      </c>
      <c r="R312" s="13">
        <f t="shared" ca="1" si="123"/>
        <v>3.6758440167880888E-4</v>
      </c>
      <c r="S312" s="13">
        <f t="shared" ca="1" si="124"/>
        <v>0.25735237091531066</v>
      </c>
      <c r="T312" s="13">
        <f t="shared" ca="1" si="125"/>
        <v>-1.0182586922507877E-5</v>
      </c>
      <c r="U312" s="13">
        <f t="shared" ca="1" si="126"/>
        <v>0.18609162278491048</v>
      </c>
      <c r="V312" s="13">
        <f t="shared" ca="1" si="127"/>
        <v>2.2369603135001559</v>
      </c>
      <c r="X312" s="3">
        <f t="shared" ca="1" si="128"/>
        <v>1.9549199729408412E-5</v>
      </c>
      <c r="Y312" s="3">
        <f t="shared" ca="1" si="129"/>
        <v>7.3045864386984925E-5</v>
      </c>
      <c r="Z312" s="3">
        <f t="shared" ca="1" si="130"/>
        <v>1.3047248140633015E-2</v>
      </c>
      <c r="AA312" s="3">
        <f t="shared" ca="1" si="131"/>
        <v>3.6758440167880888E-4</v>
      </c>
      <c r="AB312" s="3">
        <f t="shared" ca="1" si="132"/>
        <v>0.25735237091531066</v>
      </c>
      <c r="AC312" s="3">
        <f t="shared" ca="1" si="133"/>
        <v>-1.0182586922507877E-5</v>
      </c>
      <c r="AD312" s="3">
        <f t="shared" ca="1" si="134"/>
        <v>0.18609162278491048</v>
      </c>
      <c r="AE312" s="3">
        <f t="shared" ca="1" si="135"/>
        <v>2.2369603135001559</v>
      </c>
      <c r="AG312" s="3">
        <f t="shared" ca="1" si="136"/>
        <v>1.9549199729408412E-5</v>
      </c>
      <c r="AH312" s="3">
        <f t="shared" ca="1" si="137"/>
        <v>7.3045864386984925E-5</v>
      </c>
      <c r="AI312" s="3">
        <f t="shared" ca="1" si="138"/>
        <v>1.2988410084323259E-2</v>
      </c>
      <c r="AJ312" s="3">
        <f t="shared" ca="1" si="139"/>
        <v>3.3509386877601143E-4</v>
      </c>
      <c r="AK312" s="3">
        <f t="shared" ca="1" si="140"/>
        <v>0.25735237091531066</v>
      </c>
      <c r="AL312" s="3">
        <f t="shared" ca="1" si="141"/>
        <v>-1.0182586922507877E-5</v>
      </c>
      <c r="AM312" s="3">
        <f t="shared" ca="1" si="142"/>
        <v>0.18609162278491048</v>
      </c>
      <c r="AN312" s="3">
        <f t="shared" ca="1" si="143"/>
        <v>2.2369603135001559</v>
      </c>
      <c r="AP312" s="3">
        <f t="shared" ca="1" si="144"/>
        <v>8.6922079075630254</v>
      </c>
      <c r="AQ312" s="3">
        <f t="shared" ca="1" si="151"/>
        <v>0.40044329462424688</v>
      </c>
      <c r="AR312" s="3">
        <f t="shared" ca="1" si="145"/>
        <v>1.4719670886074478E-4</v>
      </c>
      <c r="AS312" s="3">
        <f t="shared" ca="1" si="146"/>
        <v>0.18594442607604975</v>
      </c>
      <c r="AT312" s="3">
        <f t="shared" ca="1" si="147"/>
        <v>0.70913641721831877</v>
      </c>
      <c r="AU312" s="3">
        <f t="shared" ca="1" si="148"/>
        <v>5.2662362011280647E-2</v>
      </c>
      <c r="AV312" s="10">
        <f t="shared" ca="1" si="152"/>
        <v>0.70913641721831877</v>
      </c>
      <c r="AW312" s="10">
        <f t="shared" ca="1" si="153"/>
        <v>0.70913641721831877</v>
      </c>
      <c r="AY312" s="3">
        <f t="shared" ca="1" si="159"/>
        <v>8.6922079075630254</v>
      </c>
      <c r="AZ312" s="3">
        <f t="shared" ca="1" si="154"/>
        <v>0.40044329462424688</v>
      </c>
      <c r="BA312" s="3">
        <f t="shared" ca="1" si="149"/>
        <v>1.3418609282105106E-4</v>
      </c>
      <c r="BB312" s="3">
        <f t="shared" ca="1" si="155"/>
        <v>0.18595743669208942</v>
      </c>
      <c r="BC312" s="3">
        <f t="shared" ca="1" si="156"/>
        <v>0.70918603581586903</v>
      </c>
      <c r="BD312" s="3">
        <f t="shared" ca="1" si="150"/>
        <v>5.2424875072423813E-2</v>
      </c>
      <c r="BE312" s="3">
        <f t="shared" ca="1" si="157"/>
        <v>0.70918603581586903</v>
      </c>
      <c r="BF312" s="3">
        <f t="shared" ca="1" si="158"/>
        <v>0.70918603581586903</v>
      </c>
    </row>
    <row r="313" spans="1:58" ht="15" x14ac:dyDescent="0.25">
      <c r="A313" s="72">
        <v>247</v>
      </c>
      <c r="B313" s="72">
        <v>1498730249.6140001</v>
      </c>
      <c r="C313" s="73">
        <v>4.1771086507137397E-4</v>
      </c>
      <c r="D313" s="73">
        <v>3.5432662381292098E-5</v>
      </c>
      <c r="E313" s="73">
        <v>1.3540969105623499E-2</v>
      </c>
      <c r="F313" s="73">
        <v>3.8354935327760499E-4</v>
      </c>
      <c r="G313" s="73">
        <v>0.24986691203729</v>
      </c>
      <c r="H313" s="73">
        <v>1.2994906553471199E-4</v>
      </c>
      <c r="I313" s="73">
        <v>0.18046352841489799</v>
      </c>
      <c r="J313" s="73">
        <v>2.1697336726238099</v>
      </c>
      <c r="K313" s="73"/>
      <c r="L313" s="73"/>
      <c r="M313" s="73"/>
      <c r="O313" s="13">
        <f t="shared" ca="1" si="120"/>
        <v>1.5302363579981239E-4</v>
      </c>
      <c r="P313" s="13">
        <f t="shared" ca="1" si="121"/>
        <v>2.4145186996451926E-5</v>
      </c>
      <c r="Q313" s="13">
        <f t="shared" ca="1" si="122"/>
        <v>1.2700229487650814E-2</v>
      </c>
      <c r="R313" s="13">
        <f t="shared" ca="1" si="123"/>
        <v>3.7377307438692385E-4</v>
      </c>
      <c r="S313" s="13">
        <f t="shared" ca="1" si="124"/>
        <v>0.24873183340404864</v>
      </c>
      <c r="T313" s="13">
        <f t="shared" ca="1" si="125"/>
        <v>1.2959924402368791E-4</v>
      </c>
      <c r="U313" s="13">
        <f t="shared" ca="1" si="126"/>
        <v>0.17980968442010947</v>
      </c>
      <c r="V313" s="13">
        <f t="shared" ca="1" si="127"/>
        <v>2.1625948917013558</v>
      </c>
      <c r="X313" s="3">
        <f t="shared" ca="1" si="128"/>
        <v>1.5302363579981239E-4</v>
      </c>
      <c r="Y313" s="3">
        <f t="shared" ca="1" si="129"/>
        <v>2.4145186996451926E-5</v>
      </c>
      <c r="Z313" s="3">
        <f t="shared" ca="1" si="130"/>
        <v>1.2699237956453911E-2</v>
      </c>
      <c r="AA313" s="3">
        <f t="shared" ca="1" si="131"/>
        <v>3.4977351246190136E-4</v>
      </c>
      <c r="AB313" s="3">
        <f t="shared" ca="1" si="132"/>
        <v>0.24855730137859389</v>
      </c>
      <c r="AC313" s="3">
        <f t="shared" ca="1" si="133"/>
        <v>1.2959924402368791E-4</v>
      </c>
      <c r="AD313" s="3">
        <f t="shared" ca="1" si="134"/>
        <v>0.17955194264591468</v>
      </c>
      <c r="AE313" s="3">
        <f t="shared" ca="1" si="135"/>
        <v>2.1624903060852541</v>
      </c>
      <c r="AG313" s="3">
        <f t="shared" ca="1" si="136"/>
        <v>1.5302363579981239E-4</v>
      </c>
      <c r="AH313" s="3">
        <f t="shared" ca="1" si="137"/>
        <v>2.4145186996451926E-5</v>
      </c>
      <c r="AI313" s="3">
        <f t="shared" ca="1" si="138"/>
        <v>1.2679789136400521E-2</v>
      </c>
      <c r="AJ313" s="3">
        <f t="shared" ca="1" si="139"/>
        <v>3.3903382173285036E-4</v>
      </c>
      <c r="AK313" s="3">
        <f t="shared" ca="1" si="140"/>
        <v>0.24855730137859389</v>
      </c>
      <c r="AL313" s="3">
        <f t="shared" ca="1" si="141"/>
        <v>1.2959924402368791E-4</v>
      </c>
      <c r="AM313" s="3">
        <f t="shared" ca="1" si="142"/>
        <v>0.17955194264591468</v>
      </c>
      <c r="AN313" s="3">
        <f t="shared" ca="1" si="143"/>
        <v>2.1624903060852541</v>
      </c>
      <c r="AP313" s="3">
        <f t="shared" ca="1" si="144"/>
        <v>8.6944837824130108</v>
      </c>
      <c r="AQ313" s="3">
        <f t="shared" ca="1" si="151"/>
        <v>0.40054941426313329</v>
      </c>
      <c r="AR313" s="3">
        <f t="shared" ca="1" si="145"/>
        <v>1.4971458601301289E-4</v>
      </c>
      <c r="AS313" s="3">
        <f t="shared" ca="1" si="146"/>
        <v>0.17965996983409646</v>
      </c>
      <c r="AT313" s="3">
        <f t="shared" ca="1" si="147"/>
        <v>0.7088224968357526</v>
      </c>
      <c r="AU313" s="3">
        <f t="shared" ca="1" si="148"/>
        <v>5.3052532828755924E-2</v>
      </c>
      <c r="AV313" s="10">
        <f t="shared" ca="1" si="152"/>
        <v>0.7088224968357526</v>
      </c>
      <c r="AW313" s="10">
        <f t="shared" ca="1" si="153"/>
        <v>0.7088224968357526</v>
      </c>
      <c r="AY313" s="3">
        <f t="shared" ca="1" si="159"/>
        <v>8.7001681064738605</v>
      </c>
      <c r="AZ313" s="3">
        <f t="shared" ca="1" si="154"/>
        <v>0.40081446476247645</v>
      </c>
      <c r="BA313" s="3">
        <f t="shared" ca="1" si="149"/>
        <v>1.3588965979422927E-4</v>
      </c>
      <c r="BB313" s="3">
        <f t="shared" ca="1" si="155"/>
        <v>0.17941605298612046</v>
      </c>
      <c r="BC313" s="3">
        <f t="shared" ca="1" si="156"/>
        <v>0.70812409727939396</v>
      </c>
      <c r="BD313" s="3">
        <f t="shared" ca="1" si="150"/>
        <v>5.3039799479217151E-2</v>
      </c>
      <c r="BE313" s="3">
        <f t="shared" ca="1" si="157"/>
        <v>0.70812409727939396</v>
      </c>
      <c r="BF313" s="3">
        <f t="shared" ca="1" si="158"/>
        <v>0.70812409727939396</v>
      </c>
    </row>
    <row r="314" spans="1:58" ht="15" x14ac:dyDescent="0.25">
      <c r="A314" s="72">
        <v>248</v>
      </c>
      <c r="B314" s="72">
        <v>1498730250.141</v>
      </c>
      <c r="C314" s="73">
        <v>3.7321740410907098E-4</v>
      </c>
      <c r="D314" s="73">
        <v>-5.5983878712520603E-5</v>
      </c>
      <c r="E314" s="73">
        <v>1.4805328369212899E-2</v>
      </c>
      <c r="F314" s="73">
        <v>4.7043284485877502E-4</v>
      </c>
      <c r="G314" s="73">
        <v>0.27523893923612502</v>
      </c>
      <c r="H314" s="73">
        <v>-3.0538504021311698E-6</v>
      </c>
      <c r="I314" s="73">
        <v>0.19860026117728</v>
      </c>
      <c r="J314" s="73">
        <v>2.3860152047454402</v>
      </c>
      <c r="K314" s="73"/>
      <c r="L314" s="73"/>
      <c r="M314" s="73"/>
      <c r="O314" s="13">
        <f t="shared" ca="1" si="120"/>
        <v>1.085301748375094E-4</v>
      </c>
      <c r="P314" s="13">
        <f t="shared" ca="1" si="121"/>
        <v>-6.7271354097360781E-5</v>
      </c>
      <c r="Q314" s="13">
        <f t="shared" ca="1" si="122"/>
        <v>1.3964588751240214E-2</v>
      </c>
      <c r="R314" s="13">
        <f t="shared" ca="1" si="123"/>
        <v>4.6065656596809389E-4</v>
      </c>
      <c r="S314" s="13">
        <f t="shared" ca="1" si="124"/>
        <v>0.27410386060288366</v>
      </c>
      <c r="T314" s="13">
        <f t="shared" ca="1" si="125"/>
        <v>-3.4036719131552563E-6</v>
      </c>
      <c r="U314" s="13">
        <f t="shared" ca="1" si="126"/>
        <v>0.19794641718249148</v>
      </c>
      <c r="V314" s="13">
        <f t="shared" ca="1" si="127"/>
        <v>2.378876423822986</v>
      </c>
      <c r="X314" s="3">
        <f t="shared" ca="1" si="128"/>
        <v>1.085301748375094E-4</v>
      </c>
      <c r="Y314" s="3">
        <f t="shared" ca="1" si="129"/>
        <v>-6.7271354097360781E-5</v>
      </c>
      <c r="Z314" s="3">
        <f t="shared" ca="1" si="130"/>
        <v>1.3964588751240214E-2</v>
      </c>
      <c r="AA314" s="3">
        <f t="shared" ca="1" si="131"/>
        <v>4.6065656596809389E-4</v>
      </c>
      <c r="AB314" s="3">
        <f t="shared" ca="1" si="132"/>
        <v>0.27410386060288366</v>
      </c>
      <c r="AC314" s="3">
        <f t="shared" ca="1" si="133"/>
        <v>-3.4036719131552563E-6</v>
      </c>
      <c r="AD314" s="3">
        <f t="shared" ca="1" si="134"/>
        <v>0.19794641718249148</v>
      </c>
      <c r="AE314" s="3">
        <f t="shared" ca="1" si="135"/>
        <v>2.378876423822986</v>
      </c>
      <c r="AG314" s="3">
        <f t="shared" ca="1" si="136"/>
        <v>1.085301748375094E-4</v>
      </c>
      <c r="AH314" s="3">
        <f t="shared" ca="1" si="137"/>
        <v>-6.7271354097360781E-5</v>
      </c>
      <c r="AI314" s="3">
        <f t="shared" ca="1" si="138"/>
        <v>1.3964588751240214E-2</v>
      </c>
      <c r="AJ314" s="3">
        <f t="shared" ca="1" si="139"/>
        <v>4.6065656596809389E-4</v>
      </c>
      <c r="AK314" s="3">
        <f t="shared" ca="1" si="140"/>
        <v>0.27410386060288366</v>
      </c>
      <c r="AL314" s="3">
        <f t="shared" ca="1" si="141"/>
        <v>-3.4036719131552563E-6</v>
      </c>
      <c r="AM314" s="3">
        <f t="shared" ca="1" si="142"/>
        <v>0.19794641718249148</v>
      </c>
      <c r="AN314" s="3">
        <f t="shared" ca="1" si="143"/>
        <v>2.378876423822986</v>
      </c>
      <c r="AP314" s="3">
        <f t="shared" ca="1" si="144"/>
        <v>8.6787410384907204</v>
      </c>
      <c r="AQ314" s="3">
        <f t="shared" ca="1" si="151"/>
        <v>0.39981536748675245</v>
      </c>
      <c r="AR314" s="3">
        <f t="shared" ca="1" si="145"/>
        <v>1.8417757420771888E-4</v>
      </c>
      <c r="AS314" s="3">
        <f t="shared" ca="1" si="146"/>
        <v>0.19776223960828376</v>
      </c>
      <c r="AT314" s="3">
        <f t="shared" ca="1" si="147"/>
        <v>0.70866686169073234</v>
      </c>
      <c r="AU314" s="3">
        <f t="shared" ca="1" si="148"/>
        <v>5.2836440435062387E-2</v>
      </c>
      <c r="AV314" s="10">
        <f t="shared" ca="1" si="152"/>
        <v>0.70866686169073234</v>
      </c>
      <c r="AW314" s="10">
        <f t="shared" ca="1" si="153"/>
        <v>0.70866686169073234</v>
      </c>
      <c r="AY314" s="3">
        <f t="shared" ca="1" si="159"/>
        <v>8.6787410384907204</v>
      </c>
      <c r="AZ314" s="3">
        <f t="shared" ca="1" si="154"/>
        <v>0.39981536748675245</v>
      </c>
      <c r="BA314" s="3">
        <f t="shared" ca="1" si="149"/>
        <v>1.8417757420771888E-4</v>
      </c>
      <c r="BB314" s="3">
        <f t="shared" ca="1" si="155"/>
        <v>0.19776223960828376</v>
      </c>
      <c r="BC314" s="3">
        <f t="shared" ca="1" si="156"/>
        <v>0.70866686169073234</v>
      </c>
      <c r="BD314" s="3">
        <f t="shared" ca="1" si="150"/>
        <v>5.2836440435062387E-2</v>
      </c>
      <c r="BE314" s="3">
        <f t="shared" ca="1" si="157"/>
        <v>0.70866686169073234</v>
      </c>
      <c r="BF314" s="3">
        <f t="shared" ca="1" si="158"/>
        <v>0.70866686169073234</v>
      </c>
    </row>
    <row r="315" spans="1:58" ht="15" x14ac:dyDescent="0.25">
      <c r="A315" s="72">
        <v>249</v>
      </c>
      <c r="B315" s="72">
        <v>1498730250.668</v>
      </c>
      <c r="C315" s="73">
        <v>2.5045428510016803E-4</v>
      </c>
      <c r="D315" s="73">
        <v>1.6770720415151999E-5</v>
      </c>
      <c r="E315" s="73">
        <v>1.55525659670444E-2</v>
      </c>
      <c r="F315" s="73">
        <v>4.8638214237255802E-4</v>
      </c>
      <c r="G315" s="73">
        <v>0.29063102799423202</v>
      </c>
      <c r="H315" s="73">
        <v>-2.2271217498663701E-6</v>
      </c>
      <c r="I315" s="73">
        <v>0.209730548685791</v>
      </c>
      <c r="J315" s="73">
        <v>2.5220674175609998</v>
      </c>
      <c r="K315" s="73"/>
      <c r="L315" s="73"/>
      <c r="M315" s="73"/>
      <c r="O315" s="13">
        <f t="shared" ca="1" si="120"/>
        <v>-1.4232944171393557E-5</v>
      </c>
      <c r="P315" s="13">
        <f t="shared" ca="1" si="121"/>
        <v>5.4832450303118262E-6</v>
      </c>
      <c r="Q315" s="13">
        <f t="shared" ca="1" si="122"/>
        <v>1.4711826349071715E-2</v>
      </c>
      <c r="R315" s="13">
        <f t="shared" ca="1" si="123"/>
        <v>4.7660586348187688E-4</v>
      </c>
      <c r="S315" s="13">
        <f t="shared" ca="1" si="124"/>
        <v>0.28949594936099066</v>
      </c>
      <c r="T315" s="13">
        <f t="shared" ca="1" si="125"/>
        <v>-2.5769432608904566E-6</v>
      </c>
      <c r="U315" s="13">
        <f t="shared" ca="1" si="126"/>
        <v>0.20907670469100248</v>
      </c>
      <c r="V315" s="13">
        <f t="shared" ca="1" si="127"/>
        <v>2.5149286366385457</v>
      </c>
      <c r="X315" s="3">
        <f t="shared" ca="1" si="128"/>
        <v>-1.4232944171393557E-5</v>
      </c>
      <c r="Y315" s="3">
        <f t="shared" ca="1" si="129"/>
        <v>5.4832450303118262E-6</v>
      </c>
      <c r="Z315" s="3">
        <f t="shared" ca="1" si="130"/>
        <v>1.4711826349071715E-2</v>
      </c>
      <c r="AA315" s="3">
        <f t="shared" ca="1" si="131"/>
        <v>4.7660586348187688E-4</v>
      </c>
      <c r="AB315" s="3">
        <f t="shared" ca="1" si="132"/>
        <v>0.28949594936099066</v>
      </c>
      <c r="AC315" s="3">
        <f t="shared" ca="1" si="133"/>
        <v>-2.5769432608904566E-6</v>
      </c>
      <c r="AD315" s="3">
        <f t="shared" ca="1" si="134"/>
        <v>0.20907670469100248</v>
      </c>
      <c r="AE315" s="3">
        <f t="shared" ca="1" si="135"/>
        <v>2.5149286366385457</v>
      </c>
      <c r="AG315" s="3">
        <f t="shared" ca="1" si="136"/>
        <v>-1.4232944171393557E-5</v>
      </c>
      <c r="AH315" s="3">
        <f t="shared" ca="1" si="137"/>
        <v>5.4832450303118262E-6</v>
      </c>
      <c r="AI315" s="3">
        <f t="shared" ca="1" si="138"/>
        <v>1.4707409624284334E-2</v>
      </c>
      <c r="AJ315" s="3">
        <f t="shared" ca="1" si="139"/>
        <v>4.7416693617823626E-4</v>
      </c>
      <c r="AK315" s="3">
        <f t="shared" ca="1" si="140"/>
        <v>0.28949594936099066</v>
      </c>
      <c r="AL315" s="3">
        <f t="shared" ca="1" si="141"/>
        <v>-2.5769432608904566E-6</v>
      </c>
      <c r="AM315" s="3">
        <f t="shared" ca="1" si="142"/>
        <v>0.20907670469100248</v>
      </c>
      <c r="AN315" s="3">
        <f t="shared" ca="1" si="143"/>
        <v>2.5149286366385457</v>
      </c>
      <c r="AP315" s="3">
        <f t="shared" ca="1" si="144"/>
        <v>8.6872671005925657</v>
      </c>
      <c r="AQ315" s="3">
        <f t="shared" ca="1" si="151"/>
        <v>0.4002129155191097</v>
      </c>
      <c r="AR315" s="3">
        <f t="shared" ca="1" si="145"/>
        <v>1.9074382217758472E-4</v>
      </c>
      <c r="AS315" s="3">
        <f t="shared" ca="1" si="146"/>
        <v>0.20888596086882488</v>
      </c>
      <c r="AT315" s="3">
        <f t="shared" ca="1" si="147"/>
        <v>0.70837938120117983</v>
      </c>
      <c r="AU315" s="3">
        <f t="shared" ca="1" si="148"/>
        <v>5.2757111811745555E-2</v>
      </c>
      <c r="AV315" s="10">
        <f t="shared" ca="1" si="152"/>
        <v>0.70837938120117983</v>
      </c>
      <c r="AW315" s="10">
        <f t="shared" ca="1" si="153"/>
        <v>0.70837938120117983</v>
      </c>
      <c r="AY315" s="3">
        <f t="shared" ca="1" si="159"/>
        <v>8.6872671005925657</v>
      </c>
      <c r="AZ315" s="3">
        <f t="shared" ca="1" si="154"/>
        <v>0.4002129155191097</v>
      </c>
      <c r="BA315" s="3">
        <f t="shared" ca="1" si="149"/>
        <v>1.8976773197065556E-4</v>
      </c>
      <c r="BB315" s="3">
        <f t="shared" ca="1" si="155"/>
        <v>0.20888693695903182</v>
      </c>
      <c r="BC315" s="3">
        <f t="shared" ca="1" si="156"/>
        <v>0.70838269134310572</v>
      </c>
      <c r="BD315" s="3">
        <f t="shared" ca="1" si="150"/>
        <v>5.2741273285792298E-2</v>
      </c>
      <c r="BE315" s="3">
        <f t="shared" ca="1" si="157"/>
        <v>0.70838269134310572</v>
      </c>
      <c r="BF315" s="3">
        <f t="shared" ca="1" si="158"/>
        <v>0.70838269134310572</v>
      </c>
    </row>
    <row r="316" spans="1:58" ht="15" x14ac:dyDescent="0.25">
      <c r="A316" s="72">
        <v>250</v>
      </c>
      <c r="B316" s="72">
        <v>1498730251.1949999</v>
      </c>
      <c r="C316" s="73">
        <v>2.2856787236993201E-4</v>
      </c>
      <c r="D316" s="73">
        <v>4.6063039408149903E-5</v>
      </c>
      <c r="E316" s="73">
        <v>1.4998111094727399E-2</v>
      </c>
      <c r="F316" s="73">
        <v>4.4162953489755401E-4</v>
      </c>
      <c r="G316" s="73">
        <v>0.27871665819211899</v>
      </c>
      <c r="H316" s="73">
        <v>-1.3092148435217499E-5</v>
      </c>
      <c r="I316" s="73">
        <v>0.201383614327202</v>
      </c>
      <c r="J316" s="73">
        <v>2.4220673149157101</v>
      </c>
      <c r="K316" s="73"/>
      <c r="L316" s="73"/>
      <c r="M316" s="73"/>
      <c r="O316" s="13">
        <f t="shared" ca="1" si="120"/>
        <v>-3.6119356901629572E-5</v>
      </c>
      <c r="P316" s="13">
        <f t="shared" ca="1" si="121"/>
        <v>3.4775564023309731E-5</v>
      </c>
      <c r="Q316" s="13">
        <f t="shared" ca="1" si="122"/>
        <v>1.4157371476754714E-2</v>
      </c>
      <c r="R316" s="13">
        <f t="shared" ca="1" si="123"/>
        <v>4.3185325600687287E-4</v>
      </c>
      <c r="S316" s="13">
        <f t="shared" ca="1" si="124"/>
        <v>0.27758157955887763</v>
      </c>
      <c r="T316" s="13">
        <f t="shared" ca="1" si="125"/>
        <v>-1.3441969946241586E-5</v>
      </c>
      <c r="U316" s="13">
        <f t="shared" ca="1" si="126"/>
        <v>0.20072977033241349</v>
      </c>
      <c r="V316" s="13">
        <f t="shared" ca="1" si="127"/>
        <v>2.414928533993256</v>
      </c>
      <c r="X316" s="3">
        <f t="shared" ca="1" si="128"/>
        <v>-3.6119356901629572E-5</v>
      </c>
      <c r="Y316" s="3">
        <f t="shared" ca="1" si="129"/>
        <v>3.4775564023309731E-5</v>
      </c>
      <c r="Z316" s="3">
        <f t="shared" ca="1" si="130"/>
        <v>1.4157371476754714E-2</v>
      </c>
      <c r="AA316" s="3">
        <f t="shared" ca="1" si="131"/>
        <v>4.3185325600687287E-4</v>
      </c>
      <c r="AB316" s="3">
        <f t="shared" ca="1" si="132"/>
        <v>0.27758157955887763</v>
      </c>
      <c r="AC316" s="3">
        <f t="shared" ca="1" si="133"/>
        <v>-1.3441969946241586E-5</v>
      </c>
      <c r="AD316" s="3">
        <f t="shared" ca="1" si="134"/>
        <v>0.20072977033241349</v>
      </c>
      <c r="AE316" s="3">
        <f t="shared" ca="1" si="135"/>
        <v>2.414928533993256</v>
      </c>
      <c r="AG316" s="3">
        <f t="shared" ca="1" si="136"/>
        <v>-3.6119356901629572E-5</v>
      </c>
      <c r="AH316" s="3">
        <f t="shared" ca="1" si="137"/>
        <v>3.4775564023309731E-5</v>
      </c>
      <c r="AI316" s="3">
        <f t="shared" ca="1" si="138"/>
        <v>1.412935994439243E-2</v>
      </c>
      <c r="AJ316" s="3">
        <f t="shared" ca="1" si="139"/>
        <v>4.1638521251673378E-4</v>
      </c>
      <c r="AK316" s="3">
        <f t="shared" ca="1" si="140"/>
        <v>0.27758157955887763</v>
      </c>
      <c r="AL316" s="3">
        <f t="shared" ca="1" si="141"/>
        <v>-1.3441969946241586E-5</v>
      </c>
      <c r="AM316" s="3">
        <f t="shared" ca="1" si="142"/>
        <v>0.20072977033241349</v>
      </c>
      <c r="AN316" s="3">
        <f t="shared" ca="1" si="143"/>
        <v>2.414928533993256</v>
      </c>
      <c r="AP316" s="3">
        <f t="shared" ca="1" si="144"/>
        <v>8.699887571181673</v>
      </c>
      <c r="AQ316" s="3">
        <f t="shared" ca="1" si="151"/>
        <v>0.40080138382292729</v>
      </c>
      <c r="AR316" s="3">
        <f t="shared" ca="1" si="145"/>
        <v>1.7308738261599153E-4</v>
      </c>
      <c r="AS316" s="3">
        <f t="shared" ca="1" si="146"/>
        <v>0.2005566829497975</v>
      </c>
      <c r="AT316" s="3">
        <f t="shared" ca="1" si="147"/>
        <v>0.7088072450152455</v>
      </c>
      <c r="AU316" s="3">
        <f t="shared" ca="1" si="148"/>
        <v>5.3026629432962963E-2</v>
      </c>
      <c r="AV316" s="10">
        <f t="shared" ca="1" si="152"/>
        <v>0.7088072450152455</v>
      </c>
      <c r="AW316" s="10">
        <f t="shared" ca="1" si="153"/>
        <v>0.7088072450152455</v>
      </c>
      <c r="AY316" s="3">
        <f t="shared" ca="1" si="159"/>
        <v>8.699887571181673</v>
      </c>
      <c r="AZ316" s="3">
        <f t="shared" ca="1" si="154"/>
        <v>0.40080138382292729</v>
      </c>
      <c r="BA316" s="3">
        <f t="shared" ca="1" si="149"/>
        <v>1.6688776938011057E-4</v>
      </c>
      <c r="BB316" s="3">
        <f t="shared" ca="1" si="155"/>
        <v>0.20056288256303337</v>
      </c>
      <c r="BC316" s="3">
        <f t="shared" ca="1" si="156"/>
        <v>0.70882915568266003</v>
      </c>
      <c r="BD316" s="3">
        <f t="shared" ca="1" si="150"/>
        <v>5.2921711853533532E-2</v>
      </c>
      <c r="BE316" s="3">
        <f t="shared" ca="1" si="157"/>
        <v>0.70882915568266003</v>
      </c>
      <c r="BF316" s="3">
        <f t="shared" ca="1" si="158"/>
        <v>0.70882915568266003</v>
      </c>
    </row>
    <row r="317" spans="1:58" ht="15" x14ac:dyDescent="0.25">
      <c r="A317" s="72">
        <v>251</v>
      </c>
      <c r="B317" s="72">
        <v>1498730251.7219999</v>
      </c>
      <c r="C317" s="73">
        <v>2.9018410786537302E-4</v>
      </c>
      <c r="D317" s="73">
        <v>1.0865115693047101E-5</v>
      </c>
      <c r="E317" s="73">
        <v>1.51492302175974E-2</v>
      </c>
      <c r="F317" s="73">
        <v>4.6519581763257401E-4</v>
      </c>
      <c r="G317" s="73">
        <v>0.28141423833859802</v>
      </c>
      <c r="H317" s="73">
        <v>-2.92693845501316E-5</v>
      </c>
      <c r="I317" s="73">
        <v>0.203348433480875</v>
      </c>
      <c r="J317" s="73">
        <v>2.4411157376047701</v>
      </c>
      <c r="K317" s="73"/>
      <c r="L317" s="73"/>
      <c r="M317" s="73"/>
      <c r="O317" s="13">
        <f t="shared" ca="1" si="120"/>
        <v>2.5496878593811434E-5</v>
      </c>
      <c r="P317" s="13">
        <f t="shared" ca="1" si="121"/>
        <v>-4.2235969179307268E-7</v>
      </c>
      <c r="Q317" s="13">
        <f t="shared" ca="1" si="122"/>
        <v>1.4308490599624715E-2</v>
      </c>
      <c r="R317" s="13">
        <f t="shared" ca="1" si="123"/>
        <v>4.5541953874189288E-4</v>
      </c>
      <c r="S317" s="13">
        <f t="shared" ca="1" si="124"/>
        <v>0.28027915970535666</v>
      </c>
      <c r="T317" s="13">
        <f t="shared" ca="1" si="125"/>
        <v>-2.9619206061155686E-5</v>
      </c>
      <c r="U317" s="13">
        <f t="shared" ca="1" si="126"/>
        <v>0.20269458948608648</v>
      </c>
      <c r="V317" s="13">
        <f t="shared" ca="1" si="127"/>
        <v>2.433976956682316</v>
      </c>
      <c r="X317" s="3">
        <f t="shared" ca="1" si="128"/>
        <v>2.5496878593811434E-5</v>
      </c>
      <c r="Y317" s="3">
        <f t="shared" ca="1" si="129"/>
        <v>-4.2235969179307268E-7</v>
      </c>
      <c r="Z317" s="3">
        <f t="shared" ca="1" si="130"/>
        <v>1.4308490599624715E-2</v>
      </c>
      <c r="AA317" s="3">
        <f t="shared" ca="1" si="131"/>
        <v>4.5541953874189288E-4</v>
      </c>
      <c r="AB317" s="3">
        <f t="shared" ca="1" si="132"/>
        <v>0.28027915970535666</v>
      </c>
      <c r="AC317" s="3">
        <f t="shared" ca="1" si="133"/>
        <v>-2.9619206061155686E-5</v>
      </c>
      <c r="AD317" s="3">
        <f t="shared" ca="1" si="134"/>
        <v>0.20269458948608648</v>
      </c>
      <c r="AE317" s="3">
        <f t="shared" ca="1" si="135"/>
        <v>2.433976956682316</v>
      </c>
      <c r="AG317" s="3">
        <f t="shared" ca="1" si="136"/>
        <v>2.5496878593811434E-5</v>
      </c>
      <c r="AH317" s="3">
        <f t="shared" ca="1" si="137"/>
        <v>-4.2235969179307268E-7</v>
      </c>
      <c r="AI317" s="3">
        <f t="shared" ca="1" si="138"/>
        <v>1.4308490599624715E-2</v>
      </c>
      <c r="AJ317" s="3">
        <f t="shared" ca="1" si="139"/>
        <v>4.5541953874189288E-4</v>
      </c>
      <c r="AK317" s="3">
        <f t="shared" ca="1" si="140"/>
        <v>0.28027915970535666</v>
      </c>
      <c r="AL317" s="3">
        <f t="shared" ca="1" si="141"/>
        <v>-2.9619206061155686E-5</v>
      </c>
      <c r="AM317" s="3">
        <f t="shared" ca="1" si="142"/>
        <v>0.20269458948608648</v>
      </c>
      <c r="AN317" s="3">
        <f t="shared" ca="1" si="143"/>
        <v>2.433976956682316</v>
      </c>
      <c r="AP317" s="3">
        <f t="shared" ca="1" si="144"/>
        <v>8.6841167899926379</v>
      </c>
      <c r="AQ317" s="3">
        <f t="shared" ca="1" si="151"/>
        <v>0.40006602420312587</v>
      </c>
      <c r="AR317" s="3">
        <f t="shared" ca="1" si="145"/>
        <v>1.8219788420889053E-4</v>
      </c>
      <c r="AS317" s="3">
        <f t="shared" ca="1" si="146"/>
        <v>0.20251239160187759</v>
      </c>
      <c r="AT317" s="3">
        <f t="shared" ca="1" si="147"/>
        <v>0.70947855407864779</v>
      </c>
      <c r="AU317" s="3">
        <f t="shared" ca="1" si="148"/>
        <v>5.2978388976772608E-2</v>
      </c>
      <c r="AV317" s="10">
        <f t="shared" ca="1" si="152"/>
        <v>0.70947855407864779</v>
      </c>
      <c r="AW317" s="10">
        <f t="shared" ca="1" si="153"/>
        <v>0.70947855407864779</v>
      </c>
      <c r="AY317" s="3">
        <f t="shared" ca="1" si="159"/>
        <v>8.6841167899926379</v>
      </c>
      <c r="AZ317" s="3">
        <f t="shared" ca="1" si="154"/>
        <v>0.40006602420312587</v>
      </c>
      <c r="BA317" s="3">
        <f t="shared" ca="1" si="149"/>
        <v>1.8219788420889053E-4</v>
      </c>
      <c r="BB317" s="3">
        <f t="shared" ca="1" si="155"/>
        <v>0.20251239160187759</v>
      </c>
      <c r="BC317" s="3">
        <f t="shared" ca="1" si="156"/>
        <v>0.70947855407864779</v>
      </c>
      <c r="BD317" s="3">
        <f t="shared" ca="1" si="150"/>
        <v>5.2978388976772608E-2</v>
      </c>
      <c r="BE317" s="3">
        <f t="shared" ca="1" si="157"/>
        <v>0.70947855407864779</v>
      </c>
      <c r="BF317" s="3">
        <f t="shared" ca="1" si="158"/>
        <v>0.70947855407864779</v>
      </c>
    </row>
    <row r="318" spans="1:58" ht="15" x14ac:dyDescent="0.25">
      <c r="A318" s="72">
        <v>252</v>
      </c>
      <c r="B318" s="72">
        <v>1498730252.2490001</v>
      </c>
      <c r="C318" s="73">
        <v>2.3499100898127399E-4</v>
      </c>
      <c r="D318" s="73">
        <v>2.0314100121065399E-5</v>
      </c>
      <c r="E318" s="73">
        <v>1.48002683170727E-2</v>
      </c>
      <c r="F318" s="73">
        <v>3.7212414130450899E-4</v>
      </c>
      <c r="G318" s="73">
        <v>0.276962496222115</v>
      </c>
      <c r="H318" s="73">
        <v>-2.2633494519009599E-5</v>
      </c>
      <c r="I318" s="73">
        <v>0.20029630709786</v>
      </c>
      <c r="J318" s="73">
        <v>2.4071639607957298</v>
      </c>
      <c r="K318" s="73"/>
      <c r="L318" s="73"/>
      <c r="M318" s="73"/>
      <c r="O318" s="13">
        <f t="shared" ca="1" si="120"/>
        <v>-2.9696220290287593E-5</v>
      </c>
      <c r="P318" s="13">
        <f t="shared" ca="1" si="121"/>
        <v>9.0266247362252253E-6</v>
      </c>
      <c r="Q318" s="13">
        <f t="shared" ca="1" si="122"/>
        <v>1.3959528699100015E-2</v>
      </c>
      <c r="R318" s="13">
        <f t="shared" ca="1" si="123"/>
        <v>3.6234786241382786E-4</v>
      </c>
      <c r="S318" s="13">
        <f t="shared" ca="1" si="124"/>
        <v>0.27582741758887364</v>
      </c>
      <c r="T318" s="13">
        <f t="shared" ca="1" si="125"/>
        <v>-2.2983316030033685E-5</v>
      </c>
      <c r="U318" s="13">
        <f t="shared" ca="1" si="126"/>
        <v>0.19964246310307149</v>
      </c>
      <c r="V318" s="13">
        <f t="shared" ca="1" si="127"/>
        <v>2.4000251798732757</v>
      </c>
      <c r="X318" s="3">
        <f t="shared" ca="1" si="128"/>
        <v>-2.9696220290287593E-5</v>
      </c>
      <c r="Y318" s="3">
        <f t="shared" ca="1" si="129"/>
        <v>9.0266247362252253E-6</v>
      </c>
      <c r="Z318" s="3">
        <f t="shared" ca="1" si="130"/>
        <v>1.3959528699100015E-2</v>
      </c>
      <c r="AA318" s="3">
        <f t="shared" ca="1" si="131"/>
        <v>3.6234786241382786E-4</v>
      </c>
      <c r="AB318" s="3">
        <f t="shared" ca="1" si="132"/>
        <v>0.27582741758887364</v>
      </c>
      <c r="AC318" s="3">
        <f t="shared" ca="1" si="133"/>
        <v>-2.2983316030033685E-5</v>
      </c>
      <c r="AD318" s="3">
        <f t="shared" ca="1" si="134"/>
        <v>0.19964246310307149</v>
      </c>
      <c r="AE318" s="3">
        <f t="shared" ca="1" si="135"/>
        <v>2.4000251798732757</v>
      </c>
      <c r="AG318" s="3">
        <f t="shared" ca="1" si="136"/>
        <v>-2.9696220290287593E-5</v>
      </c>
      <c r="AH318" s="3">
        <f t="shared" ca="1" si="137"/>
        <v>9.0266247362252253E-6</v>
      </c>
      <c r="AI318" s="3">
        <f t="shared" ca="1" si="138"/>
        <v>1.3952257800754512E-2</v>
      </c>
      <c r="AJ318" s="3">
        <f t="shared" ca="1" si="139"/>
        <v>3.5833285279685922E-4</v>
      </c>
      <c r="AK318" s="3">
        <f t="shared" ca="1" si="140"/>
        <v>0.27582741758887364</v>
      </c>
      <c r="AL318" s="3">
        <f t="shared" ca="1" si="141"/>
        <v>-2.2983316030033685E-5</v>
      </c>
      <c r="AM318" s="3">
        <f t="shared" ca="1" si="142"/>
        <v>0.19964246310307149</v>
      </c>
      <c r="AN318" s="3">
        <f t="shared" ca="1" si="143"/>
        <v>2.4000251798732757</v>
      </c>
      <c r="AP318" s="3">
        <f t="shared" ca="1" si="144"/>
        <v>8.7011842435858284</v>
      </c>
      <c r="AQ318" s="3">
        <f t="shared" ca="1" si="151"/>
        <v>0.40086184575345618</v>
      </c>
      <c r="AR318" s="3">
        <f t="shared" ca="1" si="145"/>
        <v>1.4525143293202643E-4</v>
      </c>
      <c r="AS318" s="3">
        <f t="shared" ca="1" si="146"/>
        <v>0.19949721167013945</v>
      </c>
      <c r="AT318" s="3">
        <f t="shared" ca="1" si="147"/>
        <v>0.70949355459563945</v>
      </c>
      <c r="AU318" s="3">
        <f t="shared" ca="1" si="148"/>
        <v>5.2626148824123135E-2</v>
      </c>
      <c r="AV318" s="10">
        <f t="shared" ca="1" si="152"/>
        <v>0.70949355459563945</v>
      </c>
      <c r="AW318" s="10">
        <f t="shared" ca="1" si="153"/>
        <v>0.70949355459563945</v>
      </c>
      <c r="AY318" s="3">
        <f t="shared" ca="1" si="159"/>
        <v>8.7011842435858284</v>
      </c>
      <c r="AZ318" s="3">
        <f t="shared" ca="1" si="154"/>
        <v>0.40086184575345618</v>
      </c>
      <c r="BA318" s="3">
        <f t="shared" ca="1" si="149"/>
        <v>1.436419687662505E-4</v>
      </c>
      <c r="BB318" s="3">
        <f t="shared" ca="1" si="155"/>
        <v>0.19949882113430523</v>
      </c>
      <c r="BC318" s="3">
        <f t="shared" ca="1" si="156"/>
        <v>0.70949927850747974</v>
      </c>
      <c r="BD318" s="3">
        <f t="shared" ca="1" si="150"/>
        <v>5.2598738201124082E-2</v>
      </c>
      <c r="BE318" s="3" t="str">
        <f t="shared" ca="1" si="157"/>
        <v>rejected</v>
      </c>
      <c r="BF318" s="3" t="e">
        <f t="shared" ca="1" si="158"/>
        <v>#N/A</v>
      </c>
    </row>
    <row r="319" spans="1:58" ht="15" x14ac:dyDescent="0.25">
      <c r="A319" s="72">
        <v>253</v>
      </c>
      <c r="B319" s="72">
        <v>1498730252.776</v>
      </c>
      <c r="C319" s="73">
        <v>3.53707527728401E-4</v>
      </c>
      <c r="D319" s="73">
        <v>3.4251516408893398E-5</v>
      </c>
      <c r="E319" s="73">
        <v>1.4483429671113201E-2</v>
      </c>
      <c r="F319" s="73">
        <v>4.39487173128155E-4</v>
      </c>
      <c r="G319" s="73">
        <v>0.26875505522336002</v>
      </c>
      <c r="H319" s="73">
        <v>-3.5031149516490603E-5</v>
      </c>
      <c r="I319" s="73">
        <v>0.19397522058744199</v>
      </c>
      <c r="J319" s="73">
        <v>2.3331315700972701</v>
      </c>
      <c r="K319" s="73"/>
      <c r="L319" s="73"/>
      <c r="M319" s="73"/>
      <c r="O319" s="13">
        <f t="shared" ca="1" si="120"/>
        <v>8.9020298456839414E-5</v>
      </c>
      <c r="P319" s="13">
        <f t="shared" ca="1" si="121"/>
        <v>2.2964041024053226E-5</v>
      </c>
      <c r="Q319" s="13">
        <f t="shared" ca="1" si="122"/>
        <v>1.3642690053140515E-2</v>
      </c>
      <c r="R319" s="13">
        <f t="shared" ca="1" si="123"/>
        <v>4.2971089423747387E-4</v>
      </c>
      <c r="S319" s="13">
        <f t="shared" ca="1" si="124"/>
        <v>0.26761997659011866</v>
      </c>
      <c r="T319" s="13">
        <f t="shared" ca="1" si="125"/>
        <v>-3.5380971027514693E-5</v>
      </c>
      <c r="U319" s="13">
        <f t="shared" ca="1" si="126"/>
        <v>0.19332137659265347</v>
      </c>
      <c r="V319" s="13">
        <f t="shared" ca="1" si="127"/>
        <v>2.325992789174816</v>
      </c>
      <c r="X319" s="3">
        <f t="shared" ca="1" si="128"/>
        <v>8.9020298456839414E-5</v>
      </c>
      <c r="Y319" s="3">
        <f t="shared" ca="1" si="129"/>
        <v>2.2964041024053226E-5</v>
      </c>
      <c r="Z319" s="3">
        <f t="shared" ca="1" si="130"/>
        <v>1.3642690053140515E-2</v>
      </c>
      <c r="AA319" s="3">
        <f t="shared" ca="1" si="131"/>
        <v>4.2971089423747387E-4</v>
      </c>
      <c r="AB319" s="3">
        <f t="shared" ca="1" si="132"/>
        <v>0.26761997659011866</v>
      </c>
      <c r="AC319" s="3">
        <f t="shared" ca="1" si="133"/>
        <v>-3.5380971027514693E-5</v>
      </c>
      <c r="AD319" s="3">
        <f t="shared" ca="1" si="134"/>
        <v>0.19332137659265347</v>
      </c>
      <c r="AE319" s="3">
        <f t="shared" ca="1" si="135"/>
        <v>2.325992789174816</v>
      </c>
      <c r="AG319" s="3">
        <f t="shared" ca="1" si="136"/>
        <v>8.9020298456839414E-5</v>
      </c>
      <c r="AH319" s="3">
        <f t="shared" ca="1" si="137"/>
        <v>2.2964041024053226E-5</v>
      </c>
      <c r="AI319" s="3">
        <f t="shared" ca="1" si="138"/>
        <v>1.3624192639902791E-2</v>
      </c>
      <c r="AJ319" s="3">
        <f t="shared" ca="1" si="139"/>
        <v>4.1949657291025396E-4</v>
      </c>
      <c r="AK319" s="3">
        <f t="shared" ca="1" si="140"/>
        <v>0.26761997659011866</v>
      </c>
      <c r="AL319" s="3">
        <f t="shared" ca="1" si="141"/>
        <v>-3.5380971027514693E-5</v>
      </c>
      <c r="AM319" s="3">
        <f t="shared" ca="1" si="142"/>
        <v>0.19332137659265347</v>
      </c>
      <c r="AN319" s="3">
        <f t="shared" ca="1" si="143"/>
        <v>2.325992789174816</v>
      </c>
      <c r="AP319" s="3">
        <f t="shared" ca="1" si="144"/>
        <v>8.691401960389749</v>
      </c>
      <c r="AQ319" s="3">
        <f t="shared" ca="1" si="151"/>
        <v>0.40040571494841071</v>
      </c>
      <c r="AR319" s="3">
        <f t="shared" ca="1" si="145"/>
        <v>1.7205869782827663E-4</v>
      </c>
      <c r="AS319" s="3">
        <f t="shared" ca="1" si="146"/>
        <v>0.1931493178948252</v>
      </c>
      <c r="AT319" s="3">
        <f t="shared" ca="1" si="147"/>
        <v>0.70838560634882464</v>
      </c>
      <c r="AU319" s="3">
        <f t="shared" ca="1" si="148"/>
        <v>5.2948036993417526E-2</v>
      </c>
      <c r="AV319" s="10">
        <f t="shared" ca="1" si="152"/>
        <v>0.70838560634882464</v>
      </c>
      <c r="AW319" s="10">
        <f t="shared" ca="1" si="153"/>
        <v>0.70838560634882464</v>
      </c>
      <c r="AY319" s="3">
        <f t="shared" ca="1" si="159"/>
        <v>8.691401960389749</v>
      </c>
      <c r="AZ319" s="3">
        <f t="shared" ca="1" si="154"/>
        <v>0.40040571494841071</v>
      </c>
      <c r="BA319" s="3">
        <f t="shared" ca="1" si="149"/>
        <v>1.6796882519453833E-4</v>
      </c>
      <c r="BB319" s="3">
        <f t="shared" ca="1" si="155"/>
        <v>0.19315340776745893</v>
      </c>
      <c r="BC319" s="3">
        <f t="shared" ca="1" si="156"/>
        <v>0.70840060617868217</v>
      </c>
      <c r="BD319" s="3">
        <f t="shared" ca="1" si="150"/>
        <v>5.2876247506404433E-2</v>
      </c>
      <c r="BE319" s="3">
        <f t="shared" ca="1" si="157"/>
        <v>0.70840060617868217</v>
      </c>
      <c r="BF319" s="3">
        <f t="shared" ca="1" si="158"/>
        <v>0.70840060617868217</v>
      </c>
    </row>
    <row r="320" spans="1:58" ht="15" x14ac:dyDescent="0.25">
      <c r="A320" s="72">
        <v>254</v>
      </c>
      <c r="B320" s="72">
        <v>1498730253.303</v>
      </c>
      <c r="C320" s="73">
        <v>2.5449856605068899E-4</v>
      </c>
      <c r="D320" s="73">
        <v>-3.5906032084649402E-5</v>
      </c>
      <c r="E320" s="73">
        <v>1.46330598683737E-2</v>
      </c>
      <c r="F320" s="73">
        <v>3.7617055559858997E-4</v>
      </c>
      <c r="G320" s="73">
        <v>0.26860312088534799</v>
      </c>
      <c r="H320" s="73">
        <v>-3.4511659849656098E-5</v>
      </c>
      <c r="I320" s="73">
        <v>0.19391834706873701</v>
      </c>
      <c r="J320" s="73">
        <v>2.3306797205696701</v>
      </c>
      <c r="K320" s="73"/>
      <c r="L320" s="73"/>
      <c r="M320" s="73"/>
      <c r="O320" s="13">
        <f t="shared" ca="1" si="120"/>
        <v>-1.0188663220872594E-5</v>
      </c>
      <c r="P320" s="13">
        <f t="shared" ca="1" si="121"/>
        <v>-4.7193507469489574E-5</v>
      </c>
      <c r="Q320" s="13">
        <f t="shared" ca="1" si="122"/>
        <v>1.3792320250401014E-2</v>
      </c>
      <c r="R320" s="13">
        <f t="shared" ca="1" si="123"/>
        <v>3.6639427670790884E-4</v>
      </c>
      <c r="S320" s="13">
        <f t="shared" ca="1" si="124"/>
        <v>0.26746804225210663</v>
      </c>
      <c r="T320" s="13">
        <f t="shared" ca="1" si="125"/>
        <v>-3.4861481360680188E-5</v>
      </c>
      <c r="U320" s="13">
        <f t="shared" ca="1" si="126"/>
        <v>0.19326450307394849</v>
      </c>
      <c r="V320" s="13">
        <f t="shared" ca="1" si="127"/>
        <v>2.323540939647216</v>
      </c>
      <c r="X320" s="3">
        <f t="shared" ca="1" si="128"/>
        <v>-1.0188663220872594E-5</v>
      </c>
      <c r="Y320" s="3">
        <f t="shared" ca="1" si="129"/>
        <v>-4.7193507469489574E-5</v>
      </c>
      <c r="Z320" s="3">
        <f t="shared" ca="1" si="130"/>
        <v>1.3792320250401014E-2</v>
      </c>
      <c r="AA320" s="3">
        <f t="shared" ca="1" si="131"/>
        <v>3.6639427670790884E-4</v>
      </c>
      <c r="AB320" s="3">
        <f t="shared" ca="1" si="132"/>
        <v>0.26746804225210663</v>
      </c>
      <c r="AC320" s="3">
        <f t="shared" ca="1" si="133"/>
        <v>-3.4861481360680188E-5</v>
      </c>
      <c r="AD320" s="3">
        <f t="shared" ca="1" si="134"/>
        <v>0.19326450307394849</v>
      </c>
      <c r="AE320" s="3">
        <f t="shared" ca="1" si="135"/>
        <v>2.323540939647216</v>
      </c>
      <c r="AG320" s="3">
        <f t="shared" ca="1" si="136"/>
        <v>-1.0188663220872594E-5</v>
      </c>
      <c r="AH320" s="3">
        <f t="shared" ca="1" si="137"/>
        <v>-4.7193507469489574E-5</v>
      </c>
      <c r="AI320" s="3">
        <f t="shared" ca="1" si="138"/>
        <v>1.3792320250401014E-2</v>
      </c>
      <c r="AJ320" s="3">
        <f t="shared" ca="1" si="139"/>
        <v>3.6639427670790884E-4</v>
      </c>
      <c r="AK320" s="3">
        <f t="shared" ca="1" si="140"/>
        <v>0.26746804225210663</v>
      </c>
      <c r="AL320" s="3">
        <f t="shared" ca="1" si="141"/>
        <v>-3.4861481360680188E-5</v>
      </c>
      <c r="AM320" s="3">
        <f t="shared" ca="1" si="142"/>
        <v>0.19326450307394849</v>
      </c>
      <c r="AN320" s="3">
        <f t="shared" ca="1" si="143"/>
        <v>2.323540939647216</v>
      </c>
      <c r="AP320" s="3">
        <f t="shared" ca="1" si="144"/>
        <v>8.6871721947892464</v>
      </c>
      <c r="AQ320" s="3">
        <f t="shared" ca="1" si="151"/>
        <v>0.40020849028304478</v>
      </c>
      <c r="AR320" s="3">
        <f t="shared" ca="1" si="145"/>
        <v>1.4663410032962035E-4</v>
      </c>
      <c r="AS320" s="3">
        <f t="shared" ca="1" si="146"/>
        <v>0.19311786897361888</v>
      </c>
      <c r="AT320" s="3">
        <f t="shared" ca="1" si="147"/>
        <v>0.70884634077158049</v>
      </c>
      <c r="AU320" s="3">
        <f t="shared" ca="1" si="148"/>
        <v>5.3532495896765397E-2</v>
      </c>
      <c r="AV320" s="10">
        <f t="shared" ca="1" si="152"/>
        <v>0.70884634077158049</v>
      </c>
      <c r="AW320" s="10">
        <f t="shared" ca="1" si="153"/>
        <v>0.70884634077158049</v>
      </c>
      <c r="AY320" s="3">
        <f t="shared" ca="1" si="159"/>
        <v>8.6871721947892464</v>
      </c>
      <c r="AZ320" s="3">
        <f t="shared" ca="1" si="154"/>
        <v>0.40020849028304478</v>
      </c>
      <c r="BA320" s="3">
        <f t="shared" ca="1" si="149"/>
        <v>1.4663410032962035E-4</v>
      </c>
      <c r="BB320" s="3">
        <f t="shared" ca="1" si="155"/>
        <v>0.19311786897361888</v>
      </c>
      <c r="BC320" s="3">
        <f t="shared" ca="1" si="156"/>
        <v>0.70884634077158049</v>
      </c>
      <c r="BD320" s="3">
        <f t="shared" ca="1" si="150"/>
        <v>5.3532495896765397E-2</v>
      </c>
      <c r="BE320" s="3">
        <f t="shared" ca="1" si="157"/>
        <v>0.70884634077158049</v>
      </c>
      <c r="BF320" s="3">
        <f t="shared" ca="1" si="158"/>
        <v>0.70884634077158049</v>
      </c>
    </row>
    <row r="321" spans="1:58" ht="15" x14ac:dyDescent="0.25">
      <c r="A321" s="72">
        <v>255</v>
      </c>
      <c r="B321" s="72">
        <v>1498730253.829</v>
      </c>
      <c r="C321" s="73">
        <v>2.8566386869770201E-4</v>
      </c>
      <c r="D321" s="73">
        <v>1.0156445488363E-5</v>
      </c>
      <c r="E321" s="73">
        <v>1.41596086472617E-2</v>
      </c>
      <c r="F321" s="73">
        <v>4.4734252208033099E-4</v>
      </c>
      <c r="G321" s="73">
        <v>0.26208786739963802</v>
      </c>
      <c r="H321" s="73">
        <v>2.6594584407271599E-5</v>
      </c>
      <c r="I321" s="73">
        <v>0.18927741271326501</v>
      </c>
      <c r="J321" s="73">
        <v>2.27579959219341</v>
      </c>
      <c r="K321" s="73"/>
      <c r="L321" s="73"/>
      <c r="M321" s="73"/>
      <c r="O321" s="13">
        <f t="shared" ca="1" si="120"/>
        <v>2.0976639426140424E-5</v>
      </c>
      <c r="P321" s="13">
        <f t="shared" ca="1" si="121"/>
        <v>-1.1310298964771733E-6</v>
      </c>
      <c r="Q321" s="13">
        <f t="shared" ca="1" si="122"/>
        <v>1.3318869029289014E-2</v>
      </c>
      <c r="R321" s="13">
        <f t="shared" ca="1" si="123"/>
        <v>4.3756624318964986E-4</v>
      </c>
      <c r="S321" s="13">
        <f t="shared" ca="1" si="124"/>
        <v>0.26095278876639666</v>
      </c>
      <c r="T321" s="13">
        <f t="shared" ca="1" si="125"/>
        <v>2.6244762896247512E-5</v>
      </c>
      <c r="U321" s="13">
        <f t="shared" ca="1" si="126"/>
        <v>0.18862356871847649</v>
      </c>
      <c r="V321" s="13">
        <f t="shared" ca="1" si="127"/>
        <v>2.2686608112709559</v>
      </c>
      <c r="X321" s="3">
        <f t="shared" ca="1" si="128"/>
        <v>2.0976639426140424E-5</v>
      </c>
      <c r="Y321" s="3">
        <f t="shared" ca="1" si="129"/>
        <v>-1.1310298964771733E-6</v>
      </c>
      <c r="Z321" s="3">
        <f t="shared" ca="1" si="130"/>
        <v>1.3318668237213699E-2</v>
      </c>
      <c r="AA321" s="3">
        <f t="shared" ca="1" si="131"/>
        <v>4.3270616227574497E-4</v>
      </c>
      <c r="AB321" s="3">
        <f t="shared" ca="1" si="132"/>
        <v>0.26091744479768475</v>
      </c>
      <c r="AC321" s="3">
        <f t="shared" ca="1" si="133"/>
        <v>2.6244762896247512E-5</v>
      </c>
      <c r="AD321" s="3">
        <f t="shared" ca="1" si="134"/>
        <v>0.18857137418753492</v>
      </c>
      <c r="AE321" s="3">
        <f t="shared" ca="1" si="135"/>
        <v>2.268639631944505</v>
      </c>
      <c r="AG321" s="3">
        <f t="shared" ca="1" si="136"/>
        <v>2.0976639426140424E-5</v>
      </c>
      <c r="AH321" s="3">
        <f t="shared" ca="1" si="137"/>
        <v>-1.1310298964771733E-6</v>
      </c>
      <c r="AI321" s="3">
        <f t="shared" ca="1" si="138"/>
        <v>1.3318668237213699E-2</v>
      </c>
      <c r="AJ321" s="3">
        <f t="shared" ca="1" si="139"/>
        <v>4.3270616227574497E-4</v>
      </c>
      <c r="AK321" s="3">
        <f t="shared" ca="1" si="140"/>
        <v>0.26091744479768475</v>
      </c>
      <c r="AL321" s="3">
        <f t="shared" ca="1" si="141"/>
        <v>2.6244762896247512E-5</v>
      </c>
      <c r="AM321" s="3">
        <f t="shared" ca="1" si="142"/>
        <v>0.18857137418753492</v>
      </c>
      <c r="AN321" s="3">
        <f t="shared" ca="1" si="143"/>
        <v>2.268639631944505</v>
      </c>
      <c r="AP321" s="3">
        <f t="shared" ca="1" si="144"/>
        <v>8.6937595953490536</v>
      </c>
      <c r="AQ321" s="3">
        <f t="shared" ca="1" si="151"/>
        <v>0.40051564678558554</v>
      </c>
      <c r="AR321" s="3">
        <f t="shared" ca="1" si="145"/>
        <v>1.7525212690264143E-4</v>
      </c>
      <c r="AS321" s="3">
        <f t="shared" ca="1" si="146"/>
        <v>0.18844831659157385</v>
      </c>
      <c r="AT321" s="3">
        <f t="shared" ca="1" si="147"/>
        <v>0.70870594982696078</v>
      </c>
      <c r="AU321" s="3">
        <f t="shared" ca="1" si="148"/>
        <v>5.3026665129116017E-2</v>
      </c>
      <c r="AV321" s="10">
        <f t="shared" ca="1" si="152"/>
        <v>0.70870594982696078</v>
      </c>
      <c r="AW321" s="10">
        <f t="shared" ca="1" si="153"/>
        <v>0.70870594982696078</v>
      </c>
      <c r="AY321" s="3">
        <f t="shared" ca="1" si="159"/>
        <v>8.6948560825574805</v>
      </c>
      <c r="AZ321" s="3">
        <f t="shared" ca="1" si="154"/>
        <v>0.40056677393028278</v>
      </c>
      <c r="BA321" s="3">
        <f t="shared" ca="1" si="149"/>
        <v>1.7332771148254858E-4</v>
      </c>
      <c r="BB321" s="3">
        <f t="shared" ca="1" si="155"/>
        <v>0.18839804647605238</v>
      </c>
      <c r="BC321" s="3">
        <f t="shared" ca="1" si="156"/>
        <v>0.70856786948384287</v>
      </c>
      <c r="BD321" s="3">
        <f t="shared" ca="1" si="150"/>
        <v>5.3039892852565794E-2</v>
      </c>
      <c r="BE321" s="3">
        <f t="shared" ca="1" si="157"/>
        <v>0.70856786948384287</v>
      </c>
      <c r="BF321" s="3">
        <f t="shared" ca="1" si="158"/>
        <v>0.70856786948384287</v>
      </c>
    </row>
    <row r="322" spans="1:58" ht="15" x14ac:dyDescent="0.25">
      <c r="A322" s="72">
        <v>256</v>
      </c>
      <c r="B322" s="72">
        <v>1498730254.3559999</v>
      </c>
      <c r="C322" s="73">
        <v>3.86541441166314E-4</v>
      </c>
      <c r="D322" s="73">
        <v>7.2521361181747195E-5</v>
      </c>
      <c r="E322" s="73">
        <v>1.4536042272512199E-2</v>
      </c>
      <c r="F322" s="73">
        <v>5.95891658830424E-4</v>
      </c>
      <c r="G322" s="73">
        <v>0.26782565471516401</v>
      </c>
      <c r="H322" s="73">
        <v>5.5708283826028797E-5</v>
      </c>
      <c r="I322" s="73">
        <v>0.193499713273833</v>
      </c>
      <c r="J322" s="73">
        <v>2.3246579561930201</v>
      </c>
      <c r="K322" s="73"/>
      <c r="L322" s="73"/>
      <c r="M322" s="73"/>
      <c r="O322" s="13">
        <f t="shared" ca="1" si="120"/>
        <v>1.2185421189475241E-4</v>
      </c>
      <c r="P322" s="13">
        <f t="shared" ca="1" si="121"/>
        <v>6.1233885796907017E-5</v>
      </c>
      <c r="Q322" s="13">
        <f t="shared" ca="1" si="122"/>
        <v>1.3695302654539514E-2</v>
      </c>
      <c r="R322" s="13">
        <f t="shared" ca="1" si="123"/>
        <v>5.8611537993974287E-4</v>
      </c>
      <c r="S322" s="13">
        <f t="shared" ca="1" si="124"/>
        <v>0.26669057608192265</v>
      </c>
      <c r="T322" s="13">
        <f t="shared" ca="1" si="125"/>
        <v>5.5358462315004707E-5</v>
      </c>
      <c r="U322" s="13">
        <f t="shared" ca="1" si="126"/>
        <v>0.19284586927904449</v>
      </c>
      <c r="V322" s="13">
        <f t="shared" ca="1" si="127"/>
        <v>2.3175191752705659</v>
      </c>
      <c r="X322" s="3">
        <f t="shared" ca="1" si="128"/>
        <v>1.2185421189475241E-4</v>
      </c>
      <c r="Y322" s="3">
        <f t="shared" ca="1" si="129"/>
        <v>6.1233885796907017E-5</v>
      </c>
      <c r="Z322" s="3">
        <f t="shared" ca="1" si="130"/>
        <v>1.3694879120877636E-2</v>
      </c>
      <c r="AA322" s="3">
        <f t="shared" ca="1" si="131"/>
        <v>5.7586394016930604E-4</v>
      </c>
      <c r="AB322" s="3">
        <f t="shared" ca="1" si="132"/>
        <v>0.26661602453166722</v>
      </c>
      <c r="AC322" s="3">
        <f t="shared" ca="1" si="133"/>
        <v>5.5358462315004707E-5</v>
      </c>
      <c r="AD322" s="3">
        <f t="shared" ca="1" si="134"/>
        <v>0.19273577459136901</v>
      </c>
      <c r="AE322" s="3">
        <f t="shared" ca="1" si="135"/>
        <v>2.3174745014074483</v>
      </c>
      <c r="AG322" s="3">
        <f t="shared" ca="1" si="136"/>
        <v>1.2185421189475241E-4</v>
      </c>
      <c r="AH322" s="3">
        <f t="shared" ca="1" si="137"/>
        <v>6.1233885796907017E-5</v>
      </c>
      <c r="AI322" s="3">
        <f t="shared" ca="1" si="138"/>
        <v>1.3645555550668429E-2</v>
      </c>
      <c r="AJ322" s="3">
        <f t="shared" ca="1" si="139"/>
        <v>5.4862733207455621E-4</v>
      </c>
      <c r="AK322" s="3">
        <f t="shared" ca="1" si="140"/>
        <v>0.26661602453166722</v>
      </c>
      <c r="AL322" s="3">
        <f t="shared" ca="1" si="141"/>
        <v>5.5358462315004707E-5</v>
      </c>
      <c r="AM322" s="3">
        <f t="shared" ca="1" si="142"/>
        <v>0.19273577459136901</v>
      </c>
      <c r="AN322" s="3">
        <f t="shared" ca="1" si="143"/>
        <v>2.3174745014074483</v>
      </c>
      <c r="AP322" s="3">
        <f t="shared" ca="1" si="144"/>
        <v>8.6899177665680423</v>
      </c>
      <c r="AQ322" s="3">
        <f t="shared" ca="1" si="151"/>
        <v>0.40033651012281013</v>
      </c>
      <c r="AR322" s="3">
        <f t="shared" ca="1" si="145"/>
        <v>2.3464338573438157E-4</v>
      </c>
      <c r="AS322" s="3">
        <f t="shared" ca="1" si="146"/>
        <v>0.19261122589331012</v>
      </c>
      <c r="AT322" s="3">
        <f t="shared" ca="1" si="147"/>
        <v>0.70893489670319576</v>
      </c>
      <c r="AU322" s="3">
        <f t="shared" ca="1" si="148"/>
        <v>5.3328141755654097E-2</v>
      </c>
      <c r="AV322" s="10">
        <f t="shared" ca="1" si="152"/>
        <v>0.70893489670319576</v>
      </c>
      <c r="AW322" s="10">
        <f t="shared" ca="1" si="153"/>
        <v>0.70893489670319576</v>
      </c>
      <c r="AY322" s="3">
        <f t="shared" ca="1" si="159"/>
        <v>8.6921800948696966</v>
      </c>
      <c r="AZ322" s="3">
        <f t="shared" ca="1" si="154"/>
        <v>0.40044199777427769</v>
      </c>
      <c r="BA322" s="3">
        <f t="shared" ca="1" si="149"/>
        <v>2.1969342488950734E-4</v>
      </c>
      <c r="BB322" s="3">
        <f t="shared" ca="1" si="155"/>
        <v>0.1925160811664795</v>
      </c>
      <c r="BC322" s="3">
        <f t="shared" ca="1" si="156"/>
        <v>0.7086899306020038</v>
      </c>
      <c r="BD322" s="3">
        <f t="shared" ca="1" si="150"/>
        <v>5.3163447635091614E-2</v>
      </c>
      <c r="BE322" s="3">
        <f t="shared" ca="1" si="157"/>
        <v>0.7086899306020038</v>
      </c>
      <c r="BF322" s="3">
        <f t="shared" ca="1" si="158"/>
        <v>0.7086899306020038</v>
      </c>
    </row>
    <row r="323" spans="1:58" ht="15" x14ac:dyDescent="0.25">
      <c r="A323" s="72">
        <v>257</v>
      </c>
      <c r="B323" s="72">
        <v>1498730254.8829999</v>
      </c>
      <c r="C323" s="73">
        <v>2.8447433547538402E-4</v>
      </c>
      <c r="D323" s="73">
        <v>-4.20475341868896E-5</v>
      </c>
      <c r="E323" s="73">
        <v>1.53266492272503E-2</v>
      </c>
      <c r="F323" s="73">
        <v>3.8521554094276899E-4</v>
      </c>
      <c r="G323" s="73">
        <v>0.28496740952511501</v>
      </c>
      <c r="H323" s="73">
        <v>-5.2101954780058002E-5</v>
      </c>
      <c r="I323" s="73">
        <v>0.20570742367476999</v>
      </c>
      <c r="J323" s="73">
        <v>2.4742979440867598</v>
      </c>
      <c r="K323" s="73"/>
      <c r="L323" s="73"/>
      <c r="M323" s="73"/>
      <c r="O323" s="13">
        <f t="shared" ref="O323:O386" ca="1" si="160">C323-AVERAGE(OFFSET(C$67,$J$2,0,$J$3))</f>
        <v>1.9787106203822435E-5</v>
      </c>
      <c r="P323" s="13">
        <f t="shared" ref="P323:P386" ca="1" si="161">D323-AVERAGE(OFFSET(D$67,$J$2,0,$J$3))</f>
        <v>-5.3335009571729772E-5</v>
      </c>
      <c r="Q323" s="13">
        <f t="shared" ref="Q323:Q386" ca="1" si="162">E323-AVERAGE(OFFSET(E$67,$J$2,0,$J$3))</f>
        <v>1.4485909609277614E-2</v>
      </c>
      <c r="R323" s="13">
        <f t="shared" ref="R323:R386" ca="1" si="163">F323-AVERAGE(OFFSET(F$67,$J$2,0,$J$3))</f>
        <v>3.7543926205208786E-4</v>
      </c>
      <c r="S323" s="13">
        <f t="shared" ref="S323:S386" ca="1" si="164">G323-AVERAGE(OFFSET(G$67,$J$2,0,$J$3))</f>
        <v>0.28383233089187365</v>
      </c>
      <c r="T323" s="13">
        <f t="shared" ref="T323:T386" ca="1" si="165">H323-AVERAGE(OFFSET(H$67,$J$2,0,$J$3))</f>
        <v>-5.2451776291082092E-5</v>
      </c>
      <c r="U323" s="13">
        <f t="shared" ref="U323:U386" ca="1" si="166">I323-AVERAGE(OFFSET(I$67,$J$2,0,$J$3))</f>
        <v>0.20505357967998147</v>
      </c>
      <c r="V323" s="13">
        <f t="shared" ref="V323:V386" ca="1" si="167">J323-AVERAGE(OFFSET(J$67,$J$2,0,$J$3))</f>
        <v>2.4671591631643057</v>
      </c>
      <c r="X323" s="3">
        <f t="shared" ref="X323:X386" ca="1" si="168">O323</f>
        <v>1.9787106203822435E-5</v>
      </c>
      <c r="Y323" s="3">
        <f t="shared" ref="Y323:Y386" ca="1" si="169">P323</f>
        <v>-5.3335009571729772E-5</v>
      </c>
      <c r="Z323" s="3">
        <f t="shared" ref="Z323:Z386" ca="1" si="170">IF($T323&gt;0,Q323-($B$14/$B$18*$T323), Q323)</f>
        <v>1.4485909609277614E-2</v>
      </c>
      <c r="AA323" s="3">
        <f t="shared" ref="AA323:AA386" ca="1" si="171">IF($T323&gt;0,R323-($B$15/$B$18*$T323), R323)</f>
        <v>3.7543926205208786E-4</v>
      </c>
      <c r="AB323" s="3">
        <f t="shared" ref="AB323:AB386" ca="1" si="172">IF($T323&gt;0,S323-($B$17/$B$18*$T323), S323)</f>
        <v>0.28383233089187365</v>
      </c>
      <c r="AC323" s="3">
        <f t="shared" ref="AC323:AC386" ca="1" si="173">T323</f>
        <v>-5.2451776291082092E-5</v>
      </c>
      <c r="AD323" s="3">
        <f t="shared" ref="AD323:AD386" ca="1" si="174">IF($T323&gt;0,U323-($B$19/$B$18*$T323), U323)</f>
        <v>0.20505357967998147</v>
      </c>
      <c r="AE323" s="3">
        <f t="shared" ref="AE323:AE386" ca="1" si="175">IF($T323&gt;0,V323-($B$20/$B$18*$T323), V323)</f>
        <v>2.4671591631643057</v>
      </c>
      <c r="AG323" s="3">
        <f t="shared" ref="AG323:AG386" ca="1" si="176">X323</f>
        <v>1.9787106203822435E-5</v>
      </c>
      <c r="AH323" s="3">
        <f t="shared" ref="AH323:AH386" ca="1" si="177">Y323</f>
        <v>-5.3335009571729772E-5</v>
      </c>
      <c r="AI323" s="3">
        <f t="shared" ref="AI323:AI386" ca="1" si="178">IF($Y323&gt;0,Z323-($B$25/$B$23*$Y323),Z323)</f>
        <v>1.4485909609277614E-2</v>
      </c>
      <c r="AJ323" s="3">
        <f t="shared" ref="AJ323:AJ386" ca="1" si="179">IF($Y323&gt;0,AA323-($B$26/$B$23*$Y323),AA323)</f>
        <v>3.7543926205208786E-4</v>
      </c>
      <c r="AK323" s="3">
        <f t="shared" ref="AK323:AK386" ca="1" si="180">AB323</f>
        <v>0.28383233089187365</v>
      </c>
      <c r="AL323" s="3">
        <f t="shared" ref="AL323:AL386" ca="1" si="181">AC323</f>
        <v>-5.2451776291082092E-5</v>
      </c>
      <c r="AM323" s="3">
        <f t="shared" ref="AM323:AM386" ca="1" si="182">AD323</f>
        <v>0.20505357967998147</v>
      </c>
      <c r="AN323" s="3">
        <f t="shared" ref="AN323:AN386" ca="1" si="183">AE323</f>
        <v>2.4671591631643057</v>
      </c>
      <c r="AP323" s="3">
        <f t="shared" ref="AP323:AP386" ca="1" si="184">IF(AND(S323&gt;0,V323&gt;0),V323/S323, #N/A)</f>
        <v>8.6923119554839356</v>
      </c>
      <c r="AQ323" s="3">
        <f t="shared" ca="1" si="151"/>
        <v>0.40044814617004471</v>
      </c>
      <c r="AR323" s="3">
        <f t="shared" ref="AR323:AR386" ca="1" si="185">AQ323*R323</f>
        <v>1.5034395648820818E-4</v>
      </c>
      <c r="AS323" s="3">
        <f t="shared" ref="AS323:AS386" ca="1" si="186">U323-AR323</f>
        <v>0.20490323572349325</v>
      </c>
      <c r="AT323" s="3">
        <f t="shared" ref="AT323:AT386" ca="1" si="187">(AS323/S323)/((AP323/$B$10)^$B$12)</f>
        <v>0.7085314511926275</v>
      </c>
      <c r="AU323" s="3">
        <f t="shared" ref="AU323:AU386" ca="1" si="188">(Q323/S323)/((AP323/$B$10)^$B$13)</f>
        <v>5.3015005683344246E-2</v>
      </c>
      <c r="AV323" s="10">
        <f t="shared" ca="1" si="152"/>
        <v>0.7085314511926275</v>
      </c>
      <c r="AW323" s="10">
        <f t="shared" ca="1" si="153"/>
        <v>0.7085314511926275</v>
      </c>
      <c r="AY323" s="3">
        <f t="shared" ca="1" si="159"/>
        <v>8.6923119554839356</v>
      </c>
      <c r="AZ323" s="3">
        <f t="shared" ca="1" si="154"/>
        <v>0.40044814617004471</v>
      </c>
      <c r="BA323" s="3">
        <f t="shared" ref="BA323:BA386" ca="1" si="189">AZ323*AJ323</f>
        <v>1.5034395648820818E-4</v>
      </c>
      <c r="BB323" s="3">
        <f t="shared" ca="1" si="155"/>
        <v>0.20490323572349325</v>
      </c>
      <c r="BC323" s="3">
        <f t="shared" ca="1" si="156"/>
        <v>0.7085314511926275</v>
      </c>
      <c r="BD323" s="3">
        <f t="shared" ref="BD323:BD386" ca="1" si="190">(AI323/AK323)/((AY323/$B$10)^$B$13)</f>
        <v>5.3015005683344246E-2</v>
      </c>
      <c r="BE323" s="3">
        <f t="shared" ca="1" si="157"/>
        <v>0.7085314511926275</v>
      </c>
      <c r="BF323" s="3">
        <f t="shared" ca="1" si="158"/>
        <v>0.7085314511926275</v>
      </c>
    </row>
    <row r="324" spans="1:58" ht="15" x14ac:dyDescent="0.25">
      <c r="A324" s="72">
        <v>258</v>
      </c>
      <c r="B324" s="72">
        <v>1498730255.4100001</v>
      </c>
      <c r="C324" s="73">
        <v>3.2396759588747899E-4</v>
      </c>
      <c r="D324" s="73">
        <v>-1.16214980815825E-4</v>
      </c>
      <c r="E324" s="73">
        <v>1.49212345826354E-2</v>
      </c>
      <c r="F324" s="73">
        <v>4.0973262364478002E-4</v>
      </c>
      <c r="G324" s="73">
        <v>0.27853051134290102</v>
      </c>
      <c r="H324" s="73">
        <v>-4.3460669631029602E-5</v>
      </c>
      <c r="I324" s="73">
        <v>0.20104705145264301</v>
      </c>
      <c r="J324" s="73">
        <v>2.41847384520951</v>
      </c>
      <c r="K324" s="73"/>
      <c r="L324" s="73"/>
      <c r="M324" s="73"/>
      <c r="O324" s="13">
        <f t="shared" ca="1" si="160"/>
        <v>5.9280366615917408E-5</v>
      </c>
      <c r="P324" s="13">
        <f t="shared" ca="1" si="161"/>
        <v>-1.2750245620066518E-4</v>
      </c>
      <c r="Q324" s="13">
        <f t="shared" ca="1" si="162"/>
        <v>1.4080494964662715E-2</v>
      </c>
      <c r="R324" s="13">
        <f t="shared" ca="1" si="163"/>
        <v>3.9995634475409889E-4</v>
      </c>
      <c r="S324" s="13">
        <f t="shared" ca="1" si="164"/>
        <v>0.27739543270965966</v>
      </c>
      <c r="T324" s="13">
        <f t="shared" ca="1" si="165"/>
        <v>-4.3810491142053692E-5</v>
      </c>
      <c r="U324" s="13">
        <f t="shared" ca="1" si="166"/>
        <v>0.20039320745785449</v>
      </c>
      <c r="V324" s="13">
        <f t="shared" ca="1" si="167"/>
        <v>2.4113350642870559</v>
      </c>
      <c r="X324" s="3">
        <f t="shared" ca="1" si="168"/>
        <v>5.9280366615917408E-5</v>
      </c>
      <c r="Y324" s="3">
        <f t="shared" ca="1" si="169"/>
        <v>-1.2750245620066518E-4</v>
      </c>
      <c r="Z324" s="3">
        <f t="shared" ca="1" si="170"/>
        <v>1.4080494964662715E-2</v>
      </c>
      <c r="AA324" s="3">
        <f t="shared" ca="1" si="171"/>
        <v>3.9995634475409889E-4</v>
      </c>
      <c r="AB324" s="3">
        <f t="shared" ca="1" si="172"/>
        <v>0.27739543270965966</v>
      </c>
      <c r="AC324" s="3">
        <f t="shared" ca="1" si="173"/>
        <v>-4.3810491142053692E-5</v>
      </c>
      <c r="AD324" s="3">
        <f t="shared" ca="1" si="174"/>
        <v>0.20039320745785449</v>
      </c>
      <c r="AE324" s="3">
        <f t="shared" ca="1" si="175"/>
        <v>2.4113350642870559</v>
      </c>
      <c r="AG324" s="3">
        <f t="shared" ca="1" si="176"/>
        <v>5.9280366615917408E-5</v>
      </c>
      <c r="AH324" s="3">
        <f t="shared" ca="1" si="177"/>
        <v>-1.2750245620066518E-4</v>
      </c>
      <c r="AI324" s="3">
        <f t="shared" ca="1" si="178"/>
        <v>1.4080494964662715E-2</v>
      </c>
      <c r="AJ324" s="3">
        <f t="shared" ca="1" si="179"/>
        <v>3.9995634475409889E-4</v>
      </c>
      <c r="AK324" s="3">
        <f t="shared" ca="1" si="180"/>
        <v>0.27739543270965966</v>
      </c>
      <c r="AL324" s="3">
        <f t="shared" ca="1" si="181"/>
        <v>-4.3810491142053692E-5</v>
      </c>
      <c r="AM324" s="3">
        <f t="shared" ca="1" si="182"/>
        <v>0.20039320745785449</v>
      </c>
      <c r="AN324" s="3">
        <f t="shared" ca="1" si="183"/>
        <v>2.4113350642870559</v>
      </c>
      <c r="AP324" s="3">
        <f t="shared" ca="1" si="184"/>
        <v>8.6927713291188837</v>
      </c>
      <c r="AQ324" s="3">
        <f t="shared" ref="AQ324:AQ387" ca="1" si="191">$B$8*((AP324/$B$10)^$B$11)</f>
        <v>0.40046956584940796</v>
      </c>
      <c r="AR324" s="3">
        <f t="shared" ca="1" si="185"/>
        <v>1.6017034374239011E-4</v>
      </c>
      <c r="AS324" s="3">
        <f t="shared" ca="1" si="186"/>
        <v>0.20023303711411211</v>
      </c>
      <c r="AT324" s="3">
        <f t="shared" ca="1" si="187"/>
        <v>0.70843017398123354</v>
      </c>
      <c r="AU324" s="3">
        <f t="shared" ca="1" si="188"/>
        <v>5.2729906990418976E-2</v>
      </c>
      <c r="AV324" s="10">
        <f t="shared" ref="AV324:AV387" ca="1" si="192">IF(AND(AT324&lt;$M$3,AT324&gt;$M$4),AT324,"rejected")</f>
        <v>0.70843017398123354</v>
      </c>
      <c r="AW324" s="10">
        <f t="shared" ref="AW324:AW387" ca="1" si="193">IF(AND(AT324&lt;$M$3,AT324&gt;$M$4),AT324,#N/A)</f>
        <v>0.70843017398123354</v>
      </c>
      <c r="AY324" s="3">
        <f t="shared" ca="1" si="159"/>
        <v>8.6927713291188837</v>
      </c>
      <c r="AZ324" s="3">
        <f t="shared" ref="AZ324:AZ387" ca="1" si="194">$B$8*((AY324/$B$10)^$B$11)</f>
        <v>0.40046956584940796</v>
      </c>
      <c r="BA324" s="3">
        <f t="shared" ca="1" si="189"/>
        <v>1.6017034374239011E-4</v>
      </c>
      <c r="BB324" s="3">
        <f t="shared" ref="BB324:BB387" ca="1" si="195">AM324-BA324</f>
        <v>0.20023303711411211</v>
      </c>
      <c r="BC324" s="3">
        <f t="shared" ref="BC324:BC387" ca="1" si="196">(BB324/AK324)/((AY324/$B$10)^$B$12)</f>
        <v>0.70843017398123354</v>
      </c>
      <c r="BD324" s="3">
        <f t="shared" ca="1" si="190"/>
        <v>5.2729906990418976E-2</v>
      </c>
      <c r="BE324" s="3">
        <f t="shared" ref="BE324:BE387" ca="1" si="197">IF(AND(BC324&lt;$P$3,BC324&gt;$P$4),BC324,"rejected")</f>
        <v>0.70843017398123354</v>
      </c>
      <c r="BF324" s="3">
        <f t="shared" ref="BF324:BF387" ca="1" si="198">IF(AND(BC324&lt;$P$3,BC324&gt;$P$4),BC324,#N/A)</f>
        <v>0.70843017398123354</v>
      </c>
    </row>
    <row r="325" spans="1:58" ht="15" x14ac:dyDescent="0.25">
      <c r="A325" s="72">
        <v>259</v>
      </c>
      <c r="B325" s="72">
        <v>1498730255.937</v>
      </c>
      <c r="C325" s="73">
        <v>3.5251791344923498E-4</v>
      </c>
      <c r="D325" s="73">
        <v>9.7326678636920202E-5</v>
      </c>
      <c r="E325" s="73">
        <v>1.49961830857629E-2</v>
      </c>
      <c r="F325" s="73">
        <v>5.0280780450639398E-4</v>
      </c>
      <c r="G325" s="73">
        <v>0.27773389696803502</v>
      </c>
      <c r="H325" s="73">
        <v>-2.8560947712859701E-5</v>
      </c>
      <c r="I325" s="73">
        <v>0.20081026305012001</v>
      </c>
      <c r="J325" s="73">
        <v>2.4132209428132398</v>
      </c>
      <c r="K325" s="73"/>
      <c r="L325" s="73"/>
      <c r="M325" s="73"/>
      <c r="O325" s="13">
        <f t="shared" ca="1" si="160"/>
        <v>8.7830684177673396E-5</v>
      </c>
      <c r="P325" s="13">
        <f t="shared" ca="1" si="161"/>
        <v>8.6039203252080023E-5</v>
      </c>
      <c r="Q325" s="13">
        <f t="shared" ca="1" si="162"/>
        <v>1.4155443467790215E-2</v>
      </c>
      <c r="R325" s="13">
        <f t="shared" ca="1" si="163"/>
        <v>4.9303152561571285E-4</v>
      </c>
      <c r="S325" s="13">
        <f t="shared" ca="1" si="164"/>
        <v>0.27659881833479366</v>
      </c>
      <c r="T325" s="13">
        <f t="shared" ca="1" si="165"/>
        <v>-2.8910769223883787E-5</v>
      </c>
      <c r="U325" s="13">
        <f t="shared" ca="1" si="166"/>
        <v>0.20015641905533149</v>
      </c>
      <c r="V325" s="13">
        <f t="shared" ca="1" si="167"/>
        <v>2.4060821618907857</v>
      </c>
      <c r="X325" s="3">
        <f t="shared" ca="1" si="168"/>
        <v>8.7830684177673396E-5</v>
      </c>
      <c r="Y325" s="3">
        <f t="shared" ca="1" si="169"/>
        <v>8.6039203252080023E-5</v>
      </c>
      <c r="Z325" s="3">
        <f t="shared" ca="1" si="170"/>
        <v>1.4155443467790215E-2</v>
      </c>
      <c r="AA325" s="3">
        <f t="shared" ca="1" si="171"/>
        <v>4.9303152561571285E-4</v>
      </c>
      <c r="AB325" s="3">
        <f t="shared" ca="1" si="172"/>
        <v>0.27659881833479366</v>
      </c>
      <c r="AC325" s="3">
        <f t="shared" ca="1" si="173"/>
        <v>-2.8910769223883787E-5</v>
      </c>
      <c r="AD325" s="3">
        <f t="shared" ca="1" si="174"/>
        <v>0.20015641905533149</v>
      </c>
      <c r="AE325" s="3">
        <f t="shared" ca="1" si="175"/>
        <v>2.4060821618907857</v>
      </c>
      <c r="AG325" s="3">
        <f t="shared" ca="1" si="176"/>
        <v>8.7830684177673396E-5</v>
      </c>
      <c r="AH325" s="3">
        <f t="shared" ca="1" si="177"/>
        <v>8.6039203252080023E-5</v>
      </c>
      <c r="AI325" s="3">
        <f t="shared" ca="1" si="178"/>
        <v>1.4086139345944619E-2</v>
      </c>
      <c r="AJ325" s="3">
        <f t="shared" ca="1" si="179"/>
        <v>4.5476160318201695E-4</v>
      </c>
      <c r="AK325" s="3">
        <f t="shared" ca="1" si="180"/>
        <v>0.27659881833479366</v>
      </c>
      <c r="AL325" s="3">
        <f t="shared" ca="1" si="181"/>
        <v>-2.8910769223883787E-5</v>
      </c>
      <c r="AM325" s="3">
        <f t="shared" ca="1" si="182"/>
        <v>0.20015641905533149</v>
      </c>
      <c r="AN325" s="3">
        <f t="shared" ca="1" si="183"/>
        <v>2.4060821618907857</v>
      </c>
      <c r="AP325" s="3">
        <f t="shared" ca="1" si="184"/>
        <v>8.698815766372789</v>
      </c>
      <c r="AQ325" s="3">
        <f t="shared" ca="1" si="191"/>
        <v>0.40075140722074237</v>
      </c>
      <c r="AR325" s="3">
        <f t="shared" ca="1" si="185"/>
        <v>1.9758307769468641E-4</v>
      </c>
      <c r="AS325" s="3">
        <f t="shared" ca="1" si="186"/>
        <v>0.19995883597763681</v>
      </c>
      <c r="AT325" s="3">
        <f t="shared" ca="1" si="187"/>
        <v>0.70924923833389131</v>
      </c>
      <c r="AU325" s="3">
        <f t="shared" ca="1" si="188"/>
        <v>5.3201079615767019E-2</v>
      </c>
      <c r="AV325" s="10">
        <f t="shared" ca="1" si="192"/>
        <v>0.70924923833389131</v>
      </c>
      <c r="AW325" s="10">
        <f t="shared" ca="1" si="193"/>
        <v>0.70924923833389131</v>
      </c>
      <c r="AY325" s="3">
        <f t="shared" ref="AY325:AY388" ca="1" si="199">IF(AND(AN325&gt;0, AK325&gt;0),AN325/AK325, #N/A)</f>
        <v>8.698815766372789</v>
      </c>
      <c r="AZ325" s="3">
        <f t="shared" ca="1" si="194"/>
        <v>0.40075140722074237</v>
      </c>
      <c r="BA325" s="3">
        <f t="shared" ca="1" si="189"/>
        <v>1.8224635242515414E-4</v>
      </c>
      <c r="BB325" s="3">
        <f t="shared" ca="1" si="195"/>
        <v>0.19997417270290635</v>
      </c>
      <c r="BC325" s="3">
        <f t="shared" ca="1" si="196"/>
        <v>0.70930363733387936</v>
      </c>
      <c r="BD325" s="3">
        <f t="shared" ca="1" si="190"/>
        <v>5.2940610622874078E-2</v>
      </c>
      <c r="BE325" s="3">
        <f t="shared" ca="1" si="197"/>
        <v>0.70930363733387936</v>
      </c>
      <c r="BF325" s="3">
        <f t="shared" ca="1" si="198"/>
        <v>0.70930363733387936</v>
      </c>
    </row>
    <row r="326" spans="1:58" ht="15" x14ac:dyDescent="0.25">
      <c r="A326" s="72">
        <v>260</v>
      </c>
      <c r="B326" s="72">
        <v>1498730256.464</v>
      </c>
      <c r="C326" s="73">
        <v>2.0477883739978601E-4</v>
      </c>
      <c r="D326" s="73">
        <v>-2.85834221997351E-5</v>
      </c>
      <c r="E326" s="73">
        <v>1.4559583622142399E-2</v>
      </c>
      <c r="F326" s="73">
        <v>4.74955754105173E-4</v>
      </c>
      <c r="G326" s="73">
        <v>0.26893594310105601</v>
      </c>
      <c r="H326" s="73">
        <v>-7.0420877343876402E-5</v>
      </c>
      <c r="I326" s="73">
        <v>0.194372176932152</v>
      </c>
      <c r="J326" s="73">
        <v>2.3368930305529201</v>
      </c>
      <c r="K326" s="73"/>
      <c r="L326" s="73"/>
      <c r="M326" s="73"/>
      <c r="O326" s="13">
        <f t="shared" ca="1" si="160"/>
        <v>-5.9908391871775572E-5</v>
      </c>
      <c r="P326" s="13">
        <f t="shared" ca="1" si="161"/>
        <v>-3.9870897584575272E-5</v>
      </c>
      <c r="Q326" s="13">
        <f t="shared" ca="1" si="162"/>
        <v>1.3718844004169714E-2</v>
      </c>
      <c r="R326" s="13">
        <f t="shared" ca="1" si="163"/>
        <v>4.6517947521449186E-4</v>
      </c>
      <c r="S326" s="13">
        <f t="shared" ca="1" si="164"/>
        <v>0.26780086446781465</v>
      </c>
      <c r="T326" s="13">
        <f t="shared" ca="1" si="165"/>
        <v>-7.0770698854900492E-5</v>
      </c>
      <c r="U326" s="13">
        <f t="shared" ca="1" si="166"/>
        <v>0.19371833293736349</v>
      </c>
      <c r="V326" s="13">
        <f t="shared" ca="1" si="167"/>
        <v>2.329754249630466</v>
      </c>
      <c r="X326" s="3">
        <f t="shared" ca="1" si="168"/>
        <v>-5.9908391871775572E-5</v>
      </c>
      <c r="Y326" s="3">
        <f t="shared" ca="1" si="169"/>
        <v>-3.9870897584575272E-5</v>
      </c>
      <c r="Z326" s="3">
        <f t="shared" ca="1" si="170"/>
        <v>1.3718844004169714E-2</v>
      </c>
      <c r="AA326" s="3">
        <f t="shared" ca="1" si="171"/>
        <v>4.6517947521449186E-4</v>
      </c>
      <c r="AB326" s="3">
        <f t="shared" ca="1" si="172"/>
        <v>0.26780086446781465</v>
      </c>
      <c r="AC326" s="3">
        <f t="shared" ca="1" si="173"/>
        <v>-7.0770698854900492E-5</v>
      </c>
      <c r="AD326" s="3">
        <f t="shared" ca="1" si="174"/>
        <v>0.19371833293736349</v>
      </c>
      <c r="AE326" s="3">
        <f t="shared" ca="1" si="175"/>
        <v>2.329754249630466</v>
      </c>
      <c r="AG326" s="3">
        <f t="shared" ca="1" si="176"/>
        <v>-5.9908391871775572E-5</v>
      </c>
      <c r="AH326" s="3">
        <f t="shared" ca="1" si="177"/>
        <v>-3.9870897584575272E-5</v>
      </c>
      <c r="AI326" s="3">
        <f t="shared" ca="1" si="178"/>
        <v>1.3718844004169714E-2</v>
      </c>
      <c r="AJ326" s="3">
        <f t="shared" ca="1" si="179"/>
        <v>4.6517947521449186E-4</v>
      </c>
      <c r="AK326" s="3">
        <f t="shared" ca="1" si="180"/>
        <v>0.26780086446781465</v>
      </c>
      <c r="AL326" s="3">
        <f t="shared" ca="1" si="181"/>
        <v>-7.0770698854900492E-5</v>
      </c>
      <c r="AM326" s="3">
        <f t="shared" ca="1" si="182"/>
        <v>0.19371833293736349</v>
      </c>
      <c r="AN326" s="3">
        <f t="shared" ca="1" si="183"/>
        <v>2.329754249630466</v>
      </c>
      <c r="AP326" s="3">
        <f t="shared" ca="1" si="184"/>
        <v>8.6995770318376433</v>
      </c>
      <c r="AQ326" s="3">
        <f t="shared" ca="1" si="191"/>
        <v>0.40078690384544763</v>
      </c>
      <c r="AR326" s="3">
        <f t="shared" ca="1" si="185"/>
        <v>1.8643784160366633E-4</v>
      </c>
      <c r="AS326" s="3">
        <f t="shared" ca="1" si="186"/>
        <v>0.19353189509575983</v>
      </c>
      <c r="AT326" s="3">
        <f t="shared" ca="1" si="187"/>
        <v>0.70897355186520195</v>
      </c>
      <c r="AU326" s="3">
        <f t="shared" ca="1" si="188"/>
        <v>5.3258841854023665E-2</v>
      </c>
      <c r="AV326" s="10">
        <f t="shared" ca="1" si="192"/>
        <v>0.70897355186520195</v>
      </c>
      <c r="AW326" s="10">
        <f t="shared" ca="1" si="193"/>
        <v>0.70897355186520195</v>
      </c>
      <c r="AY326" s="3">
        <f t="shared" ca="1" si="199"/>
        <v>8.6995770318376433</v>
      </c>
      <c r="AZ326" s="3">
        <f t="shared" ca="1" si="194"/>
        <v>0.40078690384544763</v>
      </c>
      <c r="BA326" s="3">
        <f t="shared" ca="1" si="189"/>
        <v>1.8643784160366633E-4</v>
      </c>
      <c r="BB326" s="3">
        <f t="shared" ca="1" si="195"/>
        <v>0.19353189509575983</v>
      </c>
      <c r="BC326" s="3">
        <f t="shared" ca="1" si="196"/>
        <v>0.70897355186520195</v>
      </c>
      <c r="BD326" s="3">
        <f t="shared" ca="1" si="190"/>
        <v>5.3258841854023665E-2</v>
      </c>
      <c r="BE326" s="3">
        <f t="shared" ca="1" si="197"/>
        <v>0.70897355186520195</v>
      </c>
      <c r="BF326" s="3">
        <f t="shared" ca="1" si="198"/>
        <v>0.70897355186520195</v>
      </c>
    </row>
    <row r="327" spans="1:58" ht="15" x14ac:dyDescent="0.25">
      <c r="A327" s="72">
        <v>261</v>
      </c>
      <c r="B327" s="72">
        <v>1498730256.9909999</v>
      </c>
      <c r="C327" s="73">
        <v>2.8613968238333601E-4</v>
      </c>
      <c r="D327" s="73">
        <v>-4.9842462877650903E-5</v>
      </c>
      <c r="E327" s="73">
        <v>1.53630528943742E-2</v>
      </c>
      <c r="F327" s="73">
        <v>4.7638404549036202E-4</v>
      </c>
      <c r="G327" s="73">
        <v>0.28481702921560398</v>
      </c>
      <c r="H327" s="73">
        <v>4.5734934370463799E-5</v>
      </c>
      <c r="I327" s="73">
        <v>0.205607978787817</v>
      </c>
      <c r="J327" s="73">
        <v>2.4714601665658402</v>
      </c>
      <c r="K327" s="73"/>
      <c r="L327" s="73"/>
      <c r="M327" s="73"/>
      <c r="O327" s="13">
        <f t="shared" ca="1" si="160"/>
        <v>2.145245311177443E-5</v>
      </c>
      <c r="P327" s="13">
        <f t="shared" ca="1" si="161"/>
        <v>-6.1129938262491075E-5</v>
      </c>
      <c r="Q327" s="13">
        <f t="shared" ca="1" si="162"/>
        <v>1.4522313276401515E-2</v>
      </c>
      <c r="R327" s="13">
        <f t="shared" ca="1" si="163"/>
        <v>4.6660776659968088E-4</v>
      </c>
      <c r="S327" s="13">
        <f t="shared" ca="1" si="164"/>
        <v>0.28368195058236262</v>
      </c>
      <c r="T327" s="13">
        <f t="shared" ca="1" si="165"/>
        <v>4.538511285943971E-5</v>
      </c>
      <c r="U327" s="13">
        <f t="shared" ca="1" si="166"/>
        <v>0.20495413479302849</v>
      </c>
      <c r="V327" s="13">
        <f t="shared" ca="1" si="167"/>
        <v>2.4643213856433861</v>
      </c>
      <c r="X327" s="3">
        <f t="shared" ca="1" si="168"/>
        <v>2.145245311177443E-5</v>
      </c>
      <c r="Y327" s="3">
        <f t="shared" ca="1" si="169"/>
        <v>-6.1129938262491075E-5</v>
      </c>
      <c r="Z327" s="3">
        <f t="shared" ca="1" si="170"/>
        <v>1.4521966046326107E-2</v>
      </c>
      <c r="AA327" s="3">
        <f t="shared" ca="1" si="171"/>
        <v>4.582032204563008E-4</v>
      </c>
      <c r="AB327" s="3">
        <f t="shared" ca="1" si="172"/>
        <v>0.28362083019749834</v>
      </c>
      <c r="AC327" s="3">
        <f t="shared" ca="1" si="173"/>
        <v>4.538511285943971E-5</v>
      </c>
      <c r="AD327" s="3">
        <f t="shared" ca="1" si="174"/>
        <v>0.20486387470240416</v>
      </c>
      <c r="AE327" s="3">
        <f t="shared" ca="1" si="175"/>
        <v>2.4642847601983382</v>
      </c>
      <c r="AG327" s="3">
        <f t="shared" ca="1" si="176"/>
        <v>2.145245311177443E-5</v>
      </c>
      <c r="AH327" s="3">
        <f t="shared" ca="1" si="177"/>
        <v>-6.1129938262491075E-5</v>
      </c>
      <c r="AI327" s="3">
        <f t="shared" ca="1" si="178"/>
        <v>1.4521966046326107E-2</v>
      </c>
      <c r="AJ327" s="3">
        <f t="shared" ca="1" si="179"/>
        <v>4.582032204563008E-4</v>
      </c>
      <c r="AK327" s="3">
        <f t="shared" ca="1" si="180"/>
        <v>0.28362083019749834</v>
      </c>
      <c r="AL327" s="3">
        <f t="shared" ca="1" si="181"/>
        <v>4.538511285943971E-5</v>
      </c>
      <c r="AM327" s="3">
        <f t="shared" ca="1" si="182"/>
        <v>0.20486387470240416</v>
      </c>
      <c r="AN327" s="3">
        <f t="shared" ca="1" si="183"/>
        <v>2.4642847601983382</v>
      </c>
      <c r="AP327" s="3">
        <f t="shared" ca="1" si="184"/>
        <v>8.6869163885275427</v>
      </c>
      <c r="AQ327" s="3">
        <f t="shared" ca="1" si="191"/>
        <v>0.40019656263712466</v>
      </c>
      <c r="AR327" s="3">
        <f t="shared" ca="1" si="185"/>
        <v>1.8673482429297804E-4</v>
      </c>
      <c r="AS327" s="3">
        <f t="shared" ca="1" si="186"/>
        <v>0.2047673999687355</v>
      </c>
      <c r="AT327" s="3">
        <f t="shared" ca="1" si="187"/>
        <v>0.70865864895409347</v>
      </c>
      <c r="AU327" s="3">
        <f t="shared" ca="1" si="188"/>
        <v>5.3142633145821135E-2</v>
      </c>
      <c r="AV327" s="10">
        <f t="shared" ca="1" si="192"/>
        <v>0.70865864895409347</v>
      </c>
      <c r="AW327" s="10">
        <f t="shared" ca="1" si="193"/>
        <v>0.70865864895409347</v>
      </c>
      <c r="AY327" s="3">
        <f t="shared" ca="1" si="199"/>
        <v>8.6886592867045138</v>
      </c>
      <c r="AZ327" s="3">
        <f t="shared" ca="1" si="194"/>
        <v>0.40027782997503708</v>
      </c>
      <c r="BA327" s="3">
        <f t="shared" ca="1" si="189"/>
        <v>1.834085907718216E-4</v>
      </c>
      <c r="BB327" s="3">
        <f t="shared" ca="1" si="195"/>
        <v>0.20468046611163235</v>
      </c>
      <c r="BC327" s="3">
        <f t="shared" ca="1" si="196"/>
        <v>0.7084388638204443</v>
      </c>
      <c r="BD327" s="3">
        <f t="shared" ca="1" si="190"/>
        <v>5.3163726763938157E-2</v>
      </c>
      <c r="BE327" s="3">
        <f t="shared" ca="1" si="197"/>
        <v>0.7084388638204443</v>
      </c>
      <c r="BF327" s="3">
        <f t="shared" ca="1" si="198"/>
        <v>0.7084388638204443</v>
      </c>
    </row>
    <row r="328" spans="1:58" ht="15" x14ac:dyDescent="0.25">
      <c r="A328" s="72">
        <v>262</v>
      </c>
      <c r="B328" s="72">
        <v>1498730257.517</v>
      </c>
      <c r="C328" s="73">
        <v>2.3951101877151999E-4</v>
      </c>
      <c r="D328" s="73">
        <v>2.6692215481083099E-5</v>
      </c>
      <c r="E328" s="73">
        <v>1.46255915474078E-2</v>
      </c>
      <c r="F328" s="73">
        <v>3.8592962222172301E-4</v>
      </c>
      <c r="G328" s="73">
        <v>0.27039380932216001</v>
      </c>
      <c r="H328" s="73">
        <v>-3.50264307022272E-6</v>
      </c>
      <c r="I328" s="73">
        <v>0.19536970255973701</v>
      </c>
      <c r="J328" s="73">
        <v>2.3528249548266902</v>
      </c>
      <c r="K328" s="73"/>
      <c r="L328" s="73"/>
      <c r="M328" s="73"/>
      <c r="O328" s="13">
        <f t="shared" ca="1" si="160"/>
        <v>-2.5176210500041596E-5</v>
      </c>
      <c r="P328" s="13">
        <f t="shared" ca="1" si="161"/>
        <v>1.5404740096242927E-5</v>
      </c>
      <c r="Q328" s="13">
        <f t="shared" ca="1" si="162"/>
        <v>1.3784851929435115E-2</v>
      </c>
      <c r="R328" s="13">
        <f t="shared" ca="1" si="163"/>
        <v>3.7615334333104188E-4</v>
      </c>
      <c r="S328" s="13">
        <f t="shared" ca="1" si="164"/>
        <v>0.26925873068891865</v>
      </c>
      <c r="T328" s="13">
        <f t="shared" ca="1" si="165"/>
        <v>-3.8524645812468069E-6</v>
      </c>
      <c r="U328" s="13">
        <f t="shared" ca="1" si="166"/>
        <v>0.1947158585649485</v>
      </c>
      <c r="V328" s="13">
        <f t="shared" ca="1" si="167"/>
        <v>2.3456861739042361</v>
      </c>
      <c r="X328" s="3">
        <f t="shared" ca="1" si="168"/>
        <v>-2.5176210500041596E-5</v>
      </c>
      <c r="Y328" s="3">
        <f t="shared" ca="1" si="169"/>
        <v>1.5404740096242927E-5</v>
      </c>
      <c r="Z328" s="3">
        <f t="shared" ca="1" si="170"/>
        <v>1.3784851929435115E-2</v>
      </c>
      <c r="AA328" s="3">
        <f t="shared" ca="1" si="171"/>
        <v>3.7615334333104188E-4</v>
      </c>
      <c r="AB328" s="3">
        <f t="shared" ca="1" si="172"/>
        <v>0.26925873068891865</v>
      </c>
      <c r="AC328" s="3">
        <f t="shared" ca="1" si="173"/>
        <v>-3.8524645812468069E-6</v>
      </c>
      <c r="AD328" s="3">
        <f t="shared" ca="1" si="174"/>
        <v>0.1947158585649485</v>
      </c>
      <c r="AE328" s="3">
        <f t="shared" ca="1" si="175"/>
        <v>2.3456861739042361</v>
      </c>
      <c r="AG328" s="3">
        <f t="shared" ca="1" si="176"/>
        <v>-2.5176210500041596E-5</v>
      </c>
      <c r="AH328" s="3">
        <f t="shared" ca="1" si="177"/>
        <v>1.5404740096242927E-5</v>
      </c>
      <c r="AI328" s="3">
        <f t="shared" ca="1" si="178"/>
        <v>1.3772443492998275E-2</v>
      </c>
      <c r="AJ328" s="3">
        <f t="shared" ca="1" si="179"/>
        <v>3.6930137136580626E-4</v>
      </c>
      <c r="AK328" s="3">
        <f t="shared" ca="1" si="180"/>
        <v>0.26925873068891865</v>
      </c>
      <c r="AL328" s="3">
        <f t="shared" ca="1" si="181"/>
        <v>-3.8524645812468069E-6</v>
      </c>
      <c r="AM328" s="3">
        <f t="shared" ca="1" si="182"/>
        <v>0.1947158585649485</v>
      </c>
      <c r="AN328" s="3">
        <f t="shared" ca="1" si="183"/>
        <v>2.3456861739042361</v>
      </c>
      <c r="AP328" s="3">
        <f t="shared" ca="1" si="184"/>
        <v>8.7116438820855393</v>
      </c>
      <c r="AQ328" s="3">
        <f t="shared" ca="1" si="191"/>
        <v>0.40134956733547278</v>
      </c>
      <c r="AR328" s="3">
        <f t="shared" ca="1" si="185"/>
        <v>1.5096898159770521E-4</v>
      </c>
      <c r="AS328" s="3">
        <f t="shared" ca="1" si="186"/>
        <v>0.1945648895833508</v>
      </c>
      <c r="AT328" s="3">
        <f t="shared" ca="1" si="187"/>
        <v>0.70840396978703557</v>
      </c>
      <c r="AU328" s="3">
        <f t="shared" ca="1" si="188"/>
        <v>5.3300889706100613E-2</v>
      </c>
      <c r="AV328" s="10">
        <f t="shared" ca="1" si="192"/>
        <v>0.70840396978703557</v>
      </c>
      <c r="AW328" s="10">
        <f t="shared" ca="1" si="193"/>
        <v>0.70840396978703557</v>
      </c>
      <c r="AY328" s="3">
        <f t="shared" ca="1" si="199"/>
        <v>8.7116438820855393</v>
      </c>
      <c r="AZ328" s="3">
        <f t="shared" ca="1" si="194"/>
        <v>0.40134956733547278</v>
      </c>
      <c r="BA328" s="3">
        <f t="shared" ca="1" si="189"/>
        <v>1.4821894561406311E-4</v>
      </c>
      <c r="BB328" s="3">
        <f t="shared" ca="1" si="195"/>
        <v>0.19456763961933443</v>
      </c>
      <c r="BC328" s="3">
        <f t="shared" ca="1" si="196"/>
        <v>0.70841398257203503</v>
      </c>
      <c r="BD328" s="3">
        <f t="shared" ca="1" si="190"/>
        <v>5.3252910902604512E-2</v>
      </c>
      <c r="BE328" s="3">
        <f t="shared" ca="1" si="197"/>
        <v>0.70841398257203503</v>
      </c>
      <c r="BF328" s="3">
        <f t="shared" ca="1" si="198"/>
        <v>0.70841398257203503</v>
      </c>
    </row>
    <row r="329" spans="1:58" ht="15" x14ac:dyDescent="0.25">
      <c r="A329" s="72">
        <v>263</v>
      </c>
      <c r="B329" s="72">
        <v>1498730258.0439999</v>
      </c>
      <c r="C329" s="73">
        <v>2.5901866414353402E-4</v>
      </c>
      <c r="D329" s="73">
        <v>7.0755779606853303E-7</v>
      </c>
      <c r="E329" s="73">
        <v>1.3150685205713599E-2</v>
      </c>
      <c r="F329" s="73">
        <v>3.6188916655593599E-4</v>
      </c>
      <c r="G329" s="73">
        <v>0.24504936979983399</v>
      </c>
      <c r="H329" s="73">
        <v>-2.0437176881162201E-5</v>
      </c>
      <c r="I329" s="73">
        <v>0.177044564635296</v>
      </c>
      <c r="J329" s="73">
        <v>2.1286025616200401</v>
      </c>
      <c r="K329" s="73"/>
      <c r="L329" s="73"/>
      <c r="M329" s="73"/>
      <c r="O329" s="13">
        <f t="shared" ca="1" si="160"/>
        <v>-5.668565128027559E-6</v>
      </c>
      <c r="P329" s="13">
        <f t="shared" ca="1" si="161"/>
        <v>-1.0579917588771639E-5</v>
      </c>
      <c r="Q329" s="13">
        <f t="shared" ca="1" si="162"/>
        <v>1.2309945587740914E-2</v>
      </c>
      <c r="R329" s="13">
        <f t="shared" ca="1" si="163"/>
        <v>3.5211288766525485E-4</v>
      </c>
      <c r="S329" s="13">
        <f t="shared" ca="1" si="164"/>
        <v>0.24391429116659263</v>
      </c>
      <c r="T329" s="13">
        <f t="shared" ca="1" si="165"/>
        <v>-2.0786998392186287E-5</v>
      </c>
      <c r="U329" s="13">
        <f t="shared" ca="1" si="166"/>
        <v>0.17639072064050748</v>
      </c>
      <c r="V329" s="13">
        <f t="shared" ca="1" si="167"/>
        <v>2.121463780697586</v>
      </c>
      <c r="X329" s="3">
        <f t="shared" ca="1" si="168"/>
        <v>-5.668565128027559E-6</v>
      </c>
      <c r="Y329" s="3">
        <f t="shared" ca="1" si="169"/>
        <v>-1.0579917588771639E-5</v>
      </c>
      <c r="Z329" s="3">
        <f t="shared" ca="1" si="170"/>
        <v>1.2309945587740914E-2</v>
      </c>
      <c r="AA329" s="3">
        <f t="shared" ca="1" si="171"/>
        <v>3.5211288766525485E-4</v>
      </c>
      <c r="AB329" s="3">
        <f t="shared" ca="1" si="172"/>
        <v>0.24391429116659263</v>
      </c>
      <c r="AC329" s="3">
        <f t="shared" ca="1" si="173"/>
        <v>-2.0786998392186287E-5</v>
      </c>
      <c r="AD329" s="3">
        <f t="shared" ca="1" si="174"/>
        <v>0.17639072064050748</v>
      </c>
      <c r="AE329" s="3">
        <f t="shared" ca="1" si="175"/>
        <v>2.121463780697586</v>
      </c>
      <c r="AG329" s="3">
        <f t="shared" ca="1" si="176"/>
        <v>-5.668565128027559E-6</v>
      </c>
      <c r="AH329" s="3">
        <f t="shared" ca="1" si="177"/>
        <v>-1.0579917588771639E-5</v>
      </c>
      <c r="AI329" s="3">
        <f t="shared" ca="1" si="178"/>
        <v>1.2309945587740914E-2</v>
      </c>
      <c r="AJ329" s="3">
        <f t="shared" ca="1" si="179"/>
        <v>3.5211288766525485E-4</v>
      </c>
      <c r="AK329" s="3">
        <f t="shared" ca="1" si="180"/>
        <v>0.24391429116659263</v>
      </c>
      <c r="AL329" s="3">
        <f t="shared" ca="1" si="181"/>
        <v>-2.0786998392186287E-5</v>
      </c>
      <c r="AM329" s="3">
        <f t="shared" ca="1" si="182"/>
        <v>0.17639072064050748</v>
      </c>
      <c r="AN329" s="3">
        <f t="shared" ca="1" si="183"/>
        <v>2.121463780697586</v>
      </c>
      <c r="AP329" s="3">
        <f t="shared" ca="1" si="184"/>
        <v>8.6975788526004543</v>
      </c>
      <c r="AQ329" s="3">
        <f t="shared" ca="1" si="191"/>
        <v>0.40069373193553315</v>
      </c>
      <c r="AR329" s="3">
        <f t="shared" ca="1" si="185"/>
        <v>1.4108942702118813E-4</v>
      </c>
      <c r="AS329" s="3">
        <f t="shared" ca="1" si="186"/>
        <v>0.1762496312134863</v>
      </c>
      <c r="AT329" s="3">
        <f t="shared" ca="1" si="187"/>
        <v>0.70897458935193169</v>
      </c>
      <c r="AU329" s="3">
        <f t="shared" ca="1" si="188"/>
        <v>5.2456943100524123E-2</v>
      </c>
      <c r="AV329" s="10">
        <f t="shared" ca="1" si="192"/>
        <v>0.70897458935193169</v>
      </c>
      <c r="AW329" s="10">
        <f t="shared" ca="1" si="193"/>
        <v>0.70897458935193169</v>
      </c>
      <c r="AY329" s="3">
        <f t="shared" ca="1" si="199"/>
        <v>8.6975788526004543</v>
      </c>
      <c r="AZ329" s="3">
        <f t="shared" ca="1" si="194"/>
        <v>0.40069373193553315</v>
      </c>
      <c r="BA329" s="3">
        <f t="shared" ca="1" si="189"/>
        <v>1.4108942702118813E-4</v>
      </c>
      <c r="BB329" s="3">
        <f t="shared" ca="1" si="195"/>
        <v>0.1762496312134863</v>
      </c>
      <c r="BC329" s="3">
        <f t="shared" ca="1" si="196"/>
        <v>0.70897458935193169</v>
      </c>
      <c r="BD329" s="3">
        <f t="shared" ca="1" si="190"/>
        <v>5.2456943100524123E-2</v>
      </c>
      <c r="BE329" s="3">
        <f t="shared" ca="1" si="197"/>
        <v>0.70897458935193169</v>
      </c>
      <c r="BF329" s="3">
        <f t="shared" ca="1" si="198"/>
        <v>0.70897458935193169</v>
      </c>
    </row>
    <row r="330" spans="1:58" ht="15" x14ac:dyDescent="0.25">
      <c r="A330" s="72">
        <v>264</v>
      </c>
      <c r="B330" s="72">
        <v>1498730258.5710001</v>
      </c>
      <c r="C330" s="73">
        <v>2.9541809456972199E-4</v>
      </c>
      <c r="D330" s="73">
        <v>7.2757599375407997E-5</v>
      </c>
      <c r="E330" s="73">
        <v>1.37430405476122E-2</v>
      </c>
      <c r="F330" s="73">
        <v>4.0782836265613098E-4</v>
      </c>
      <c r="G330" s="73">
        <v>0.25725256987579598</v>
      </c>
      <c r="H330" s="73">
        <v>-3.7604944539125897E-5</v>
      </c>
      <c r="I330" s="73">
        <v>0.185743001593595</v>
      </c>
      <c r="J330" s="73">
        <v>2.2305811525251298</v>
      </c>
      <c r="K330" s="73"/>
      <c r="L330" s="73"/>
      <c r="M330" s="73"/>
      <c r="O330" s="13">
        <f t="shared" ca="1" si="160"/>
        <v>3.0730865298160407E-5</v>
      </c>
      <c r="P330" s="13">
        <f t="shared" ca="1" si="161"/>
        <v>6.1470123990567819E-5</v>
      </c>
      <c r="Q330" s="13">
        <f t="shared" ca="1" si="162"/>
        <v>1.2902300929639515E-2</v>
      </c>
      <c r="R330" s="13">
        <f t="shared" ca="1" si="163"/>
        <v>3.9805208376544985E-4</v>
      </c>
      <c r="S330" s="13">
        <f t="shared" ca="1" si="164"/>
        <v>0.25611749124255462</v>
      </c>
      <c r="T330" s="13">
        <f t="shared" ca="1" si="165"/>
        <v>-3.7954766050149987E-5</v>
      </c>
      <c r="U330" s="13">
        <f t="shared" ca="1" si="166"/>
        <v>0.18508915759880648</v>
      </c>
      <c r="V330" s="13">
        <f t="shared" ca="1" si="167"/>
        <v>2.2234423716026757</v>
      </c>
      <c r="X330" s="3">
        <f t="shared" ca="1" si="168"/>
        <v>3.0730865298160407E-5</v>
      </c>
      <c r="Y330" s="3">
        <f t="shared" ca="1" si="169"/>
        <v>6.1470123990567819E-5</v>
      </c>
      <c r="Z330" s="3">
        <f t="shared" ca="1" si="170"/>
        <v>1.2902300929639515E-2</v>
      </c>
      <c r="AA330" s="3">
        <f t="shared" ca="1" si="171"/>
        <v>3.9805208376544985E-4</v>
      </c>
      <c r="AB330" s="3">
        <f t="shared" ca="1" si="172"/>
        <v>0.25611749124255462</v>
      </c>
      <c r="AC330" s="3">
        <f t="shared" ca="1" si="173"/>
        <v>-3.7954766050149987E-5</v>
      </c>
      <c r="AD330" s="3">
        <f t="shared" ca="1" si="174"/>
        <v>0.18508915759880648</v>
      </c>
      <c r="AE330" s="3">
        <f t="shared" ca="1" si="175"/>
        <v>2.2234423716026757</v>
      </c>
      <c r="AG330" s="3">
        <f t="shared" ca="1" si="176"/>
        <v>3.0730865298160407E-5</v>
      </c>
      <c r="AH330" s="3">
        <f t="shared" ca="1" si="177"/>
        <v>6.1470123990567819E-5</v>
      </c>
      <c r="AI330" s="3">
        <f t="shared" ca="1" si="178"/>
        <v>1.2852787070818383E-2</v>
      </c>
      <c r="AJ330" s="3">
        <f t="shared" ca="1" si="179"/>
        <v>3.7071039778753106E-4</v>
      </c>
      <c r="AK330" s="3">
        <f t="shared" ca="1" si="180"/>
        <v>0.25611749124255462</v>
      </c>
      <c r="AL330" s="3">
        <f t="shared" ca="1" si="181"/>
        <v>-3.7954766050149987E-5</v>
      </c>
      <c r="AM330" s="3">
        <f t="shared" ca="1" si="182"/>
        <v>0.18508915759880648</v>
      </c>
      <c r="AN330" s="3">
        <f t="shared" ca="1" si="183"/>
        <v>2.2234423716026757</v>
      </c>
      <c r="AP330" s="3">
        <f t="shared" ca="1" si="184"/>
        <v>8.6813374628013094</v>
      </c>
      <c r="AQ330" s="3">
        <f t="shared" ca="1" si="191"/>
        <v>0.39993643147719593</v>
      </c>
      <c r="AR330" s="3">
        <f t="shared" ca="1" si="185"/>
        <v>1.591955299232159E-4</v>
      </c>
      <c r="AS330" s="3">
        <f t="shared" ca="1" si="186"/>
        <v>0.18492996206888326</v>
      </c>
      <c r="AT330" s="3">
        <f t="shared" ca="1" si="187"/>
        <v>0.70911476130354778</v>
      </c>
      <c r="AU330" s="3">
        <f t="shared" ca="1" si="188"/>
        <v>5.2261444652834985E-2</v>
      </c>
      <c r="AV330" s="10">
        <f t="shared" ca="1" si="192"/>
        <v>0.70911476130354778</v>
      </c>
      <c r="AW330" s="10">
        <f t="shared" ca="1" si="193"/>
        <v>0.70911476130354778</v>
      </c>
      <c r="AY330" s="3">
        <f t="shared" ca="1" si="199"/>
        <v>8.6813374628013094</v>
      </c>
      <c r="AZ330" s="3">
        <f t="shared" ca="1" si="194"/>
        <v>0.39993643147719593</v>
      </c>
      <c r="BA330" s="3">
        <f t="shared" ca="1" si="189"/>
        <v>1.4826059360263695E-4</v>
      </c>
      <c r="BB330" s="3">
        <f t="shared" ca="1" si="195"/>
        <v>0.18494089700520383</v>
      </c>
      <c r="BC330" s="3">
        <f t="shared" ca="1" si="196"/>
        <v>0.70915669136545934</v>
      </c>
      <c r="BD330" s="3">
        <f t="shared" ca="1" si="190"/>
        <v>5.2060886178308598E-2</v>
      </c>
      <c r="BE330" s="3">
        <f t="shared" ca="1" si="197"/>
        <v>0.70915669136545934</v>
      </c>
      <c r="BF330" s="3">
        <f t="shared" ca="1" si="198"/>
        <v>0.70915669136545934</v>
      </c>
    </row>
    <row r="331" spans="1:58" ht="15" x14ac:dyDescent="0.25">
      <c r="A331" s="72">
        <v>265</v>
      </c>
      <c r="B331" s="72">
        <v>1498730259.098</v>
      </c>
      <c r="C331" s="73">
        <v>2.1262915628633599E-4</v>
      </c>
      <c r="D331" s="73">
        <v>6.9922744762781298E-5</v>
      </c>
      <c r="E331" s="73">
        <v>1.4147304526309299E-2</v>
      </c>
      <c r="F331" s="73">
        <v>5.2470910752038002E-4</v>
      </c>
      <c r="G331" s="73">
        <v>0.26177048963101202</v>
      </c>
      <c r="H331" s="73">
        <v>2.34993932535906E-5</v>
      </c>
      <c r="I331" s="73">
        <v>0.18911634323634</v>
      </c>
      <c r="J331" s="73">
        <v>2.2733780794454099</v>
      </c>
      <c r="K331" s="73"/>
      <c r="L331" s="73"/>
      <c r="M331" s="73"/>
      <c r="O331" s="13">
        <f t="shared" ca="1" si="160"/>
        <v>-5.2058072985225592E-5</v>
      </c>
      <c r="P331" s="13">
        <f t="shared" ca="1" si="161"/>
        <v>5.8635269377941127E-5</v>
      </c>
      <c r="Q331" s="13">
        <f t="shared" ca="1" si="162"/>
        <v>1.3306564908336614E-2</v>
      </c>
      <c r="R331" s="13">
        <f t="shared" ca="1" si="163"/>
        <v>5.1493282862969888E-4</v>
      </c>
      <c r="S331" s="13">
        <f t="shared" ca="1" si="164"/>
        <v>0.26063541099777066</v>
      </c>
      <c r="T331" s="13">
        <f t="shared" ca="1" si="165"/>
        <v>2.3149571742566514E-5</v>
      </c>
      <c r="U331" s="13">
        <f t="shared" ca="1" si="166"/>
        <v>0.18846249924155148</v>
      </c>
      <c r="V331" s="13">
        <f t="shared" ca="1" si="167"/>
        <v>2.2662392985229558</v>
      </c>
      <c r="X331" s="3">
        <f t="shared" ca="1" si="168"/>
        <v>-5.2058072985225592E-5</v>
      </c>
      <c r="Y331" s="3">
        <f t="shared" ca="1" si="169"/>
        <v>5.8635269377941127E-5</v>
      </c>
      <c r="Z331" s="3">
        <f t="shared" ca="1" si="170"/>
        <v>1.3306387796789779E-2</v>
      </c>
      <c r="AA331" s="3">
        <f t="shared" ca="1" si="171"/>
        <v>5.1064592414380597E-4</v>
      </c>
      <c r="AB331" s="3">
        <f t="shared" ca="1" si="172"/>
        <v>0.26060423534026528</v>
      </c>
      <c r="AC331" s="3">
        <f t="shared" ca="1" si="173"/>
        <v>2.3149571742566514E-5</v>
      </c>
      <c r="AD331" s="3">
        <f t="shared" ca="1" si="174"/>
        <v>0.18841646030253045</v>
      </c>
      <c r="AE331" s="3">
        <f t="shared" ca="1" si="175"/>
        <v>2.2662206169925083</v>
      </c>
      <c r="AG331" s="3">
        <f t="shared" ca="1" si="176"/>
        <v>-5.2058072985225592E-5</v>
      </c>
      <c r="AH331" s="3">
        <f t="shared" ca="1" si="177"/>
        <v>5.8635269377941127E-5</v>
      </c>
      <c r="AI331" s="3">
        <f t="shared" ca="1" si="178"/>
        <v>1.3259157398322324E-2</v>
      </c>
      <c r="AJ331" s="3">
        <f t="shared" ca="1" si="179"/>
        <v>4.8456517111314113E-4</v>
      </c>
      <c r="AK331" s="3">
        <f t="shared" ca="1" si="180"/>
        <v>0.26060423534026528</v>
      </c>
      <c r="AL331" s="3">
        <f t="shared" ca="1" si="181"/>
        <v>2.3149571742566514E-5</v>
      </c>
      <c r="AM331" s="3">
        <f t="shared" ca="1" si="182"/>
        <v>0.18841646030253045</v>
      </c>
      <c r="AN331" s="3">
        <f t="shared" ca="1" si="183"/>
        <v>2.2662206169925083</v>
      </c>
      <c r="AP331" s="3">
        <f t="shared" ca="1" si="184"/>
        <v>8.6950552491976616</v>
      </c>
      <c r="AQ331" s="3">
        <f t="shared" ca="1" si="191"/>
        <v>0.40057606070604762</v>
      </c>
      <c r="AR331" s="3">
        <f t="shared" ca="1" si="185"/>
        <v>2.0626976402070708E-4</v>
      </c>
      <c r="AS331" s="3">
        <f t="shared" ca="1" si="186"/>
        <v>0.18825622947753076</v>
      </c>
      <c r="AT331" s="3">
        <f t="shared" ca="1" si="187"/>
        <v>0.70879248217374424</v>
      </c>
      <c r="AU331" s="3">
        <f t="shared" ca="1" si="188"/>
        <v>5.3050278657513668E-2</v>
      </c>
      <c r="AV331" s="10">
        <f t="shared" ca="1" si="192"/>
        <v>0.70879248217374424</v>
      </c>
      <c r="AW331" s="10">
        <f t="shared" ca="1" si="193"/>
        <v>0.70879248217374424</v>
      </c>
      <c r="AY331" s="3">
        <f t="shared" ca="1" si="199"/>
        <v>8.6960237389601645</v>
      </c>
      <c r="AZ331" s="3">
        <f t="shared" ca="1" si="194"/>
        <v>0.40062121964717984</v>
      </c>
      <c r="BA331" s="3">
        <f t="shared" ca="1" si="189"/>
        <v>1.94127089849891E-4</v>
      </c>
      <c r="BB331" s="3">
        <f t="shared" ca="1" si="195"/>
        <v>0.18822233321268056</v>
      </c>
      <c r="BC331" s="3">
        <f t="shared" ca="1" si="196"/>
        <v>0.70870988574021121</v>
      </c>
      <c r="BD331" s="3">
        <f t="shared" ca="1" si="190"/>
        <v>5.2873624819032246E-2</v>
      </c>
      <c r="BE331" s="3">
        <f t="shared" ca="1" si="197"/>
        <v>0.70870988574021121</v>
      </c>
      <c r="BF331" s="3">
        <f t="shared" ca="1" si="198"/>
        <v>0.70870988574021121</v>
      </c>
    </row>
    <row r="332" spans="1:58" ht="15" x14ac:dyDescent="0.25">
      <c r="A332" s="72">
        <v>266</v>
      </c>
      <c r="B332" s="72">
        <v>1498730259.625</v>
      </c>
      <c r="C332" s="73">
        <v>1.8289342576774701E-4</v>
      </c>
      <c r="D332" s="73">
        <v>1.7715620432701799E-5</v>
      </c>
      <c r="E332" s="73">
        <v>1.3872069079992701E-2</v>
      </c>
      <c r="F332" s="73">
        <v>4.7019479757100599E-4</v>
      </c>
      <c r="G332" s="73">
        <v>0.25610780277282602</v>
      </c>
      <c r="H332" s="73">
        <v>-6.4661168557451006E-5</v>
      </c>
      <c r="I332" s="73">
        <v>0.184907158540318</v>
      </c>
      <c r="J332" s="73">
        <v>2.2238554904825198</v>
      </c>
      <c r="K332" s="73"/>
      <c r="L332" s="73"/>
      <c r="M332" s="73"/>
      <c r="O332" s="13">
        <f t="shared" ca="1" si="160"/>
        <v>-8.1793803503814571E-5</v>
      </c>
      <c r="P332" s="13">
        <f t="shared" ca="1" si="161"/>
        <v>6.4281450478616256E-6</v>
      </c>
      <c r="Q332" s="13">
        <f t="shared" ca="1" si="162"/>
        <v>1.3031329462020015E-2</v>
      </c>
      <c r="R332" s="13">
        <f t="shared" ca="1" si="163"/>
        <v>4.6041851868032485E-4</v>
      </c>
      <c r="S332" s="13">
        <f t="shared" ca="1" si="164"/>
        <v>0.25497272413958466</v>
      </c>
      <c r="T332" s="13">
        <f t="shared" ca="1" si="165"/>
        <v>-6.5010990068475096E-5</v>
      </c>
      <c r="U332" s="13">
        <f t="shared" ca="1" si="166"/>
        <v>0.18425331454552948</v>
      </c>
      <c r="V332" s="13">
        <f t="shared" ca="1" si="167"/>
        <v>2.2167167095600657</v>
      </c>
      <c r="X332" s="3">
        <f t="shared" ca="1" si="168"/>
        <v>-8.1793803503814571E-5</v>
      </c>
      <c r="Y332" s="3">
        <f t="shared" ca="1" si="169"/>
        <v>6.4281450478616256E-6</v>
      </c>
      <c r="Z332" s="3">
        <f t="shared" ca="1" si="170"/>
        <v>1.3031329462020015E-2</v>
      </c>
      <c r="AA332" s="3">
        <f t="shared" ca="1" si="171"/>
        <v>4.6041851868032485E-4</v>
      </c>
      <c r="AB332" s="3">
        <f t="shared" ca="1" si="172"/>
        <v>0.25497272413958466</v>
      </c>
      <c r="AC332" s="3">
        <f t="shared" ca="1" si="173"/>
        <v>-6.5010990068475096E-5</v>
      </c>
      <c r="AD332" s="3">
        <f t="shared" ca="1" si="174"/>
        <v>0.18425331454552948</v>
      </c>
      <c r="AE332" s="3">
        <f t="shared" ca="1" si="175"/>
        <v>2.2167167095600657</v>
      </c>
      <c r="AG332" s="3">
        <f t="shared" ca="1" si="176"/>
        <v>-8.1793803503814571E-5</v>
      </c>
      <c r="AH332" s="3">
        <f t="shared" ca="1" si="177"/>
        <v>6.4281450478616256E-6</v>
      </c>
      <c r="AI332" s="3">
        <f t="shared" ca="1" si="178"/>
        <v>1.302615162528049E-2</v>
      </c>
      <c r="AJ332" s="3">
        <f t="shared" ca="1" si="179"/>
        <v>4.5755930331017018E-4</v>
      </c>
      <c r="AK332" s="3">
        <f t="shared" ca="1" si="180"/>
        <v>0.25497272413958466</v>
      </c>
      <c r="AL332" s="3">
        <f t="shared" ca="1" si="181"/>
        <v>-6.5010990068475096E-5</v>
      </c>
      <c r="AM332" s="3">
        <f t="shared" ca="1" si="182"/>
        <v>0.18425331454552948</v>
      </c>
      <c r="AN332" s="3">
        <f t="shared" ca="1" si="183"/>
        <v>2.2167167095600657</v>
      </c>
      <c r="AP332" s="3">
        <f t="shared" ca="1" si="184"/>
        <v>8.6939366437742009</v>
      </c>
      <c r="AQ332" s="3">
        <f t="shared" ca="1" si="191"/>
        <v>0.40052390221672612</v>
      </c>
      <c r="AR332" s="3">
        <f t="shared" ca="1" si="185"/>
        <v>1.8440862175468832E-4</v>
      </c>
      <c r="AS332" s="3">
        <f t="shared" ca="1" si="186"/>
        <v>0.18406890592377478</v>
      </c>
      <c r="AT332" s="3">
        <f t="shared" ca="1" si="187"/>
        <v>0.70846436737219853</v>
      </c>
      <c r="AU332" s="3">
        <f t="shared" ca="1" si="188"/>
        <v>5.30998091287345E-2</v>
      </c>
      <c r="AV332" s="10">
        <f t="shared" ca="1" si="192"/>
        <v>0.70846436737219853</v>
      </c>
      <c r="AW332" s="10">
        <f t="shared" ca="1" si="193"/>
        <v>0.70846436737219853</v>
      </c>
      <c r="AY332" s="3">
        <f t="shared" ca="1" si="199"/>
        <v>8.6939366437742009</v>
      </c>
      <c r="AZ332" s="3">
        <f t="shared" ca="1" si="194"/>
        <v>0.40052390221672612</v>
      </c>
      <c r="BA332" s="3">
        <f t="shared" ca="1" si="189"/>
        <v>1.8326343765735594E-4</v>
      </c>
      <c r="BB332" s="3">
        <f t="shared" ca="1" si="195"/>
        <v>0.18407005110787214</v>
      </c>
      <c r="BC332" s="3">
        <f t="shared" ca="1" si="196"/>
        <v>0.70846877508094752</v>
      </c>
      <c r="BD332" s="3">
        <f t="shared" ca="1" si="190"/>
        <v>5.3078710579782168E-2</v>
      </c>
      <c r="BE332" s="3">
        <f t="shared" ca="1" si="197"/>
        <v>0.70846877508094752</v>
      </c>
      <c r="BF332" s="3">
        <f t="shared" ca="1" si="198"/>
        <v>0.70846877508094752</v>
      </c>
    </row>
    <row r="333" spans="1:58" ht="15" x14ac:dyDescent="0.25">
      <c r="A333" s="72">
        <v>267</v>
      </c>
      <c r="B333" s="72">
        <v>1498730260.152</v>
      </c>
      <c r="C333" s="73">
        <v>2.38797331654983E-4</v>
      </c>
      <c r="D333" s="73">
        <v>-4.20475341868896E-5</v>
      </c>
      <c r="E333" s="73">
        <v>1.35216803858484E-2</v>
      </c>
      <c r="F333" s="73">
        <v>3.5855687182779702E-4</v>
      </c>
      <c r="G333" s="73">
        <v>0.25070713633477898</v>
      </c>
      <c r="H333" s="73">
        <v>-5.4392005206858697E-5</v>
      </c>
      <c r="I333" s="73">
        <v>0.181068543157898</v>
      </c>
      <c r="J333" s="73">
        <v>2.1774595329081601</v>
      </c>
      <c r="K333" s="73"/>
      <c r="L333" s="73"/>
      <c r="M333" s="73"/>
      <c r="O333" s="13">
        <f t="shared" ca="1" si="160"/>
        <v>-2.5889897616578582E-5</v>
      </c>
      <c r="P333" s="13">
        <f t="shared" ca="1" si="161"/>
        <v>-5.3335009571729772E-5</v>
      </c>
      <c r="Q333" s="13">
        <f t="shared" ca="1" si="162"/>
        <v>1.2680940767875714E-2</v>
      </c>
      <c r="R333" s="13">
        <f t="shared" ca="1" si="163"/>
        <v>3.4878059293711589E-4</v>
      </c>
      <c r="S333" s="13">
        <f t="shared" ca="1" si="164"/>
        <v>0.24957205770153762</v>
      </c>
      <c r="T333" s="13">
        <f t="shared" ca="1" si="165"/>
        <v>-5.4741826717882787E-5</v>
      </c>
      <c r="U333" s="13">
        <f t="shared" ca="1" si="166"/>
        <v>0.18041469916310948</v>
      </c>
      <c r="V333" s="13">
        <f t="shared" ca="1" si="167"/>
        <v>2.170320751985706</v>
      </c>
      <c r="X333" s="3">
        <f t="shared" ca="1" si="168"/>
        <v>-2.5889897616578582E-5</v>
      </c>
      <c r="Y333" s="3">
        <f t="shared" ca="1" si="169"/>
        <v>-5.3335009571729772E-5</v>
      </c>
      <c r="Z333" s="3">
        <f t="shared" ca="1" si="170"/>
        <v>1.2680940767875714E-2</v>
      </c>
      <c r="AA333" s="3">
        <f t="shared" ca="1" si="171"/>
        <v>3.4878059293711589E-4</v>
      </c>
      <c r="AB333" s="3">
        <f t="shared" ca="1" si="172"/>
        <v>0.24957205770153762</v>
      </c>
      <c r="AC333" s="3">
        <f t="shared" ca="1" si="173"/>
        <v>-5.4741826717882787E-5</v>
      </c>
      <c r="AD333" s="3">
        <f t="shared" ca="1" si="174"/>
        <v>0.18041469916310948</v>
      </c>
      <c r="AE333" s="3">
        <f t="shared" ca="1" si="175"/>
        <v>2.170320751985706</v>
      </c>
      <c r="AG333" s="3">
        <f t="shared" ca="1" si="176"/>
        <v>-2.5889897616578582E-5</v>
      </c>
      <c r="AH333" s="3">
        <f t="shared" ca="1" si="177"/>
        <v>-5.3335009571729772E-5</v>
      </c>
      <c r="AI333" s="3">
        <f t="shared" ca="1" si="178"/>
        <v>1.2680940767875714E-2</v>
      </c>
      <c r="AJ333" s="3">
        <f t="shared" ca="1" si="179"/>
        <v>3.4878059293711589E-4</v>
      </c>
      <c r="AK333" s="3">
        <f t="shared" ca="1" si="180"/>
        <v>0.24957205770153762</v>
      </c>
      <c r="AL333" s="3">
        <f t="shared" ca="1" si="181"/>
        <v>-5.4741826717882787E-5</v>
      </c>
      <c r="AM333" s="3">
        <f t="shared" ca="1" si="182"/>
        <v>0.18041469916310948</v>
      </c>
      <c r="AN333" s="3">
        <f t="shared" ca="1" si="183"/>
        <v>2.170320751985706</v>
      </c>
      <c r="AP333" s="3">
        <f t="shared" ca="1" si="184"/>
        <v>8.6961688418708523</v>
      </c>
      <c r="AQ333" s="3">
        <f t="shared" ca="1" si="191"/>
        <v>0.40062798554099149</v>
      </c>
      <c r="AR333" s="3">
        <f t="shared" ca="1" si="185"/>
        <v>1.3973126634418931E-4</v>
      </c>
      <c r="AS333" s="3">
        <f t="shared" ca="1" si="186"/>
        <v>0.18027496789676528</v>
      </c>
      <c r="AT333" s="3">
        <f t="shared" ca="1" si="187"/>
        <v>0.70878517537197994</v>
      </c>
      <c r="AU333" s="3">
        <f t="shared" ca="1" si="188"/>
        <v>5.2804089423349743E-2</v>
      </c>
      <c r="AV333" s="10">
        <f t="shared" ca="1" si="192"/>
        <v>0.70878517537197994</v>
      </c>
      <c r="AW333" s="10">
        <f t="shared" ca="1" si="193"/>
        <v>0.70878517537197994</v>
      </c>
      <c r="AY333" s="3">
        <f t="shared" ca="1" si="199"/>
        <v>8.6961688418708523</v>
      </c>
      <c r="AZ333" s="3">
        <f t="shared" ca="1" si="194"/>
        <v>0.40062798554099149</v>
      </c>
      <c r="BA333" s="3">
        <f t="shared" ca="1" si="189"/>
        <v>1.3973126634418931E-4</v>
      </c>
      <c r="BB333" s="3">
        <f t="shared" ca="1" si="195"/>
        <v>0.18027496789676528</v>
      </c>
      <c r="BC333" s="3">
        <f t="shared" ca="1" si="196"/>
        <v>0.70878517537197994</v>
      </c>
      <c r="BD333" s="3">
        <f t="shared" ca="1" si="190"/>
        <v>5.2804089423349743E-2</v>
      </c>
      <c r="BE333" s="3">
        <f t="shared" ca="1" si="197"/>
        <v>0.70878517537197994</v>
      </c>
      <c r="BF333" s="3">
        <f t="shared" ca="1" si="198"/>
        <v>0.70878517537197994</v>
      </c>
    </row>
    <row r="334" spans="1:58" ht="15" x14ac:dyDescent="0.25">
      <c r="A334" s="72">
        <v>268</v>
      </c>
      <c r="B334" s="72">
        <v>1498730260.6789999</v>
      </c>
      <c r="C334" s="73">
        <v>2.6591780068102301E-4</v>
      </c>
      <c r="D334" s="73">
        <v>-1.32293872993001E-5</v>
      </c>
      <c r="E334" s="73">
        <v>1.35703851112681E-2</v>
      </c>
      <c r="F334" s="73">
        <v>4.3139384791217501E-4</v>
      </c>
      <c r="G334" s="73">
        <v>0.251850503991218</v>
      </c>
      <c r="H334" s="73">
        <v>-4.4145389095653299E-5</v>
      </c>
      <c r="I334" s="73">
        <v>0.18178074095796001</v>
      </c>
      <c r="J334" s="73">
        <v>2.1847529877199001</v>
      </c>
      <c r="K334" s="73"/>
      <c r="L334" s="73"/>
      <c r="M334" s="73"/>
      <c r="O334" s="13">
        <f t="shared" ca="1" si="160"/>
        <v>1.2305714094614276E-6</v>
      </c>
      <c r="P334" s="13">
        <f t="shared" ca="1" si="161"/>
        <v>-2.4516862684140273E-5</v>
      </c>
      <c r="Q334" s="13">
        <f t="shared" ca="1" si="162"/>
        <v>1.2729645493295414E-2</v>
      </c>
      <c r="R334" s="13">
        <f t="shared" ca="1" si="163"/>
        <v>4.2161756902149388E-4</v>
      </c>
      <c r="S334" s="13">
        <f t="shared" ca="1" si="164"/>
        <v>0.25071542535797664</v>
      </c>
      <c r="T334" s="13">
        <f t="shared" ca="1" si="165"/>
        <v>-4.4495210606677389E-5</v>
      </c>
      <c r="U334" s="13">
        <f t="shared" ca="1" si="166"/>
        <v>0.1811268969631715</v>
      </c>
      <c r="V334" s="13">
        <f t="shared" ca="1" si="167"/>
        <v>2.177614206797446</v>
      </c>
      <c r="X334" s="3">
        <f t="shared" ca="1" si="168"/>
        <v>1.2305714094614276E-6</v>
      </c>
      <c r="Y334" s="3">
        <f t="shared" ca="1" si="169"/>
        <v>-2.4516862684140273E-5</v>
      </c>
      <c r="Z334" s="3">
        <f t="shared" ca="1" si="170"/>
        <v>1.2729645493295414E-2</v>
      </c>
      <c r="AA334" s="3">
        <f t="shared" ca="1" si="171"/>
        <v>4.2161756902149388E-4</v>
      </c>
      <c r="AB334" s="3">
        <f t="shared" ca="1" si="172"/>
        <v>0.25071542535797664</v>
      </c>
      <c r="AC334" s="3">
        <f t="shared" ca="1" si="173"/>
        <v>-4.4495210606677389E-5</v>
      </c>
      <c r="AD334" s="3">
        <f t="shared" ca="1" si="174"/>
        <v>0.1811268969631715</v>
      </c>
      <c r="AE334" s="3">
        <f t="shared" ca="1" si="175"/>
        <v>2.177614206797446</v>
      </c>
      <c r="AG334" s="3">
        <f t="shared" ca="1" si="176"/>
        <v>1.2305714094614276E-6</v>
      </c>
      <c r="AH334" s="3">
        <f t="shared" ca="1" si="177"/>
        <v>-2.4516862684140273E-5</v>
      </c>
      <c r="AI334" s="3">
        <f t="shared" ca="1" si="178"/>
        <v>1.2729645493295414E-2</v>
      </c>
      <c r="AJ334" s="3">
        <f t="shared" ca="1" si="179"/>
        <v>4.2161756902149388E-4</v>
      </c>
      <c r="AK334" s="3">
        <f t="shared" ca="1" si="180"/>
        <v>0.25071542535797664</v>
      </c>
      <c r="AL334" s="3">
        <f t="shared" ca="1" si="181"/>
        <v>-4.4495210606677389E-5</v>
      </c>
      <c r="AM334" s="3">
        <f t="shared" ca="1" si="182"/>
        <v>0.1811268969631715</v>
      </c>
      <c r="AN334" s="3">
        <f t="shared" ca="1" si="183"/>
        <v>2.177614206797446</v>
      </c>
      <c r="AP334" s="3">
        <f t="shared" ca="1" si="184"/>
        <v>8.6856012297137433</v>
      </c>
      <c r="AQ334" s="3">
        <f t="shared" ca="1" si="191"/>
        <v>0.40013523993395456</v>
      </c>
      <c r="AR334" s="3">
        <f t="shared" ca="1" si="185"/>
        <v>1.6870404714078611E-4</v>
      </c>
      <c r="AS334" s="3">
        <f t="shared" ca="1" si="186"/>
        <v>0.18095819291603071</v>
      </c>
      <c r="AT334" s="3">
        <f t="shared" ca="1" si="187"/>
        <v>0.70866060407625919</v>
      </c>
      <c r="AU334" s="3">
        <f t="shared" ca="1" si="188"/>
        <v>5.2699554382706466E-2</v>
      </c>
      <c r="AV334" s="10">
        <f t="shared" ca="1" si="192"/>
        <v>0.70866060407625919</v>
      </c>
      <c r="AW334" s="10">
        <f t="shared" ca="1" si="193"/>
        <v>0.70866060407625919</v>
      </c>
      <c r="AY334" s="3">
        <f t="shared" ca="1" si="199"/>
        <v>8.6856012297137433</v>
      </c>
      <c r="AZ334" s="3">
        <f t="shared" ca="1" si="194"/>
        <v>0.40013523993395456</v>
      </c>
      <c r="BA334" s="3">
        <f t="shared" ca="1" si="189"/>
        <v>1.6870404714078611E-4</v>
      </c>
      <c r="BB334" s="3">
        <f t="shared" ca="1" si="195"/>
        <v>0.18095819291603071</v>
      </c>
      <c r="BC334" s="3">
        <f t="shared" ca="1" si="196"/>
        <v>0.70866060407625919</v>
      </c>
      <c r="BD334" s="3">
        <f t="shared" ca="1" si="190"/>
        <v>5.2699554382706466E-2</v>
      </c>
      <c r="BE334" s="3">
        <f t="shared" ca="1" si="197"/>
        <v>0.70866060407625919</v>
      </c>
      <c r="BF334" s="3">
        <f t="shared" ca="1" si="198"/>
        <v>0.70866060407625919</v>
      </c>
    </row>
    <row r="335" spans="1:58" ht="15" x14ac:dyDescent="0.25">
      <c r="A335" s="72">
        <v>269</v>
      </c>
      <c r="B335" s="72">
        <v>1498730261.2060001</v>
      </c>
      <c r="C335" s="73">
        <v>1.83607072929209E-4</v>
      </c>
      <c r="D335" s="73">
        <v>-1.8754277235581501E-4</v>
      </c>
      <c r="E335" s="73">
        <v>1.421823621909E-2</v>
      </c>
      <c r="F335" s="73">
        <v>4.3496442448255401E-4</v>
      </c>
      <c r="G335" s="73">
        <v>0.26300227322200398</v>
      </c>
      <c r="H335" s="73">
        <v>-3.9278131982223797E-6</v>
      </c>
      <c r="I335" s="73">
        <v>0.189771958552751</v>
      </c>
      <c r="J335" s="73">
        <v>2.2818010760116998</v>
      </c>
      <c r="K335" s="73"/>
      <c r="L335" s="73"/>
      <c r="M335" s="73"/>
      <c r="O335" s="13">
        <f t="shared" ca="1" si="160"/>
        <v>-8.1080156342352587E-5</v>
      </c>
      <c r="P335" s="13">
        <f t="shared" ca="1" si="161"/>
        <v>-1.9883024774065519E-4</v>
      </c>
      <c r="Q335" s="13">
        <f t="shared" ca="1" si="162"/>
        <v>1.3377496601117315E-2</v>
      </c>
      <c r="R335" s="13">
        <f t="shared" ca="1" si="163"/>
        <v>4.2518814559187288E-4</v>
      </c>
      <c r="S335" s="13">
        <f t="shared" ca="1" si="164"/>
        <v>0.26186719458876262</v>
      </c>
      <c r="T335" s="13">
        <f t="shared" ca="1" si="165"/>
        <v>-4.2776347092464662E-6</v>
      </c>
      <c r="U335" s="13">
        <f t="shared" ca="1" si="166"/>
        <v>0.18911811455796249</v>
      </c>
      <c r="V335" s="13">
        <f t="shared" ca="1" si="167"/>
        <v>2.2746622950892457</v>
      </c>
      <c r="X335" s="3">
        <f t="shared" ca="1" si="168"/>
        <v>-8.1080156342352587E-5</v>
      </c>
      <c r="Y335" s="3">
        <f t="shared" ca="1" si="169"/>
        <v>-1.9883024774065519E-4</v>
      </c>
      <c r="Z335" s="3">
        <f t="shared" ca="1" si="170"/>
        <v>1.3377496601117315E-2</v>
      </c>
      <c r="AA335" s="3">
        <f t="shared" ca="1" si="171"/>
        <v>4.2518814559187288E-4</v>
      </c>
      <c r="AB335" s="3">
        <f t="shared" ca="1" si="172"/>
        <v>0.26186719458876262</v>
      </c>
      <c r="AC335" s="3">
        <f t="shared" ca="1" si="173"/>
        <v>-4.2776347092464662E-6</v>
      </c>
      <c r="AD335" s="3">
        <f t="shared" ca="1" si="174"/>
        <v>0.18911811455796249</v>
      </c>
      <c r="AE335" s="3">
        <f t="shared" ca="1" si="175"/>
        <v>2.2746622950892457</v>
      </c>
      <c r="AG335" s="3">
        <f t="shared" ca="1" si="176"/>
        <v>-8.1080156342352587E-5</v>
      </c>
      <c r="AH335" s="3">
        <f t="shared" ca="1" si="177"/>
        <v>-1.9883024774065519E-4</v>
      </c>
      <c r="AI335" s="3">
        <f t="shared" ca="1" si="178"/>
        <v>1.3377496601117315E-2</v>
      </c>
      <c r="AJ335" s="3">
        <f t="shared" ca="1" si="179"/>
        <v>4.2518814559187288E-4</v>
      </c>
      <c r="AK335" s="3">
        <f t="shared" ca="1" si="180"/>
        <v>0.26186719458876262</v>
      </c>
      <c r="AL335" s="3">
        <f t="shared" ca="1" si="181"/>
        <v>-4.2776347092464662E-6</v>
      </c>
      <c r="AM335" s="3">
        <f t="shared" ca="1" si="182"/>
        <v>0.18911811455796249</v>
      </c>
      <c r="AN335" s="3">
        <f t="shared" ca="1" si="183"/>
        <v>2.2746622950892457</v>
      </c>
      <c r="AP335" s="3">
        <f t="shared" ca="1" si="184"/>
        <v>8.6863201733282605</v>
      </c>
      <c r="AQ335" s="3">
        <f t="shared" ca="1" si="191"/>
        <v>0.40016876253750244</v>
      </c>
      <c r="AR335" s="3">
        <f t="shared" ca="1" si="185"/>
        <v>1.701470140671152E-4</v>
      </c>
      <c r="AS335" s="3">
        <f t="shared" ca="1" si="186"/>
        <v>0.18894796754389537</v>
      </c>
      <c r="AT335" s="3">
        <f t="shared" ca="1" si="187"/>
        <v>0.70840908284490933</v>
      </c>
      <c r="AU335" s="3">
        <f t="shared" ca="1" si="188"/>
        <v>5.302763093684721E-2</v>
      </c>
      <c r="AV335" s="10">
        <f t="shared" ca="1" si="192"/>
        <v>0.70840908284490933</v>
      </c>
      <c r="AW335" s="10">
        <f t="shared" ca="1" si="193"/>
        <v>0.70840908284490933</v>
      </c>
      <c r="AY335" s="3">
        <f t="shared" ca="1" si="199"/>
        <v>8.6863201733282605</v>
      </c>
      <c r="AZ335" s="3">
        <f t="shared" ca="1" si="194"/>
        <v>0.40016876253750244</v>
      </c>
      <c r="BA335" s="3">
        <f t="shared" ca="1" si="189"/>
        <v>1.701470140671152E-4</v>
      </c>
      <c r="BB335" s="3">
        <f t="shared" ca="1" si="195"/>
        <v>0.18894796754389537</v>
      </c>
      <c r="BC335" s="3">
        <f t="shared" ca="1" si="196"/>
        <v>0.70840908284490933</v>
      </c>
      <c r="BD335" s="3">
        <f t="shared" ca="1" si="190"/>
        <v>5.302763093684721E-2</v>
      </c>
      <c r="BE335" s="3">
        <f t="shared" ca="1" si="197"/>
        <v>0.70840908284490933</v>
      </c>
      <c r="BF335" s="3">
        <f t="shared" ca="1" si="198"/>
        <v>0.70840908284490933</v>
      </c>
    </row>
    <row r="336" spans="1:58" ht="15" x14ac:dyDescent="0.25">
      <c r="A336" s="72">
        <v>270</v>
      </c>
      <c r="B336" s="72">
        <v>1498730261.733</v>
      </c>
      <c r="C336" s="73">
        <v>2.64252487497463E-4</v>
      </c>
      <c r="D336" s="73">
        <v>-2.81109938995702E-5</v>
      </c>
      <c r="E336" s="73">
        <v>1.4153335939458099E-2</v>
      </c>
      <c r="F336" s="73">
        <v>4.6614800235873099E-4</v>
      </c>
      <c r="G336" s="73">
        <v>0.26339789186533002</v>
      </c>
      <c r="H336" s="73">
        <v>-4.6931440225201102E-5</v>
      </c>
      <c r="I336" s="73">
        <v>0.190318561995314</v>
      </c>
      <c r="J336" s="73">
        <v>2.2869263614551101</v>
      </c>
      <c r="K336" s="73"/>
      <c r="L336" s="73"/>
      <c r="M336" s="73"/>
      <c r="O336" s="13">
        <f t="shared" ca="1" si="160"/>
        <v>-4.3474177409858232E-7</v>
      </c>
      <c r="P336" s="13">
        <f t="shared" ca="1" si="161"/>
        <v>-3.9398469284410375E-5</v>
      </c>
      <c r="Q336" s="13">
        <f t="shared" ca="1" si="162"/>
        <v>1.3312596321485414E-2</v>
      </c>
      <c r="R336" s="13">
        <f t="shared" ca="1" si="163"/>
        <v>4.5637172346804986E-4</v>
      </c>
      <c r="S336" s="13">
        <f t="shared" ca="1" si="164"/>
        <v>0.26226281323208867</v>
      </c>
      <c r="T336" s="13">
        <f t="shared" ca="1" si="165"/>
        <v>-4.7281261736225192E-5</v>
      </c>
      <c r="U336" s="13">
        <f t="shared" ca="1" si="166"/>
        <v>0.18966471800052548</v>
      </c>
      <c r="V336" s="13">
        <f t="shared" ca="1" si="167"/>
        <v>2.279787580532656</v>
      </c>
      <c r="X336" s="3">
        <f t="shared" ca="1" si="168"/>
        <v>-4.3474177409858232E-7</v>
      </c>
      <c r="Y336" s="3">
        <f t="shared" ca="1" si="169"/>
        <v>-3.9398469284410375E-5</v>
      </c>
      <c r="Z336" s="3">
        <f t="shared" ca="1" si="170"/>
        <v>1.3312596321485414E-2</v>
      </c>
      <c r="AA336" s="3">
        <f t="shared" ca="1" si="171"/>
        <v>4.5637172346804986E-4</v>
      </c>
      <c r="AB336" s="3">
        <f t="shared" ca="1" si="172"/>
        <v>0.26226281323208867</v>
      </c>
      <c r="AC336" s="3">
        <f t="shared" ca="1" si="173"/>
        <v>-4.7281261736225192E-5</v>
      </c>
      <c r="AD336" s="3">
        <f t="shared" ca="1" si="174"/>
        <v>0.18966471800052548</v>
      </c>
      <c r="AE336" s="3">
        <f t="shared" ca="1" si="175"/>
        <v>2.279787580532656</v>
      </c>
      <c r="AG336" s="3">
        <f t="shared" ca="1" si="176"/>
        <v>-4.3474177409858232E-7</v>
      </c>
      <c r="AH336" s="3">
        <f t="shared" ca="1" si="177"/>
        <v>-3.9398469284410375E-5</v>
      </c>
      <c r="AI336" s="3">
        <f t="shared" ca="1" si="178"/>
        <v>1.3312596321485414E-2</v>
      </c>
      <c r="AJ336" s="3">
        <f t="shared" ca="1" si="179"/>
        <v>4.5637172346804986E-4</v>
      </c>
      <c r="AK336" s="3">
        <f t="shared" ca="1" si="180"/>
        <v>0.26226281323208867</v>
      </c>
      <c r="AL336" s="3">
        <f t="shared" ca="1" si="181"/>
        <v>-4.7281261736225192E-5</v>
      </c>
      <c r="AM336" s="3">
        <f t="shared" ca="1" si="182"/>
        <v>0.18966471800052548</v>
      </c>
      <c r="AN336" s="3">
        <f t="shared" ca="1" si="183"/>
        <v>2.279787580532656</v>
      </c>
      <c r="AP336" s="3">
        <f t="shared" ca="1" si="184"/>
        <v>8.6927595736386962</v>
      </c>
      <c r="AQ336" s="3">
        <f t="shared" ca="1" si="191"/>
        <v>0.40046901771456545</v>
      </c>
      <c r="AR336" s="3">
        <f t="shared" ca="1" si="185"/>
        <v>1.8276273580995322E-4</v>
      </c>
      <c r="AS336" s="3">
        <f t="shared" ca="1" si="186"/>
        <v>0.18948195526471553</v>
      </c>
      <c r="AT336" s="3">
        <f t="shared" ca="1" si="187"/>
        <v>0.70907481445113885</v>
      </c>
      <c r="AU336" s="3">
        <f t="shared" ca="1" si="188"/>
        <v>5.2730736407624469E-2</v>
      </c>
      <c r="AV336" s="10">
        <f t="shared" ca="1" si="192"/>
        <v>0.70907481445113885</v>
      </c>
      <c r="AW336" s="10">
        <f t="shared" ca="1" si="193"/>
        <v>0.70907481445113885</v>
      </c>
      <c r="AY336" s="3">
        <f t="shared" ca="1" si="199"/>
        <v>8.6927595736386962</v>
      </c>
      <c r="AZ336" s="3">
        <f t="shared" ca="1" si="194"/>
        <v>0.40046901771456545</v>
      </c>
      <c r="BA336" s="3">
        <f t="shared" ca="1" si="189"/>
        <v>1.8276273580995322E-4</v>
      </c>
      <c r="BB336" s="3">
        <f t="shared" ca="1" si="195"/>
        <v>0.18948195526471553</v>
      </c>
      <c r="BC336" s="3">
        <f t="shared" ca="1" si="196"/>
        <v>0.70907481445113885</v>
      </c>
      <c r="BD336" s="3">
        <f t="shared" ca="1" si="190"/>
        <v>5.2730736407624469E-2</v>
      </c>
      <c r="BE336" s="3">
        <f t="shared" ca="1" si="197"/>
        <v>0.70907481445113885</v>
      </c>
      <c r="BF336" s="3">
        <f t="shared" ca="1" si="198"/>
        <v>0.70907481445113885</v>
      </c>
    </row>
    <row r="337" spans="1:58" ht="15" x14ac:dyDescent="0.25">
      <c r="A337" s="72">
        <v>271</v>
      </c>
      <c r="B337" s="72">
        <v>1498730262.26</v>
      </c>
      <c r="C337" s="73">
        <v>1.3769681126437101E-4</v>
      </c>
      <c r="D337" s="73">
        <v>-9.14143816104181E-5</v>
      </c>
      <c r="E337" s="73">
        <v>1.38899173124232E-2</v>
      </c>
      <c r="F337" s="73">
        <v>3.5831885120115399E-4</v>
      </c>
      <c r="G337" s="73">
        <v>0.25780161161305198</v>
      </c>
      <c r="H337" s="73">
        <v>-6.4991652700430204E-5</v>
      </c>
      <c r="I337" s="73">
        <v>0.186192096747991</v>
      </c>
      <c r="J337" s="73">
        <v>2.24020623306488</v>
      </c>
      <c r="K337" s="73"/>
      <c r="L337" s="73"/>
      <c r="M337" s="73"/>
      <c r="O337" s="13">
        <f t="shared" ca="1" si="160"/>
        <v>-1.2699041800719058E-4</v>
      </c>
      <c r="P337" s="13">
        <f t="shared" ca="1" si="161"/>
        <v>-1.0270185699525828E-4</v>
      </c>
      <c r="Q337" s="13">
        <f t="shared" ca="1" si="162"/>
        <v>1.3049177694450515E-2</v>
      </c>
      <c r="R337" s="13">
        <f t="shared" ca="1" si="163"/>
        <v>3.4854257231047286E-4</v>
      </c>
      <c r="S337" s="13">
        <f t="shared" ca="1" si="164"/>
        <v>0.25666653297981062</v>
      </c>
      <c r="T337" s="13">
        <f t="shared" ca="1" si="165"/>
        <v>-6.5341474211454294E-5</v>
      </c>
      <c r="U337" s="13">
        <f t="shared" ca="1" si="166"/>
        <v>0.18553825275320249</v>
      </c>
      <c r="V337" s="13">
        <f t="shared" ca="1" si="167"/>
        <v>2.2330674521424259</v>
      </c>
      <c r="X337" s="3">
        <f t="shared" ca="1" si="168"/>
        <v>-1.2699041800719058E-4</v>
      </c>
      <c r="Y337" s="3">
        <f t="shared" ca="1" si="169"/>
        <v>-1.0270185699525828E-4</v>
      </c>
      <c r="Z337" s="3">
        <f t="shared" ca="1" si="170"/>
        <v>1.3049177694450515E-2</v>
      </c>
      <c r="AA337" s="3">
        <f t="shared" ca="1" si="171"/>
        <v>3.4854257231047286E-4</v>
      </c>
      <c r="AB337" s="3">
        <f t="shared" ca="1" si="172"/>
        <v>0.25666653297981062</v>
      </c>
      <c r="AC337" s="3">
        <f t="shared" ca="1" si="173"/>
        <v>-6.5341474211454294E-5</v>
      </c>
      <c r="AD337" s="3">
        <f t="shared" ca="1" si="174"/>
        <v>0.18553825275320249</v>
      </c>
      <c r="AE337" s="3">
        <f t="shared" ca="1" si="175"/>
        <v>2.2330674521424259</v>
      </c>
      <c r="AG337" s="3">
        <f t="shared" ca="1" si="176"/>
        <v>-1.2699041800719058E-4</v>
      </c>
      <c r="AH337" s="3">
        <f t="shared" ca="1" si="177"/>
        <v>-1.0270185699525828E-4</v>
      </c>
      <c r="AI337" s="3">
        <f t="shared" ca="1" si="178"/>
        <v>1.3049177694450515E-2</v>
      </c>
      <c r="AJ337" s="3">
        <f t="shared" ca="1" si="179"/>
        <v>3.4854257231047286E-4</v>
      </c>
      <c r="AK337" s="3">
        <f t="shared" ca="1" si="180"/>
        <v>0.25666653297981062</v>
      </c>
      <c r="AL337" s="3">
        <f t="shared" ca="1" si="181"/>
        <v>-6.5341474211454294E-5</v>
      </c>
      <c r="AM337" s="3">
        <f t="shared" ca="1" si="182"/>
        <v>0.18553825275320249</v>
      </c>
      <c r="AN337" s="3">
        <f t="shared" ca="1" si="183"/>
        <v>2.2330674521424259</v>
      </c>
      <c r="AP337" s="3">
        <f t="shared" ca="1" si="184"/>
        <v>8.7002673321577095</v>
      </c>
      <c r="AQ337" s="3">
        <f t="shared" ca="1" si="191"/>
        <v>0.40081909150838635</v>
      </c>
      <c r="AR337" s="3">
        <f t="shared" ca="1" si="185"/>
        <v>1.3970251718547978E-4</v>
      </c>
      <c r="AS337" s="3">
        <f t="shared" ca="1" si="186"/>
        <v>0.18539855023601701</v>
      </c>
      <c r="AT337" s="3">
        <f t="shared" ca="1" si="187"/>
        <v>0.70861313052292774</v>
      </c>
      <c r="AU337" s="3">
        <f t="shared" ca="1" si="188"/>
        <v>5.2860995340420769E-2</v>
      </c>
      <c r="AV337" s="10">
        <f t="shared" ca="1" si="192"/>
        <v>0.70861313052292774</v>
      </c>
      <c r="AW337" s="10">
        <f t="shared" ca="1" si="193"/>
        <v>0.70861313052292774</v>
      </c>
      <c r="AY337" s="3">
        <f t="shared" ca="1" si="199"/>
        <v>8.7002673321577095</v>
      </c>
      <c r="AZ337" s="3">
        <f t="shared" ca="1" si="194"/>
        <v>0.40081909150838635</v>
      </c>
      <c r="BA337" s="3">
        <f t="shared" ca="1" si="189"/>
        <v>1.3970251718547978E-4</v>
      </c>
      <c r="BB337" s="3">
        <f t="shared" ca="1" si="195"/>
        <v>0.18539855023601701</v>
      </c>
      <c r="BC337" s="3">
        <f t="shared" ca="1" si="196"/>
        <v>0.70861313052292774</v>
      </c>
      <c r="BD337" s="3">
        <f t="shared" ca="1" si="190"/>
        <v>5.2860995340420769E-2</v>
      </c>
      <c r="BE337" s="3">
        <f t="shared" ca="1" si="197"/>
        <v>0.70861313052292774</v>
      </c>
      <c r="BF337" s="3">
        <f t="shared" ca="1" si="198"/>
        <v>0.70861313052292774</v>
      </c>
    </row>
    <row r="338" spans="1:58" ht="15" x14ac:dyDescent="0.25">
      <c r="A338" s="72">
        <v>272</v>
      </c>
      <c r="B338" s="72">
        <v>1498730262.7869999</v>
      </c>
      <c r="C338" s="73">
        <v>3.39670169533975E-4</v>
      </c>
      <c r="D338" s="73">
        <v>-6.4723520319397401E-5</v>
      </c>
      <c r="E338" s="73">
        <v>1.3479246496681301E-2</v>
      </c>
      <c r="F338" s="73">
        <v>3.54748548608701E-4</v>
      </c>
      <c r="G338" s="73">
        <v>0.249958886793376</v>
      </c>
      <c r="H338" s="73">
        <v>-3.2480901402093498E-5</v>
      </c>
      <c r="I338" s="73">
        <v>0.18035551621995899</v>
      </c>
      <c r="J338" s="73">
        <v>2.1696457515485901</v>
      </c>
      <c r="K338" s="73"/>
      <c r="L338" s="73"/>
      <c r="M338" s="73"/>
      <c r="O338" s="13">
        <f t="shared" ca="1" si="160"/>
        <v>7.4982940262413415E-5</v>
      </c>
      <c r="P338" s="13">
        <f t="shared" ca="1" si="161"/>
        <v>-7.6010995704237579E-5</v>
      </c>
      <c r="Q338" s="13">
        <f t="shared" ca="1" si="162"/>
        <v>1.2638506878708615E-2</v>
      </c>
      <c r="R338" s="13">
        <f t="shared" ca="1" si="163"/>
        <v>3.4497226971801987E-4</v>
      </c>
      <c r="S338" s="13">
        <f t="shared" ca="1" si="164"/>
        <v>0.24882380816013464</v>
      </c>
      <c r="T338" s="13">
        <f t="shared" ca="1" si="165"/>
        <v>-3.2830722913117588E-5</v>
      </c>
      <c r="U338" s="13">
        <f t="shared" ca="1" si="166"/>
        <v>0.17970167222517047</v>
      </c>
      <c r="V338" s="13">
        <f t="shared" ca="1" si="167"/>
        <v>2.1625069706261359</v>
      </c>
      <c r="X338" s="3">
        <f t="shared" ca="1" si="168"/>
        <v>7.4982940262413415E-5</v>
      </c>
      <c r="Y338" s="3">
        <f t="shared" ca="1" si="169"/>
        <v>-7.6010995704237579E-5</v>
      </c>
      <c r="Z338" s="3">
        <f t="shared" ca="1" si="170"/>
        <v>1.2638506878708615E-2</v>
      </c>
      <c r="AA338" s="3">
        <f t="shared" ca="1" si="171"/>
        <v>3.4497226971801987E-4</v>
      </c>
      <c r="AB338" s="3">
        <f t="shared" ca="1" si="172"/>
        <v>0.24882380816013464</v>
      </c>
      <c r="AC338" s="3">
        <f t="shared" ca="1" si="173"/>
        <v>-3.2830722913117588E-5</v>
      </c>
      <c r="AD338" s="3">
        <f t="shared" ca="1" si="174"/>
        <v>0.17970167222517047</v>
      </c>
      <c r="AE338" s="3">
        <f t="shared" ca="1" si="175"/>
        <v>2.1625069706261359</v>
      </c>
      <c r="AG338" s="3">
        <f t="shared" ca="1" si="176"/>
        <v>7.4982940262413415E-5</v>
      </c>
      <c r="AH338" s="3">
        <f t="shared" ca="1" si="177"/>
        <v>-7.6010995704237579E-5</v>
      </c>
      <c r="AI338" s="3">
        <f t="shared" ca="1" si="178"/>
        <v>1.2638506878708615E-2</v>
      </c>
      <c r="AJ338" s="3">
        <f t="shared" ca="1" si="179"/>
        <v>3.4497226971801987E-4</v>
      </c>
      <c r="AK338" s="3">
        <f t="shared" ca="1" si="180"/>
        <v>0.24882380816013464</v>
      </c>
      <c r="AL338" s="3">
        <f t="shared" ca="1" si="181"/>
        <v>-3.2830722913117588E-5</v>
      </c>
      <c r="AM338" s="3">
        <f t="shared" ca="1" si="182"/>
        <v>0.17970167222517047</v>
      </c>
      <c r="AN338" s="3">
        <f t="shared" ca="1" si="183"/>
        <v>2.1625069706261359</v>
      </c>
      <c r="AP338" s="3">
        <f t="shared" ca="1" si="184"/>
        <v>8.6909166233579196</v>
      </c>
      <c r="AQ338" s="3">
        <f t="shared" ca="1" si="191"/>
        <v>0.40038308469111905</v>
      </c>
      <c r="AR338" s="3">
        <f t="shared" ca="1" si="185"/>
        <v>1.3812106148259752E-4</v>
      </c>
      <c r="AS338" s="3">
        <f t="shared" ca="1" si="186"/>
        <v>0.17956355116368788</v>
      </c>
      <c r="AT338" s="3">
        <f t="shared" ca="1" si="187"/>
        <v>0.70832658841425089</v>
      </c>
      <c r="AU338" s="3">
        <f t="shared" ca="1" si="188"/>
        <v>5.2753028857922206E-2</v>
      </c>
      <c r="AV338" s="10">
        <f t="shared" ca="1" si="192"/>
        <v>0.70832658841425089</v>
      </c>
      <c r="AW338" s="10">
        <f t="shared" ca="1" si="193"/>
        <v>0.70832658841425089</v>
      </c>
      <c r="AY338" s="3">
        <f t="shared" ca="1" si="199"/>
        <v>8.6909166233579196</v>
      </c>
      <c r="AZ338" s="3">
        <f t="shared" ca="1" si="194"/>
        <v>0.40038308469111905</v>
      </c>
      <c r="BA338" s="3">
        <f t="shared" ca="1" si="189"/>
        <v>1.3812106148259752E-4</v>
      </c>
      <c r="BB338" s="3">
        <f t="shared" ca="1" si="195"/>
        <v>0.17956355116368788</v>
      </c>
      <c r="BC338" s="3">
        <f t="shared" ca="1" si="196"/>
        <v>0.70832658841425089</v>
      </c>
      <c r="BD338" s="3">
        <f t="shared" ca="1" si="190"/>
        <v>5.2753028857922206E-2</v>
      </c>
      <c r="BE338" s="3">
        <f t="shared" ca="1" si="197"/>
        <v>0.70832658841425089</v>
      </c>
      <c r="BF338" s="3">
        <f t="shared" ca="1" si="198"/>
        <v>0.70832658841425089</v>
      </c>
    </row>
    <row r="339" spans="1:58" ht="15" x14ac:dyDescent="0.25">
      <c r="A339" s="72">
        <v>273</v>
      </c>
      <c r="B339" s="72">
        <v>1498730263.313</v>
      </c>
      <c r="C339" s="73">
        <v>3.8796902710938098E-4</v>
      </c>
      <c r="D339" s="73">
        <v>4.37007235592758E-5</v>
      </c>
      <c r="E339" s="73">
        <v>1.34259655538849E-2</v>
      </c>
      <c r="F339" s="73">
        <v>4.1068475550040798E-4</v>
      </c>
      <c r="G339" s="73">
        <v>0.248501850994092</v>
      </c>
      <c r="H339" s="73">
        <v>-2.9198541094154899E-5</v>
      </c>
      <c r="I339" s="73">
        <v>0.17945945469285399</v>
      </c>
      <c r="J339" s="73">
        <v>2.15681272668989</v>
      </c>
      <c r="K339" s="73"/>
      <c r="L339" s="73"/>
      <c r="M339" s="73"/>
      <c r="O339" s="13">
        <f t="shared" ca="1" si="160"/>
        <v>1.232817978378194E-4</v>
      </c>
      <c r="P339" s="13">
        <f t="shared" ca="1" si="161"/>
        <v>3.2413248174435629E-5</v>
      </c>
      <c r="Q339" s="13">
        <f t="shared" ca="1" si="162"/>
        <v>1.2585225935912214E-2</v>
      </c>
      <c r="R339" s="13">
        <f t="shared" ca="1" si="163"/>
        <v>4.0090847660972684E-4</v>
      </c>
      <c r="S339" s="13">
        <f t="shared" ca="1" si="164"/>
        <v>0.24736677236085064</v>
      </c>
      <c r="T339" s="13">
        <f t="shared" ca="1" si="165"/>
        <v>-2.9548362605178985E-5</v>
      </c>
      <c r="U339" s="13">
        <f t="shared" ca="1" si="166"/>
        <v>0.17880561069806547</v>
      </c>
      <c r="V339" s="13">
        <f t="shared" ca="1" si="167"/>
        <v>2.1496739457674359</v>
      </c>
      <c r="X339" s="3">
        <f t="shared" ca="1" si="168"/>
        <v>1.232817978378194E-4</v>
      </c>
      <c r="Y339" s="3">
        <f t="shared" ca="1" si="169"/>
        <v>3.2413248174435629E-5</v>
      </c>
      <c r="Z339" s="3">
        <f t="shared" ca="1" si="170"/>
        <v>1.2585225935912214E-2</v>
      </c>
      <c r="AA339" s="3">
        <f t="shared" ca="1" si="171"/>
        <v>4.0090847660972684E-4</v>
      </c>
      <c r="AB339" s="3">
        <f t="shared" ca="1" si="172"/>
        <v>0.24736677236085064</v>
      </c>
      <c r="AC339" s="3">
        <f t="shared" ca="1" si="173"/>
        <v>-2.9548362605178985E-5</v>
      </c>
      <c r="AD339" s="3">
        <f t="shared" ca="1" si="174"/>
        <v>0.17880561069806547</v>
      </c>
      <c r="AE339" s="3">
        <f t="shared" ca="1" si="175"/>
        <v>2.1496739457674359</v>
      </c>
      <c r="AG339" s="3">
        <f t="shared" ca="1" si="176"/>
        <v>1.232817978378194E-4</v>
      </c>
      <c r="AH339" s="3">
        <f t="shared" ca="1" si="177"/>
        <v>3.2413248174435629E-5</v>
      </c>
      <c r="AI339" s="3">
        <f t="shared" ca="1" si="178"/>
        <v>1.2559117236435871E-2</v>
      </c>
      <c r="AJ339" s="3">
        <f t="shared" ca="1" si="179"/>
        <v>3.8649118255569575E-4</v>
      </c>
      <c r="AK339" s="3">
        <f t="shared" ca="1" si="180"/>
        <v>0.24736677236085064</v>
      </c>
      <c r="AL339" s="3">
        <f t="shared" ca="1" si="181"/>
        <v>-2.9548362605178985E-5</v>
      </c>
      <c r="AM339" s="3">
        <f t="shared" ca="1" si="182"/>
        <v>0.17880561069806547</v>
      </c>
      <c r="AN339" s="3">
        <f t="shared" ca="1" si="183"/>
        <v>2.1496739457674359</v>
      </c>
      <c r="AP339" s="3">
        <f t="shared" ca="1" si="184"/>
        <v>8.6902291898426896</v>
      </c>
      <c r="AQ339" s="3">
        <f t="shared" ca="1" si="191"/>
        <v>0.40035103112098241</v>
      </c>
      <c r="AR339" s="3">
        <f t="shared" ca="1" si="185"/>
        <v>1.605041219958464E-4</v>
      </c>
      <c r="AS339" s="3">
        <f t="shared" ca="1" si="186"/>
        <v>0.17864510657606963</v>
      </c>
      <c r="AT339" s="3">
        <f t="shared" ca="1" si="187"/>
        <v>0.70888265994714694</v>
      </c>
      <c r="AU339" s="3">
        <f t="shared" ca="1" si="188"/>
        <v>5.2835773010978748E-2</v>
      </c>
      <c r="AV339" s="10">
        <f t="shared" ca="1" si="192"/>
        <v>0.70888265994714694</v>
      </c>
      <c r="AW339" s="10">
        <f t="shared" ca="1" si="193"/>
        <v>0.70888265994714694</v>
      </c>
      <c r="AY339" s="3">
        <f t="shared" ca="1" si="199"/>
        <v>8.6902291898426896</v>
      </c>
      <c r="AZ339" s="3">
        <f t="shared" ca="1" si="194"/>
        <v>0.40035103112098241</v>
      </c>
      <c r="BA339" s="3">
        <f t="shared" ca="1" si="189"/>
        <v>1.5473214345534063E-4</v>
      </c>
      <c r="BB339" s="3">
        <f t="shared" ca="1" si="195"/>
        <v>0.17865087855461012</v>
      </c>
      <c r="BC339" s="3">
        <f t="shared" ca="1" si="196"/>
        <v>0.70890556376790848</v>
      </c>
      <c r="BD339" s="3">
        <f t="shared" ca="1" si="190"/>
        <v>5.2726162478266135E-2</v>
      </c>
      <c r="BE339" s="3">
        <f t="shared" ca="1" si="197"/>
        <v>0.70890556376790848</v>
      </c>
      <c r="BF339" s="3">
        <f t="shared" ca="1" si="198"/>
        <v>0.70890556376790848</v>
      </c>
    </row>
    <row r="340" spans="1:58" ht="15" x14ac:dyDescent="0.25">
      <c r="A340" s="72">
        <v>274</v>
      </c>
      <c r="B340" s="72">
        <v>1498730263.8399999</v>
      </c>
      <c r="C340" s="73">
        <v>3.0683779714986398E-4</v>
      </c>
      <c r="D340" s="73">
        <v>-4.6299321064777302E-5</v>
      </c>
      <c r="E340" s="73">
        <v>1.3326402806084599E-2</v>
      </c>
      <c r="F340" s="73">
        <v>3.2571056153301301E-4</v>
      </c>
      <c r="G340" s="73">
        <v>0.247568914657671</v>
      </c>
      <c r="H340" s="73">
        <v>-7.7542623299443804E-6</v>
      </c>
      <c r="I340" s="73">
        <v>0.17871610506886301</v>
      </c>
      <c r="J340" s="73">
        <v>2.14871621873215</v>
      </c>
      <c r="K340" s="73"/>
      <c r="L340" s="73"/>
      <c r="M340" s="73"/>
      <c r="O340" s="13">
        <f t="shared" ca="1" si="160"/>
        <v>4.2150567878302401E-5</v>
      </c>
      <c r="P340" s="13">
        <f t="shared" ca="1" si="161"/>
        <v>-5.7586796449617473E-5</v>
      </c>
      <c r="Q340" s="13">
        <f t="shared" ca="1" si="162"/>
        <v>1.2485663188111914E-2</v>
      </c>
      <c r="R340" s="13">
        <f t="shared" ca="1" si="163"/>
        <v>3.1593428264233188E-4</v>
      </c>
      <c r="S340" s="13">
        <f t="shared" ca="1" si="164"/>
        <v>0.24643383602442964</v>
      </c>
      <c r="T340" s="13">
        <f t="shared" ca="1" si="165"/>
        <v>-8.1040838409684669E-6</v>
      </c>
      <c r="U340" s="13">
        <f t="shared" ca="1" si="166"/>
        <v>0.1780622610740745</v>
      </c>
      <c r="V340" s="13">
        <f t="shared" ca="1" si="167"/>
        <v>2.1415774378096959</v>
      </c>
      <c r="X340" s="3">
        <f t="shared" ca="1" si="168"/>
        <v>4.2150567878302401E-5</v>
      </c>
      <c r="Y340" s="3">
        <f t="shared" ca="1" si="169"/>
        <v>-5.7586796449617473E-5</v>
      </c>
      <c r="Z340" s="3">
        <f t="shared" ca="1" si="170"/>
        <v>1.2485663188111914E-2</v>
      </c>
      <c r="AA340" s="3">
        <f t="shared" ca="1" si="171"/>
        <v>3.1593428264233188E-4</v>
      </c>
      <c r="AB340" s="3">
        <f t="shared" ca="1" si="172"/>
        <v>0.24643383602442964</v>
      </c>
      <c r="AC340" s="3">
        <f t="shared" ca="1" si="173"/>
        <v>-8.1040838409684669E-6</v>
      </c>
      <c r="AD340" s="3">
        <f t="shared" ca="1" si="174"/>
        <v>0.1780622610740745</v>
      </c>
      <c r="AE340" s="3">
        <f t="shared" ca="1" si="175"/>
        <v>2.1415774378096959</v>
      </c>
      <c r="AG340" s="3">
        <f t="shared" ca="1" si="176"/>
        <v>4.2150567878302401E-5</v>
      </c>
      <c r="AH340" s="3">
        <f t="shared" ca="1" si="177"/>
        <v>-5.7586796449617473E-5</v>
      </c>
      <c r="AI340" s="3">
        <f t="shared" ca="1" si="178"/>
        <v>1.2485663188111914E-2</v>
      </c>
      <c r="AJ340" s="3">
        <f t="shared" ca="1" si="179"/>
        <v>3.1593428264233188E-4</v>
      </c>
      <c r="AK340" s="3">
        <f t="shared" ca="1" si="180"/>
        <v>0.24643383602442964</v>
      </c>
      <c r="AL340" s="3">
        <f t="shared" ca="1" si="181"/>
        <v>-8.1040838409684669E-6</v>
      </c>
      <c r="AM340" s="3">
        <f t="shared" ca="1" si="182"/>
        <v>0.1780622610740745</v>
      </c>
      <c r="AN340" s="3">
        <f t="shared" ca="1" si="183"/>
        <v>2.1415774378096959</v>
      </c>
      <c r="AP340" s="3">
        <f t="shared" ca="1" si="184"/>
        <v>8.6902735125926274</v>
      </c>
      <c r="AQ340" s="3">
        <f t="shared" ca="1" si="191"/>
        <v>0.40035309779609313</v>
      </c>
      <c r="AR340" s="3">
        <f t="shared" ca="1" si="185"/>
        <v>1.2648526875584402E-4</v>
      </c>
      <c r="AS340" s="3">
        <f t="shared" ca="1" si="186"/>
        <v>0.17793577580531866</v>
      </c>
      <c r="AT340" s="3">
        <f t="shared" ca="1" si="187"/>
        <v>0.70873913530041976</v>
      </c>
      <c r="AU340" s="3">
        <f t="shared" ca="1" si="188"/>
        <v>5.2616500014029198E-2</v>
      </c>
      <c r="AV340" s="10">
        <f t="shared" ca="1" si="192"/>
        <v>0.70873913530041976</v>
      </c>
      <c r="AW340" s="10">
        <f t="shared" ca="1" si="193"/>
        <v>0.70873913530041976</v>
      </c>
      <c r="AY340" s="3">
        <f t="shared" ca="1" si="199"/>
        <v>8.6902735125926274</v>
      </c>
      <c r="AZ340" s="3">
        <f t="shared" ca="1" si="194"/>
        <v>0.40035309779609313</v>
      </c>
      <c r="BA340" s="3">
        <f t="shared" ca="1" si="189"/>
        <v>1.2648526875584402E-4</v>
      </c>
      <c r="BB340" s="3">
        <f t="shared" ca="1" si="195"/>
        <v>0.17793577580531866</v>
      </c>
      <c r="BC340" s="3">
        <f t="shared" ca="1" si="196"/>
        <v>0.70873913530041976</v>
      </c>
      <c r="BD340" s="3">
        <f t="shared" ca="1" si="190"/>
        <v>5.2616500014029198E-2</v>
      </c>
      <c r="BE340" s="3">
        <f t="shared" ca="1" si="197"/>
        <v>0.70873913530041976</v>
      </c>
      <c r="BF340" s="3">
        <f t="shared" ca="1" si="198"/>
        <v>0.70873913530041976</v>
      </c>
    </row>
    <row r="341" spans="1:58" ht="15" x14ac:dyDescent="0.25">
      <c r="A341" s="72">
        <v>275</v>
      </c>
      <c r="B341" s="72">
        <v>1498730264.3670001</v>
      </c>
      <c r="C341" s="73">
        <v>2.5045428510016803E-4</v>
      </c>
      <c r="D341" s="73">
        <v>-7.7963641897405203E-6</v>
      </c>
      <c r="E341" s="73">
        <v>1.27063450697766E-2</v>
      </c>
      <c r="F341" s="73">
        <v>4.3139384791217501E-4</v>
      </c>
      <c r="G341" s="73">
        <v>0.23416090205492501</v>
      </c>
      <c r="H341" s="73">
        <v>5.7334467781098103E-6</v>
      </c>
      <c r="I341" s="73">
        <v>0.169306229356704</v>
      </c>
      <c r="J341" s="73">
        <v>2.0350447647901602</v>
      </c>
      <c r="K341" s="73"/>
      <c r="L341" s="73"/>
      <c r="M341" s="73"/>
      <c r="O341" s="13">
        <f t="shared" ca="1" si="160"/>
        <v>-1.4232944171393557E-5</v>
      </c>
      <c r="P341" s="13">
        <f t="shared" ca="1" si="161"/>
        <v>-1.9083839574580695E-5</v>
      </c>
      <c r="Q341" s="13">
        <f t="shared" ca="1" si="162"/>
        <v>1.1865605451803915E-2</v>
      </c>
      <c r="R341" s="13">
        <f t="shared" ca="1" si="163"/>
        <v>4.2161756902149388E-4</v>
      </c>
      <c r="S341" s="13">
        <f t="shared" ca="1" si="164"/>
        <v>0.23302582342168365</v>
      </c>
      <c r="T341" s="13">
        <f t="shared" ca="1" si="165"/>
        <v>5.3836252670857238E-6</v>
      </c>
      <c r="U341" s="13">
        <f t="shared" ca="1" si="166"/>
        <v>0.16865238536191549</v>
      </c>
      <c r="V341" s="13">
        <f t="shared" ca="1" si="167"/>
        <v>2.027905983867706</v>
      </c>
      <c r="X341" s="3">
        <f t="shared" ca="1" si="168"/>
        <v>-1.4232944171393557E-5</v>
      </c>
      <c r="Y341" s="3">
        <f t="shared" ca="1" si="169"/>
        <v>-1.9083839574580695E-5</v>
      </c>
      <c r="Z341" s="3">
        <f t="shared" ca="1" si="170"/>
        <v>1.1865564263042014E-2</v>
      </c>
      <c r="AA341" s="3">
        <f t="shared" ca="1" si="171"/>
        <v>4.2062061376182491E-4</v>
      </c>
      <c r="AB341" s="3">
        <f t="shared" ca="1" si="172"/>
        <v>0.23301857326348072</v>
      </c>
      <c r="AC341" s="3">
        <f t="shared" ca="1" si="173"/>
        <v>5.3836252670857238E-6</v>
      </c>
      <c r="AD341" s="3">
        <f t="shared" ca="1" si="174"/>
        <v>0.16864167862409157</v>
      </c>
      <c r="AE341" s="3">
        <f t="shared" ca="1" si="175"/>
        <v>2.0279016393225686</v>
      </c>
      <c r="AG341" s="3">
        <f t="shared" ca="1" si="176"/>
        <v>-1.4232944171393557E-5</v>
      </c>
      <c r="AH341" s="3">
        <f t="shared" ca="1" si="177"/>
        <v>-1.9083839574580695E-5</v>
      </c>
      <c r="AI341" s="3">
        <f t="shared" ca="1" si="178"/>
        <v>1.1865564263042014E-2</v>
      </c>
      <c r="AJ341" s="3">
        <f t="shared" ca="1" si="179"/>
        <v>4.2062061376182491E-4</v>
      </c>
      <c r="AK341" s="3">
        <f t="shared" ca="1" si="180"/>
        <v>0.23301857326348072</v>
      </c>
      <c r="AL341" s="3">
        <f t="shared" ca="1" si="181"/>
        <v>5.3836252670857238E-6</v>
      </c>
      <c r="AM341" s="3">
        <f t="shared" ca="1" si="182"/>
        <v>0.16864167862409157</v>
      </c>
      <c r="AN341" s="3">
        <f t="shared" ca="1" si="183"/>
        <v>2.0279016393225686</v>
      </c>
      <c r="AP341" s="3">
        <f t="shared" ca="1" si="184"/>
        <v>8.7024946595640014</v>
      </c>
      <c r="AQ341" s="3">
        <f t="shared" ca="1" si="191"/>
        <v>0.4009229486376904</v>
      </c>
      <c r="AR341" s="3">
        <f t="shared" ca="1" si="185"/>
        <v>1.6903615896955227E-4</v>
      </c>
      <c r="AS341" s="3">
        <f t="shared" ca="1" si="186"/>
        <v>0.16848334920294594</v>
      </c>
      <c r="AT341" s="3">
        <f t="shared" ca="1" si="187"/>
        <v>0.70920054107259878</v>
      </c>
      <c r="AU341" s="3">
        <f t="shared" ca="1" si="188"/>
        <v>5.2956715391096865E-2</v>
      </c>
      <c r="AV341" s="10">
        <f t="shared" ca="1" si="192"/>
        <v>0.70920054107259878</v>
      </c>
      <c r="AW341" s="10">
        <f t="shared" ca="1" si="193"/>
        <v>0.70920054107259878</v>
      </c>
      <c r="AY341" s="3">
        <f t="shared" ca="1" si="199"/>
        <v>8.7027467850365845</v>
      </c>
      <c r="AZ341" s="3">
        <f t="shared" ca="1" si="194"/>
        <v>0.40093470491248839</v>
      </c>
      <c r="BA341" s="3">
        <f t="shared" ca="1" si="189"/>
        <v>1.6864140165870703E-4</v>
      </c>
      <c r="BB341" s="3">
        <f t="shared" ca="1" si="195"/>
        <v>0.16847303722243287</v>
      </c>
      <c r="BC341" s="3">
        <f t="shared" ca="1" si="196"/>
        <v>0.70916885276266584</v>
      </c>
      <c r="BD341" s="3">
        <f t="shared" ca="1" si="190"/>
        <v>5.295974921578888E-2</v>
      </c>
      <c r="BE341" s="3">
        <f t="shared" ca="1" si="197"/>
        <v>0.70916885276266584</v>
      </c>
      <c r="BF341" s="3">
        <f t="shared" ca="1" si="198"/>
        <v>0.70916885276266584</v>
      </c>
    </row>
    <row r="342" spans="1:58" ht="15" x14ac:dyDescent="0.25">
      <c r="A342" s="72">
        <v>276</v>
      </c>
      <c r="B342" s="72">
        <v>1498730264.8940001</v>
      </c>
      <c r="C342" s="73">
        <v>4.4364647076105098E-4</v>
      </c>
      <c r="D342" s="73">
        <v>1.6891121452513599E-4</v>
      </c>
      <c r="E342" s="73">
        <v>1.27205590039222E-2</v>
      </c>
      <c r="F342" s="73">
        <v>3.5974697581148699E-4</v>
      </c>
      <c r="G342" s="73">
        <v>0.233948750016433</v>
      </c>
      <c r="H342" s="73">
        <v>-3.16071902047031E-5</v>
      </c>
      <c r="I342" s="73">
        <v>0.168888519446527</v>
      </c>
      <c r="J342" s="73">
        <v>2.02991688069676</v>
      </c>
      <c r="K342" s="73"/>
      <c r="L342" s="73"/>
      <c r="M342" s="73"/>
      <c r="O342" s="13">
        <f t="shared" ca="1" si="160"/>
        <v>1.7895924148948939E-4</v>
      </c>
      <c r="P342" s="13">
        <f t="shared" ca="1" si="161"/>
        <v>1.5762373914029581E-4</v>
      </c>
      <c r="Q342" s="13">
        <f t="shared" ca="1" si="162"/>
        <v>1.1879819385949515E-2</v>
      </c>
      <c r="R342" s="13">
        <f t="shared" ca="1" si="163"/>
        <v>3.4997069692080585E-4</v>
      </c>
      <c r="S342" s="13">
        <f t="shared" ca="1" si="164"/>
        <v>0.23281367138319164</v>
      </c>
      <c r="T342" s="13">
        <f t="shared" ca="1" si="165"/>
        <v>-3.195701171572719E-5</v>
      </c>
      <c r="U342" s="13">
        <f t="shared" ca="1" si="166"/>
        <v>0.16823467545173848</v>
      </c>
      <c r="V342" s="13">
        <f t="shared" ca="1" si="167"/>
        <v>2.0227780997743059</v>
      </c>
      <c r="X342" s="3">
        <f t="shared" ca="1" si="168"/>
        <v>1.7895924148948939E-4</v>
      </c>
      <c r="Y342" s="3">
        <f t="shared" ca="1" si="169"/>
        <v>1.5762373914029581E-4</v>
      </c>
      <c r="Z342" s="3">
        <f t="shared" ca="1" si="170"/>
        <v>1.1879819385949515E-2</v>
      </c>
      <c r="AA342" s="3">
        <f t="shared" ca="1" si="171"/>
        <v>3.4997069692080585E-4</v>
      </c>
      <c r="AB342" s="3">
        <f t="shared" ca="1" si="172"/>
        <v>0.23281367138319164</v>
      </c>
      <c r="AC342" s="3">
        <f t="shared" ca="1" si="173"/>
        <v>-3.195701171572719E-5</v>
      </c>
      <c r="AD342" s="3">
        <f t="shared" ca="1" si="174"/>
        <v>0.16823467545173848</v>
      </c>
      <c r="AE342" s="3">
        <f t="shared" ca="1" si="175"/>
        <v>2.0227780997743059</v>
      </c>
      <c r="AG342" s="3">
        <f t="shared" ca="1" si="176"/>
        <v>1.7895924148948939E-4</v>
      </c>
      <c r="AH342" s="3">
        <f t="shared" ca="1" si="177"/>
        <v>1.5762373914029581E-4</v>
      </c>
      <c r="AI342" s="3">
        <f t="shared" ca="1" si="178"/>
        <v>1.1752854300148661E-2</v>
      </c>
      <c r="AJ342" s="3">
        <f t="shared" ca="1" si="179"/>
        <v>2.7986023514752802E-4</v>
      </c>
      <c r="AK342" s="3">
        <f t="shared" ca="1" si="180"/>
        <v>0.23281367138319164</v>
      </c>
      <c r="AL342" s="3">
        <f t="shared" ca="1" si="181"/>
        <v>-3.195701171572719E-5</v>
      </c>
      <c r="AM342" s="3">
        <f t="shared" ca="1" si="182"/>
        <v>0.16823467545173848</v>
      </c>
      <c r="AN342" s="3">
        <f t="shared" ca="1" si="183"/>
        <v>2.0227780997743059</v>
      </c>
      <c r="AP342" s="3">
        <f t="shared" ca="1" si="184"/>
        <v>8.6883991294694365</v>
      </c>
      <c r="AQ342" s="3">
        <f t="shared" ca="1" si="191"/>
        <v>0.4002656994282876</v>
      </c>
      <c r="AR342" s="3">
        <f t="shared" ca="1" si="185"/>
        <v>1.4008126578241161E-4</v>
      </c>
      <c r="AS342" s="3">
        <f t="shared" ca="1" si="186"/>
        <v>0.16809459418595607</v>
      </c>
      <c r="AT342" s="3">
        <f t="shared" ca="1" si="187"/>
        <v>0.70878728917351141</v>
      </c>
      <c r="AU342" s="3">
        <f t="shared" ca="1" si="188"/>
        <v>5.2980515091825955E-2</v>
      </c>
      <c r="AV342" s="10">
        <f t="shared" ca="1" si="192"/>
        <v>0.70878728917351141</v>
      </c>
      <c r="AW342" s="10">
        <f t="shared" ca="1" si="193"/>
        <v>0.70878728917351141</v>
      </c>
      <c r="AY342" s="3">
        <f t="shared" ca="1" si="199"/>
        <v>8.6883991294694365</v>
      </c>
      <c r="AZ342" s="3">
        <f t="shared" ca="1" si="194"/>
        <v>0.4002656994282876</v>
      </c>
      <c r="BA342" s="3">
        <f t="shared" ca="1" si="189"/>
        <v>1.1201845276349034E-4</v>
      </c>
      <c r="BB342" s="3">
        <f t="shared" ca="1" si="195"/>
        <v>0.168122656998975</v>
      </c>
      <c r="BC342" s="3">
        <f t="shared" ca="1" si="196"/>
        <v>0.70890561876800307</v>
      </c>
      <c r="BD342" s="3">
        <f t="shared" ca="1" si="190"/>
        <v>5.2414287994774052E-2</v>
      </c>
      <c r="BE342" s="3">
        <f t="shared" ca="1" si="197"/>
        <v>0.70890561876800307</v>
      </c>
      <c r="BF342" s="3">
        <f t="shared" ca="1" si="198"/>
        <v>0.70890561876800307</v>
      </c>
    </row>
    <row r="343" spans="1:58" ht="15" x14ac:dyDescent="0.25">
      <c r="A343" s="72">
        <v>277</v>
      </c>
      <c r="B343" s="72">
        <v>1498730265.421</v>
      </c>
      <c r="C343" s="73">
        <v>2.9589391290330398E-4</v>
      </c>
      <c r="D343" s="73">
        <v>1.05359009585302E-4</v>
      </c>
      <c r="E343" s="73">
        <v>1.30318701619972E-2</v>
      </c>
      <c r="F343" s="73">
        <v>4.7281332085645099E-4</v>
      </c>
      <c r="G343" s="73">
        <v>0.23961075217528099</v>
      </c>
      <c r="H343" s="73">
        <v>5.8804480138165698E-5</v>
      </c>
      <c r="I343" s="73">
        <v>0.173034825592882</v>
      </c>
      <c r="J343" s="73">
        <v>2.0795270416893898</v>
      </c>
      <c r="K343" s="73"/>
      <c r="L343" s="73"/>
      <c r="M343" s="73"/>
      <c r="O343" s="13">
        <f t="shared" ca="1" si="160"/>
        <v>3.1206683631742401E-5</v>
      </c>
      <c r="P343" s="13">
        <f t="shared" ca="1" si="161"/>
        <v>9.4071534200461821E-5</v>
      </c>
      <c r="Q343" s="13">
        <f t="shared" ca="1" si="162"/>
        <v>1.2191130544024514E-2</v>
      </c>
      <c r="R343" s="13">
        <f t="shared" ca="1" si="163"/>
        <v>4.6303704196576985E-4</v>
      </c>
      <c r="S343" s="13">
        <f t="shared" ca="1" si="164"/>
        <v>0.23847567354203963</v>
      </c>
      <c r="T343" s="13">
        <f t="shared" ca="1" si="165"/>
        <v>5.8454658627141608E-5</v>
      </c>
      <c r="U343" s="13">
        <f t="shared" ca="1" si="166"/>
        <v>0.17238098159809348</v>
      </c>
      <c r="V343" s="13">
        <f t="shared" ca="1" si="167"/>
        <v>2.0723882607669357</v>
      </c>
      <c r="X343" s="3">
        <f t="shared" ca="1" si="168"/>
        <v>3.1206683631742401E-5</v>
      </c>
      <c r="Y343" s="3">
        <f t="shared" ca="1" si="169"/>
        <v>9.4071534200461821E-5</v>
      </c>
      <c r="Z343" s="3">
        <f t="shared" ca="1" si="170"/>
        <v>1.2190683322143941E-2</v>
      </c>
      <c r="AA343" s="3">
        <f t="shared" ca="1" si="171"/>
        <v>4.5221223962917817E-4</v>
      </c>
      <c r="AB343" s="3">
        <f t="shared" ca="1" si="172"/>
        <v>0.23839695232692518</v>
      </c>
      <c r="AC343" s="3">
        <f t="shared" ca="1" si="173"/>
        <v>5.8454658627141608E-5</v>
      </c>
      <c r="AD343" s="3">
        <f t="shared" ca="1" si="174"/>
        <v>0.17226472931947867</v>
      </c>
      <c r="AE343" s="3">
        <f t="shared" ca="1" si="175"/>
        <v>2.0723410882966595</v>
      </c>
      <c r="AG343" s="3">
        <f t="shared" ca="1" si="176"/>
        <v>3.1206683631742401E-5</v>
      </c>
      <c r="AH343" s="3">
        <f t="shared" ca="1" si="177"/>
        <v>9.4071534200461821E-5</v>
      </c>
      <c r="AI343" s="3">
        <f t="shared" ca="1" si="178"/>
        <v>1.2114909200324963E-2</v>
      </c>
      <c r="AJ343" s="3">
        <f t="shared" ca="1" si="179"/>
        <v>4.1036956581311847E-4</v>
      </c>
      <c r="AK343" s="3">
        <f t="shared" ca="1" si="180"/>
        <v>0.23839695232692518</v>
      </c>
      <c r="AL343" s="3">
        <f t="shared" ca="1" si="181"/>
        <v>5.8454658627141608E-5</v>
      </c>
      <c r="AM343" s="3">
        <f t="shared" ca="1" si="182"/>
        <v>0.17226472931947867</v>
      </c>
      <c r="AN343" s="3">
        <f t="shared" ca="1" si="183"/>
        <v>2.0723410882966595</v>
      </c>
      <c r="AP343" s="3">
        <f t="shared" ca="1" si="184"/>
        <v>8.6901453300711839</v>
      </c>
      <c r="AQ343" s="3">
        <f t="shared" ca="1" si="191"/>
        <v>0.40034712091939728</v>
      </c>
      <c r="AR343" s="3">
        <f t="shared" ca="1" si="185"/>
        <v>1.8537554663003011E-4</v>
      </c>
      <c r="AS343" s="3">
        <f t="shared" ca="1" si="186"/>
        <v>0.17219560605146345</v>
      </c>
      <c r="AT343" s="3">
        <f t="shared" ca="1" si="187"/>
        <v>0.70876894868304052</v>
      </c>
      <c r="AU343" s="3">
        <f t="shared" ca="1" si="188"/>
        <v>5.3088935942063015E-2</v>
      </c>
      <c r="AV343" s="10">
        <f t="shared" ca="1" si="192"/>
        <v>0.70876894868304052</v>
      </c>
      <c r="AW343" s="10">
        <f t="shared" ca="1" si="193"/>
        <v>0.70876894868304052</v>
      </c>
      <c r="AY343" s="3">
        <f t="shared" ca="1" si="199"/>
        <v>8.692817035071652</v>
      </c>
      <c r="AZ343" s="3">
        <f t="shared" ca="1" si="194"/>
        <v>0.40047169702787305</v>
      </c>
      <c r="BA343" s="3">
        <f t="shared" ca="1" si="189"/>
        <v>1.6434139642977099E-4</v>
      </c>
      <c r="BB343" s="3">
        <f t="shared" ca="1" si="195"/>
        <v>0.17210038792304891</v>
      </c>
      <c r="BC343" s="3">
        <f t="shared" ca="1" si="196"/>
        <v>0.70850125255154539</v>
      </c>
      <c r="BD343" s="3">
        <f t="shared" ca="1" si="190"/>
        <v>5.2791036722336177E-2</v>
      </c>
      <c r="BE343" s="3">
        <f t="shared" ca="1" si="197"/>
        <v>0.70850125255154539</v>
      </c>
      <c r="BF343" s="3">
        <f t="shared" ca="1" si="198"/>
        <v>0.70850125255154539</v>
      </c>
    </row>
    <row r="344" spans="1:58" ht="15" x14ac:dyDescent="0.25">
      <c r="A344" s="72">
        <v>278</v>
      </c>
      <c r="B344" s="72">
        <v>1498730265.947</v>
      </c>
      <c r="C344" s="73">
        <v>2.9232528092850801E-4</v>
      </c>
      <c r="D344" s="73">
        <v>-4.0168523055249501E-6</v>
      </c>
      <c r="E344" s="73">
        <v>1.30340390742521E-2</v>
      </c>
      <c r="F344" s="73">
        <v>3.7974093476547601E-4</v>
      </c>
      <c r="G344" s="73">
        <v>0.23828187488313399</v>
      </c>
      <c r="H344" s="73">
        <v>5.4479286126852E-5</v>
      </c>
      <c r="I344" s="73">
        <v>0.172042094886837</v>
      </c>
      <c r="J344" s="73">
        <v>2.0684768124493602</v>
      </c>
      <c r="K344" s="73"/>
      <c r="L344" s="73"/>
      <c r="M344" s="73"/>
      <c r="O344" s="13">
        <f t="shared" ca="1" si="160"/>
        <v>2.7638051656946429E-5</v>
      </c>
      <c r="P344" s="13">
        <f t="shared" ca="1" si="161"/>
        <v>-1.5304327690365122E-5</v>
      </c>
      <c r="Q344" s="13">
        <f t="shared" ca="1" si="162"/>
        <v>1.2193299456279415E-2</v>
      </c>
      <c r="R344" s="13">
        <f t="shared" ca="1" si="163"/>
        <v>3.6996465587479487E-4</v>
      </c>
      <c r="S344" s="13">
        <f t="shared" ca="1" si="164"/>
        <v>0.23714679624989263</v>
      </c>
      <c r="T344" s="13">
        <f t="shared" ca="1" si="165"/>
        <v>5.412946461582791E-5</v>
      </c>
      <c r="U344" s="13">
        <f t="shared" ca="1" si="166"/>
        <v>0.17138825089204848</v>
      </c>
      <c r="V344" s="13">
        <f t="shared" ca="1" si="167"/>
        <v>2.0613380315269061</v>
      </c>
      <c r="X344" s="3">
        <f t="shared" ca="1" si="168"/>
        <v>2.7638051656946429E-5</v>
      </c>
      <c r="Y344" s="3">
        <f t="shared" ca="1" si="169"/>
        <v>-1.5304327690365122E-5</v>
      </c>
      <c r="Z344" s="3">
        <f t="shared" ca="1" si="170"/>
        <v>1.2192885325369605E-2</v>
      </c>
      <c r="AA344" s="3">
        <f t="shared" ca="1" si="171"/>
        <v>3.5994080544416709E-4</v>
      </c>
      <c r="AB344" s="3">
        <f t="shared" ca="1" si="172"/>
        <v>0.23707389979769994</v>
      </c>
      <c r="AC344" s="3">
        <f t="shared" ca="1" si="173"/>
        <v>5.412946461582791E-5</v>
      </c>
      <c r="AD344" s="3">
        <f t="shared" ca="1" si="174"/>
        <v>0.17128060038566323</v>
      </c>
      <c r="AE344" s="3">
        <f t="shared" ca="1" si="175"/>
        <v>2.061294349455697</v>
      </c>
      <c r="AG344" s="3">
        <f t="shared" ca="1" si="176"/>
        <v>2.7638051656946429E-5</v>
      </c>
      <c r="AH344" s="3">
        <f t="shared" ca="1" si="177"/>
        <v>-1.5304327690365122E-5</v>
      </c>
      <c r="AI344" s="3">
        <f t="shared" ca="1" si="178"/>
        <v>1.2192885325369605E-2</v>
      </c>
      <c r="AJ344" s="3">
        <f t="shared" ca="1" si="179"/>
        <v>3.5994080544416709E-4</v>
      </c>
      <c r="AK344" s="3">
        <f t="shared" ca="1" si="180"/>
        <v>0.23707389979769994</v>
      </c>
      <c r="AL344" s="3">
        <f t="shared" ca="1" si="181"/>
        <v>5.412946461582791E-5</v>
      </c>
      <c r="AM344" s="3">
        <f t="shared" ca="1" si="182"/>
        <v>0.17128060038566323</v>
      </c>
      <c r="AN344" s="3">
        <f t="shared" ca="1" si="183"/>
        <v>2.061294349455697</v>
      </c>
      <c r="AP344" s="3">
        <f t="shared" ca="1" si="184"/>
        <v>8.6922449053656123</v>
      </c>
      <c r="AQ344" s="3">
        <f t="shared" ca="1" si="191"/>
        <v>0.4004450197574711</v>
      </c>
      <c r="AR344" s="3">
        <f t="shared" ca="1" si="185"/>
        <v>1.4815050393134823E-4</v>
      </c>
      <c r="AS344" s="3">
        <f t="shared" ca="1" si="186"/>
        <v>0.17124010038811713</v>
      </c>
      <c r="AT344" s="3">
        <f t="shared" ca="1" si="187"/>
        <v>0.70869942285261922</v>
      </c>
      <c r="AU344" s="3">
        <f t="shared" ca="1" si="188"/>
        <v>5.3409124028986288E-2</v>
      </c>
      <c r="AV344" s="10">
        <f t="shared" ca="1" si="192"/>
        <v>0.70869942285261922</v>
      </c>
      <c r="AW344" s="10">
        <f t="shared" ca="1" si="193"/>
        <v>0.70869942285261922</v>
      </c>
      <c r="AY344" s="3">
        <f t="shared" ca="1" si="199"/>
        <v>8.6947333772913939</v>
      </c>
      <c r="AZ344" s="3">
        <f t="shared" ca="1" si="194"/>
        <v>0.40056105240967843</v>
      </c>
      <c r="BA344" s="3">
        <f t="shared" ca="1" si="189"/>
        <v>1.4417826783390288E-4</v>
      </c>
      <c r="BB344" s="3">
        <f t="shared" ca="1" si="195"/>
        <v>0.17113642211782931</v>
      </c>
      <c r="BC344" s="3">
        <f t="shared" ca="1" si="196"/>
        <v>0.70838599658442614</v>
      </c>
      <c r="BD344" s="3">
        <f t="shared" ca="1" si="190"/>
        <v>5.3439382096369593E-2</v>
      </c>
      <c r="BE344" s="3">
        <f t="shared" ca="1" si="197"/>
        <v>0.70838599658442614</v>
      </c>
      <c r="BF344" s="3">
        <f t="shared" ca="1" si="198"/>
        <v>0.70838599658442614</v>
      </c>
    </row>
    <row r="345" spans="1:58" ht="15" x14ac:dyDescent="0.25">
      <c r="A345" s="72">
        <v>279</v>
      </c>
      <c r="B345" s="72">
        <v>1498730266.474</v>
      </c>
      <c r="C345" s="73">
        <v>3.4109768847293399E-4</v>
      </c>
      <c r="D345" s="73">
        <v>1.60620459923281E-5</v>
      </c>
      <c r="E345" s="73">
        <v>1.31277887263751E-2</v>
      </c>
      <c r="F345" s="73">
        <v>5.3518381349542505E-4</v>
      </c>
      <c r="G345" s="73">
        <v>0.24230294005632799</v>
      </c>
      <c r="H345" s="73">
        <v>-5.5103748780188604E-6</v>
      </c>
      <c r="I345" s="73">
        <v>0.17499198133911201</v>
      </c>
      <c r="J345" s="73">
        <v>2.1031711357203702</v>
      </c>
      <c r="K345" s="73"/>
      <c r="L345" s="73"/>
      <c r="M345" s="73"/>
      <c r="O345" s="13">
        <f t="shared" ca="1" si="160"/>
        <v>7.6410459201372411E-5</v>
      </c>
      <c r="P345" s="13">
        <f t="shared" ca="1" si="161"/>
        <v>4.7745706074879263E-6</v>
      </c>
      <c r="Q345" s="13">
        <f t="shared" ca="1" si="162"/>
        <v>1.2287049108402415E-2</v>
      </c>
      <c r="R345" s="13">
        <f t="shared" ca="1" si="163"/>
        <v>5.2540753460474392E-4</v>
      </c>
      <c r="S345" s="13">
        <f t="shared" ca="1" si="164"/>
        <v>0.24116786142308663</v>
      </c>
      <c r="T345" s="13">
        <f t="shared" ca="1" si="165"/>
        <v>-5.8601963890429468E-6</v>
      </c>
      <c r="U345" s="13">
        <f t="shared" ca="1" si="166"/>
        <v>0.17433813734432349</v>
      </c>
      <c r="V345" s="13">
        <f t="shared" ca="1" si="167"/>
        <v>2.0960323547979161</v>
      </c>
      <c r="X345" s="3">
        <f t="shared" ca="1" si="168"/>
        <v>7.6410459201372411E-5</v>
      </c>
      <c r="Y345" s="3">
        <f t="shared" ca="1" si="169"/>
        <v>4.7745706074879263E-6</v>
      </c>
      <c r="Z345" s="3">
        <f t="shared" ca="1" si="170"/>
        <v>1.2287049108402415E-2</v>
      </c>
      <c r="AA345" s="3">
        <f t="shared" ca="1" si="171"/>
        <v>5.2540753460474392E-4</v>
      </c>
      <c r="AB345" s="3">
        <f t="shared" ca="1" si="172"/>
        <v>0.24116786142308663</v>
      </c>
      <c r="AC345" s="3">
        <f t="shared" ca="1" si="173"/>
        <v>-5.8601963890429468E-6</v>
      </c>
      <c r="AD345" s="3">
        <f t="shared" ca="1" si="174"/>
        <v>0.17433813734432349</v>
      </c>
      <c r="AE345" s="3">
        <f t="shared" ca="1" si="175"/>
        <v>2.0960323547979161</v>
      </c>
      <c r="AG345" s="3">
        <f t="shared" ca="1" si="176"/>
        <v>7.6410459201372411E-5</v>
      </c>
      <c r="AH345" s="3">
        <f t="shared" ca="1" si="177"/>
        <v>4.7745706074879263E-6</v>
      </c>
      <c r="AI345" s="3">
        <f t="shared" ca="1" si="178"/>
        <v>1.2283203217103628E-2</v>
      </c>
      <c r="AJ345" s="3">
        <f t="shared" ca="1" si="179"/>
        <v>5.2328382308840845E-4</v>
      </c>
      <c r="AK345" s="3">
        <f t="shared" ca="1" si="180"/>
        <v>0.24116786142308663</v>
      </c>
      <c r="AL345" s="3">
        <f t="shared" ca="1" si="181"/>
        <v>-5.8601963890429468E-6</v>
      </c>
      <c r="AM345" s="3">
        <f t="shared" ca="1" si="182"/>
        <v>0.17433813734432349</v>
      </c>
      <c r="AN345" s="3">
        <f t="shared" ca="1" si="183"/>
        <v>2.0960323547979161</v>
      </c>
      <c r="AP345" s="3">
        <f t="shared" ca="1" si="184"/>
        <v>8.6911761062590163</v>
      </c>
      <c r="AQ345" s="3">
        <f t="shared" ca="1" si="191"/>
        <v>0.40039518383769984</v>
      </c>
      <c r="AR345" s="3">
        <f t="shared" ca="1" si="185"/>
        <v>2.1037064640777909E-4</v>
      </c>
      <c r="AS345" s="3">
        <f t="shared" ca="1" si="186"/>
        <v>0.17412776669791571</v>
      </c>
      <c r="AT345" s="3">
        <f t="shared" ca="1" si="187"/>
        <v>0.70867866582510508</v>
      </c>
      <c r="AU345" s="3">
        <f t="shared" ca="1" si="188"/>
        <v>5.2915754529750447E-2</v>
      </c>
      <c r="AV345" s="10">
        <f t="shared" ca="1" si="192"/>
        <v>0.70867866582510508</v>
      </c>
      <c r="AW345" s="10">
        <f t="shared" ca="1" si="193"/>
        <v>0.70867866582510508</v>
      </c>
      <c r="AY345" s="3">
        <f t="shared" ca="1" si="199"/>
        <v>8.6911761062590163</v>
      </c>
      <c r="AZ345" s="3">
        <f t="shared" ca="1" si="194"/>
        <v>0.40039518383769984</v>
      </c>
      <c r="BA345" s="3">
        <f t="shared" ca="1" si="189"/>
        <v>2.0952032254477771E-4</v>
      </c>
      <c r="BB345" s="3">
        <f t="shared" ca="1" si="195"/>
        <v>0.1741286170217787</v>
      </c>
      <c r="BC345" s="3">
        <f t="shared" ca="1" si="196"/>
        <v>0.70868212653899454</v>
      </c>
      <c r="BD345" s="3">
        <f t="shared" ca="1" si="190"/>
        <v>5.289919170509505E-2</v>
      </c>
      <c r="BE345" s="3">
        <f t="shared" ca="1" si="197"/>
        <v>0.70868212653899454</v>
      </c>
      <c r="BF345" s="3">
        <f t="shared" ca="1" si="198"/>
        <v>0.70868212653899454</v>
      </c>
    </row>
    <row r="346" spans="1:58" ht="15" x14ac:dyDescent="0.25">
      <c r="A346" s="72">
        <v>280</v>
      </c>
      <c r="B346" s="72">
        <v>1498730267.0009999</v>
      </c>
      <c r="C346" s="73">
        <v>2.5045428510016803E-4</v>
      </c>
      <c r="D346" s="73">
        <v>4.5118112393689303E-5</v>
      </c>
      <c r="E346" s="73">
        <v>1.3130439871137701E-2</v>
      </c>
      <c r="F346" s="73">
        <v>5.4922961435516996E-4</v>
      </c>
      <c r="G346" s="73">
        <v>0.24311367793581601</v>
      </c>
      <c r="H346" s="73">
        <v>3.0493245058031099E-5</v>
      </c>
      <c r="I346" s="73">
        <v>0.17570132822796899</v>
      </c>
      <c r="J346" s="73">
        <v>2.1106045776592199</v>
      </c>
      <c r="K346" s="73"/>
      <c r="L346" s="73"/>
      <c r="M346" s="73"/>
      <c r="O346" s="13">
        <f t="shared" ca="1" si="160"/>
        <v>-1.4232944171393557E-5</v>
      </c>
      <c r="P346" s="13">
        <f t="shared" ca="1" si="161"/>
        <v>3.3830637008849132E-5</v>
      </c>
      <c r="Q346" s="13">
        <f t="shared" ca="1" si="162"/>
        <v>1.2289700253165016E-2</v>
      </c>
      <c r="R346" s="13">
        <f t="shared" ca="1" si="163"/>
        <v>5.3945333546448883E-4</v>
      </c>
      <c r="S346" s="13">
        <f t="shared" ca="1" si="164"/>
        <v>0.24197859930257465</v>
      </c>
      <c r="T346" s="13">
        <f t="shared" ca="1" si="165"/>
        <v>3.0143423547007013E-5</v>
      </c>
      <c r="U346" s="13">
        <f t="shared" ca="1" si="166"/>
        <v>0.17504748423318048</v>
      </c>
      <c r="V346" s="13">
        <f t="shared" ca="1" si="167"/>
        <v>2.1034657967367658</v>
      </c>
      <c r="X346" s="3">
        <f t="shared" ca="1" si="168"/>
        <v>-1.4232944171393557E-5</v>
      </c>
      <c r="Y346" s="3">
        <f t="shared" ca="1" si="169"/>
        <v>3.3830637008849132E-5</v>
      </c>
      <c r="Z346" s="3">
        <f t="shared" ca="1" si="170"/>
        <v>1.2289469633418324E-2</v>
      </c>
      <c r="AA346" s="3">
        <f t="shared" ca="1" si="171"/>
        <v>5.3387128932295155E-4</v>
      </c>
      <c r="AB346" s="3">
        <f t="shared" ca="1" si="172"/>
        <v>0.24193800498579887</v>
      </c>
      <c r="AC346" s="3">
        <f t="shared" ca="1" si="173"/>
        <v>3.0143423547007013E-5</v>
      </c>
      <c r="AD346" s="3">
        <f t="shared" ca="1" si="174"/>
        <v>0.1749875362024351</v>
      </c>
      <c r="AE346" s="3">
        <f t="shared" ca="1" si="175"/>
        <v>2.103441471220465</v>
      </c>
      <c r="AG346" s="3">
        <f t="shared" ca="1" si="176"/>
        <v>-1.4232944171393557E-5</v>
      </c>
      <c r="AH346" s="3">
        <f t="shared" ca="1" si="177"/>
        <v>3.3830637008849132E-5</v>
      </c>
      <c r="AI346" s="3">
        <f t="shared" ca="1" si="178"/>
        <v>1.2262219234754053E-2</v>
      </c>
      <c r="AJ346" s="3">
        <f t="shared" ca="1" si="179"/>
        <v>5.1882354590745354E-4</v>
      </c>
      <c r="AK346" s="3">
        <f t="shared" ca="1" si="180"/>
        <v>0.24193800498579887</v>
      </c>
      <c r="AL346" s="3">
        <f t="shared" ca="1" si="181"/>
        <v>3.0143423547007013E-5</v>
      </c>
      <c r="AM346" s="3">
        <f t="shared" ca="1" si="182"/>
        <v>0.1749875362024351</v>
      </c>
      <c r="AN346" s="3">
        <f t="shared" ca="1" si="183"/>
        <v>2.103441471220465</v>
      </c>
      <c r="AP346" s="3">
        <f t="shared" ca="1" si="184"/>
        <v>8.6927761496236791</v>
      </c>
      <c r="AQ346" s="3">
        <f t="shared" ca="1" si="191"/>
        <v>0.40046979062003618</v>
      </c>
      <c r="AR346" s="3">
        <f t="shared" ca="1" si="185"/>
        <v>2.1603476430274399E-4</v>
      </c>
      <c r="AS346" s="3">
        <f t="shared" ca="1" si="186"/>
        <v>0.17483144946887774</v>
      </c>
      <c r="AT346" s="3">
        <f t="shared" ca="1" si="187"/>
        <v>0.70909284065647482</v>
      </c>
      <c r="AU346" s="3">
        <f t="shared" ca="1" si="188"/>
        <v>5.2759779077294018E-2</v>
      </c>
      <c r="AV346" s="10">
        <f t="shared" ca="1" si="192"/>
        <v>0.70909284065647482</v>
      </c>
      <c r="AW346" s="10">
        <f t="shared" ca="1" si="193"/>
        <v>0.70909284065647482</v>
      </c>
      <c r="AY346" s="3">
        <f t="shared" ca="1" si="199"/>
        <v>8.6941341495476561</v>
      </c>
      <c r="AZ346" s="3">
        <f t="shared" ca="1" si="194"/>
        <v>0.40053311153749382</v>
      </c>
      <c r="BA346" s="3">
        <f t="shared" ca="1" si="189"/>
        <v>2.0780600918122815E-4</v>
      </c>
      <c r="BB346" s="3">
        <f t="shared" ca="1" si="195"/>
        <v>0.17477973019325388</v>
      </c>
      <c r="BC346" s="3">
        <f t="shared" ca="1" si="196"/>
        <v>0.70894624418749885</v>
      </c>
      <c r="BD346" s="3">
        <f t="shared" ca="1" si="190"/>
        <v>5.2659051942645758E-2</v>
      </c>
      <c r="BE346" s="3">
        <f t="shared" ca="1" si="197"/>
        <v>0.70894624418749885</v>
      </c>
      <c r="BF346" s="3">
        <f t="shared" ca="1" si="198"/>
        <v>0.70894624418749885</v>
      </c>
    </row>
    <row r="347" spans="1:58" ht="15" x14ac:dyDescent="0.25">
      <c r="A347" s="72">
        <v>281</v>
      </c>
      <c r="B347" s="72">
        <v>1498730267.5280001</v>
      </c>
      <c r="C347" s="73">
        <v>3.00652108707989E-4</v>
      </c>
      <c r="D347" s="73">
        <v>-5.24407588318906E-5</v>
      </c>
      <c r="E347" s="73">
        <v>1.3154300486667599E-2</v>
      </c>
      <c r="F347" s="73">
        <v>3.9783105202761699E-4</v>
      </c>
      <c r="G347" s="73">
        <v>0.242946025345777</v>
      </c>
      <c r="H347" s="73">
        <v>5.8043152426973898E-6</v>
      </c>
      <c r="I347" s="73">
        <v>0.175594633406916</v>
      </c>
      <c r="J347" s="73">
        <v>2.11122874827208</v>
      </c>
      <c r="K347" s="73"/>
      <c r="L347" s="73"/>
      <c r="M347" s="73"/>
      <c r="O347" s="13">
        <f t="shared" ca="1" si="160"/>
        <v>3.5964879436427418E-5</v>
      </c>
      <c r="P347" s="13">
        <f t="shared" ca="1" si="161"/>
        <v>-6.3728234216730778E-5</v>
      </c>
      <c r="Q347" s="13">
        <f t="shared" ca="1" si="162"/>
        <v>1.2313560868694914E-2</v>
      </c>
      <c r="R347" s="13">
        <f t="shared" ca="1" si="163"/>
        <v>3.8805477313693586E-4</v>
      </c>
      <c r="S347" s="13">
        <f t="shared" ca="1" si="164"/>
        <v>0.24181094671253564</v>
      </c>
      <c r="T347" s="13">
        <f t="shared" ca="1" si="165"/>
        <v>5.4544937316733034E-6</v>
      </c>
      <c r="U347" s="13">
        <f t="shared" ca="1" si="166"/>
        <v>0.17494078941212748</v>
      </c>
      <c r="V347" s="13">
        <f t="shared" ca="1" si="167"/>
        <v>2.1040899673496258</v>
      </c>
      <c r="X347" s="3">
        <f t="shared" ca="1" si="168"/>
        <v>3.5964879436427418E-5</v>
      </c>
      <c r="Y347" s="3">
        <f t="shared" ca="1" si="169"/>
        <v>-6.3728234216730778E-5</v>
      </c>
      <c r="Z347" s="3">
        <f t="shared" ca="1" si="170"/>
        <v>1.2313519137736227E-2</v>
      </c>
      <c r="AA347" s="3">
        <f t="shared" ca="1" si="171"/>
        <v>3.870446942505265E-4</v>
      </c>
      <c r="AB347" s="3">
        <f t="shared" ca="1" si="172"/>
        <v>0.2418036011153758</v>
      </c>
      <c r="AC347" s="3">
        <f t="shared" ca="1" si="173"/>
        <v>5.4544937316733034E-6</v>
      </c>
      <c r="AD347" s="3">
        <f t="shared" ca="1" si="174"/>
        <v>0.17492994173394597</v>
      </c>
      <c r="AE347" s="3">
        <f t="shared" ca="1" si="175"/>
        <v>2.1040855656141702</v>
      </c>
      <c r="AG347" s="3">
        <f t="shared" ca="1" si="176"/>
        <v>3.5964879436427418E-5</v>
      </c>
      <c r="AH347" s="3">
        <f t="shared" ca="1" si="177"/>
        <v>-6.3728234216730778E-5</v>
      </c>
      <c r="AI347" s="3">
        <f t="shared" ca="1" si="178"/>
        <v>1.2313519137736227E-2</v>
      </c>
      <c r="AJ347" s="3">
        <f t="shared" ca="1" si="179"/>
        <v>3.870446942505265E-4</v>
      </c>
      <c r="AK347" s="3">
        <f t="shared" ca="1" si="180"/>
        <v>0.2418036011153758</v>
      </c>
      <c r="AL347" s="3">
        <f t="shared" ca="1" si="181"/>
        <v>5.4544937316733034E-6</v>
      </c>
      <c r="AM347" s="3">
        <f t="shared" ca="1" si="182"/>
        <v>0.17492994173394597</v>
      </c>
      <c r="AN347" s="3">
        <f t="shared" ca="1" si="183"/>
        <v>2.1040855656141702</v>
      </c>
      <c r="AP347" s="3">
        <f t="shared" ca="1" si="184"/>
        <v>8.7013842671521555</v>
      </c>
      <c r="AQ347" s="3">
        <f t="shared" ca="1" si="191"/>
        <v>0.40087117256842397</v>
      </c>
      <c r="AR347" s="3">
        <f t="shared" ca="1" si="185"/>
        <v>1.5555997192817723E-4</v>
      </c>
      <c r="AS347" s="3">
        <f t="shared" ca="1" si="186"/>
        <v>0.17478522944019931</v>
      </c>
      <c r="AT347" s="3">
        <f t="shared" ca="1" si="187"/>
        <v>0.70904337223730118</v>
      </c>
      <c r="AU347" s="3">
        <f t="shared" ca="1" si="188"/>
        <v>5.2952465609781521E-2</v>
      </c>
      <c r="AV347" s="10">
        <f t="shared" ca="1" si="192"/>
        <v>0.70904337223730118</v>
      </c>
      <c r="AW347" s="10">
        <f t="shared" ca="1" si="193"/>
        <v>0.70904337223730118</v>
      </c>
      <c r="AY347" s="3">
        <f t="shared" ca="1" si="199"/>
        <v>8.7016303971842532</v>
      </c>
      <c r="AZ347" s="3">
        <f t="shared" ca="1" si="194"/>
        <v>0.40088264926601197</v>
      </c>
      <c r="BA347" s="3">
        <f t="shared" ca="1" si="189"/>
        <v>1.5515950241550466E-4</v>
      </c>
      <c r="BB347" s="3">
        <f t="shared" ca="1" si="195"/>
        <v>0.17477478223153045</v>
      </c>
      <c r="BC347" s="3">
        <f t="shared" ca="1" si="196"/>
        <v>0.70901243013879012</v>
      </c>
      <c r="BD347" s="3">
        <f t="shared" ca="1" si="190"/>
        <v>5.295542745310531E-2</v>
      </c>
      <c r="BE347" s="3">
        <f t="shared" ca="1" si="197"/>
        <v>0.70901243013879012</v>
      </c>
      <c r="BF347" s="3">
        <f t="shared" ca="1" si="198"/>
        <v>0.70901243013879012</v>
      </c>
    </row>
    <row r="348" spans="1:58" ht="15" x14ac:dyDescent="0.25">
      <c r="A348" s="72">
        <v>282</v>
      </c>
      <c r="B348" s="72">
        <v>1498730268.0550001</v>
      </c>
      <c r="C348" s="73">
        <v>2.7162746696639598E-4</v>
      </c>
      <c r="D348" s="73">
        <v>4.7244199441543701E-5</v>
      </c>
      <c r="E348" s="73">
        <v>1.2999578018494501E-2</v>
      </c>
      <c r="F348" s="73">
        <v>4.1615953128405899E-4</v>
      </c>
      <c r="G348" s="73">
        <v>0.238758481252</v>
      </c>
      <c r="H348" s="73">
        <v>3.0115186407025699E-5</v>
      </c>
      <c r="I348" s="73">
        <v>0.17207124193880999</v>
      </c>
      <c r="J348" s="73">
        <v>2.0702957098518402</v>
      </c>
      <c r="K348" s="73"/>
      <c r="L348" s="73"/>
      <c r="M348" s="73"/>
      <c r="O348" s="13">
        <f t="shared" ca="1" si="160"/>
        <v>6.9402376948343942E-6</v>
      </c>
      <c r="P348" s="13">
        <f t="shared" ca="1" si="161"/>
        <v>3.5956724056703529E-5</v>
      </c>
      <c r="Q348" s="13">
        <f t="shared" ca="1" si="162"/>
        <v>1.2158838400521815E-2</v>
      </c>
      <c r="R348" s="13">
        <f t="shared" ca="1" si="163"/>
        <v>4.0638325239337786E-4</v>
      </c>
      <c r="S348" s="13">
        <f t="shared" ca="1" si="164"/>
        <v>0.23762340261875864</v>
      </c>
      <c r="T348" s="13">
        <f t="shared" ca="1" si="165"/>
        <v>2.9765364896001612E-5</v>
      </c>
      <c r="U348" s="13">
        <f t="shared" ca="1" si="166"/>
        <v>0.17141739794402147</v>
      </c>
      <c r="V348" s="13">
        <f t="shared" ca="1" si="167"/>
        <v>2.0631569289293861</v>
      </c>
      <c r="X348" s="3">
        <f t="shared" ca="1" si="168"/>
        <v>6.9402376948343942E-6</v>
      </c>
      <c r="Y348" s="3">
        <f t="shared" ca="1" si="169"/>
        <v>3.5956724056703529E-5</v>
      </c>
      <c r="Z348" s="3">
        <f t="shared" ca="1" si="170"/>
        <v>1.2158610673206708E-2</v>
      </c>
      <c r="AA348" s="3">
        <f t="shared" ca="1" si="171"/>
        <v>4.0087121624359976E-4</v>
      </c>
      <c r="AB348" s="3">
        <f t="shared" ca="1" si="172"/>
        <v>0.23758331743567879</v>
      </c>
      <c r="AC348" s="3">
        <f t="shared" ca="1" si="173"/>
        <v>2.9765364896001612E-5</v>
      </c>
      <c r="AD348" s="3">
        <f t="shared" ca="1" si="174"/>
        <v>0.17135820178114533</v>
      </c>
      <c r="AE348" s="3">
        <f t="shared" ca="1" si="175"/>
        <v>2.0631329085035759</v>
      </c>
      <c r="AG348" s="3">
        <f t="shared" ca="1" si="176"/>
        <v>6.9402376948343942E-6</v>
      </c>
      <c r="AH348" s="3">
        <f t="shared" ca="1" si="177"/>
        <v>3.5956724056703529E-5</v>
      </c>
      <c r="AI348" s="3">
        <f t="shared" ca="1" si="178"/>
        <v>1.21296477227027E-2</v>
      </c>
      <c r="AJ348" s="3">
        <f t="shared" ca="1" si="179"/>
        <v>3.8487779709735047E-4</v>
      </c>
      <c r="AK348" s="3">
        <f t="shared" ca="1" si="180"/>
        <v>0.23758331743567879</v>
      </c>
      <c r="AL348" s="3">
        <f t="shared" ca="1" si="181"/>
        <v>2.9765364896001612E-5</v>
      </c>
      <c r="AM348" s="3">
        <f t="shared" ca="1" si="182"/>
        <v>0.17135820178114533</v>
      </c>
      <c r="AN348" s="3">
        <f t="shared" ca="1" si="183"/>
        <v>2.0631329085035759</v>
      </c>
      <c r="AP348" s="3">
        <f t="shared" ca="1" si="184"/>
        <v>8.6824652209845716</v>
      </c>
      <c r="AQ348" s="3">
        <f t="shared" ca="1" si="191"/>
        <v>0.39998901581812057</v>
      </c>
      <c r="AR348" s="3">
        <f t="shared" ca="1" si="185"/>
        <v>1.6254883716979409E-4</v>
      </c>
      <c r="AS348" s="3">
        <f t="shared" ca="1" si="186"/>
        <v>0.17125484910685168</v>
      </c>
      <c r="AT348" s="3">
        <f t="shared" ca="1" si="187"/>
        <v>0.70774000030973683</v>
      </c>
      <c r="AU348" s="3">
        <f t="shared" ca="1" si="188"/>
        <v>5.3090166114624415E-2</v>
      </c>
      <c r="AV348" s="10" t="str">
        <f t="shared" ca="1" si="192"/>
        <v>rejected</v>
      </c>
      <c r="AW348" s="10" t="e">
        <f t="shared" ca="1" si="193"/>
        <v>#N/A</v>
      </c>
      <c r="AY348" s="3">
        <f t="shared" ca="1" si="199"/>
        <v>8.6838290279456611</v>
      </c>
      <c r="AZ348" s="3">
        <f t="shared" ca="1" si="194"/>
        <v>0.40005260659144748</v>
      </c>
      <c r="BA348" s="3">
        <f t="shared" ca="1" si="189"/>
        <v>1.5397136594796928E-4</v>
      </c>
      <c r="BB348" s="3">
        <f t="shared" ca="1" si="195"/>
        <v>0.17120423041519736</v>
      </c>
      <c r="BC348" s="3">
        <f t="shared" ca="1" si="196"/>
        <v>0.70759421463308891</v>
      </c>
      <c r="BD348" s="3">
        <f t="shared" ca="1" si="190"/>
        <v>5.2980158328560276E-2</v>
      </c>
      <c r="BE348" s="3" t="str">
        <f t="shared" ca="1" si="197"/>
        <v>rejected</v>
      </c>
      <c r="BF348" s="3" t="e">
        <f t="shared" ca="1" si="198"/>
        <v>#N/A</v>
      </c>
    </row>
    <row r="349" spans="1:58" ht="15" x14ac:dyDescent="0.25">
      <c r="A349" s="72">
        <v>283</v>
      </c>
      <c r="B349" s="72">
        <v>1498730268.582</v>
      </c>
      <c r="C349" s="73">
        <v>2.43317358674578E-4</v>
      </c>
      <c r="D349" s="73">
        <v>3.04718587458871E-5</v>
      </c>
      <c r="E349" s="73">
        <v>1.2385018920495299E-2</v>
      </c>
      <c r="F349" s="73">
        <v>3.44037717404187E-4</v>
      </c>
      <c r="G349" s="73">
        <v>0.22981576450895799</v>
      </c>
      <c r="H349" s="73">
        <v>-6.1686761697508702E-5</v>
      </c>
      <c r="I349" s="73">
        <v>0.16594151800446599</v>
      </c>
      <c r="J349" s="73">
        <v>1.99602487422555</v>
      </c>
      <c r="K349" s="73"/>
      <c r="L349" s="73"/>
      <c r="M349" s="73"/>
      <c r="O349" s="13">
        <f t="shared" ca="1" si="160"/>
        <v>-2.1369870596983588E-5</v>
      </c>
      <c r="P349" s="13">
        <f t="shared" ca="1" si="161"/>
        <v>1.9184383361046925E-5</v>
      </c>
      <c r="Q349" s="13">
        <f t="shared" ca="1" si="162"/>
        <v>1.1544279302522614E-2</v>
      </c>
      <c r="R349" s="13">
        <f t="shared" ca="1" si="163"/>
        <v>3.3426143851350587E-4</v>
      </c>
      <c r="S349" s="13">
        <f t="shared" ca="1" si="164"/>
        <v>0.22868068587571663</v>
      </c>
      <c r="T349" s="13">
        <f t="shared" ca="1" si="165"/>
        <v>-6.2036583208532791E-5</v>
      </c>
      <c r="U349" s="13">
        <f t="shared" ca="1" si="166"/>
        <v>0.16528767400967748</v>
      </c>
      <c r="V349" s="13">
        <f t="shared" ca="1" si="167"/>
        <v>1.9888860933030958</v>
      </c>
      <c r="X349" s="3">
        <f t="shared" ca="1" si="168"/>
        <v>-2.1369870596983588E-5</v>
      </c>
      <c r="Y349" s="3">
        <f t="shared" ca="1" si="169"/>
        <v>1.9184383361046925E-5</v>
      </c>
      <c r="Z349" s="3">
        <f t="shared" ca="1" si="170"/>
        <v>1.1544279302522614E-2</v>
      </c>
      <c r="AA349" s="3">
        <f t="shared" ca="1" si="171"/>
        <v>3.3426143851350587E-4</v>
      </c>
      <c r="AB349" s="3">
        <f t="shared" ca="1" si="172"/>
        <v>0.22868068587571663</v>
      </c>
      <c r="AC349" s="3">
        <f t="shared" ca="1" si="173"/>
        <v>-6.2036583208532791E-5</v>
      </c>
      <c r="AD349" s="3">
        <f t="shared" ca="1" si="174"/>
        <v>0.16528767400967748</v>
      </c>
      <c r="AE349" s="3">
        <f t="shared" ca="1" si="175"/>
        <v>1.9888860933030958</v>
      </c>
      <c r="AG349" s="3">
        <f t="shared" ca="1" si="176"/>
        <v>-2.1369870596983588E-5</v>
      </c>
      <c r="AH349" s="3">
        <f t="shared" ca="1" si="177"/>
        <v>1.9184383361046925E-5</v>
      </c>
      <c r="AI349" s="3">
        <f t="shared" ca="1" si="178"/>
        <v>1.152882638348417E-2</v>
      </c>
      <c r="AJ349" s="3">
        <f t="shared" ca="1" si="179"/>
        <v>3.2572829506941195E-4</v>
      </c>
      <c r="AK349" s="3">
        <f t="shared" ca="1" si="180"/>
        <v>0.22868068587571663</v>
      </c>
      <c r="AL349" s="3">
        <f t="shared" ca="1" si="181"/>
        <v>-6.2036583208532791E-5</v>
      </c>
      <c r="AM349" s="3">
        <f t="shared" ca="1" si="182"/>
        <v>0.16528767400967748</v>
      </c>
      <c r="AN349" s="3">
        <f t="shared" ca="1" si="183"/>
        <v>1.9888860933030958</v>
      </c>
      <c r="AP349" s="3">
        <f t="shared" ca="1" si="184"/>
        <v>8.6972193811943335</v>
      </c>
      <c r="AQ349" s="3">
        <f t="shared" ca="1" si="191"/>
        <v>0.40067697038492228</v>
      </c>
      <c r="AR349" s="3">
        <f t="shared" ca="1" si="185"/>
        <v>1.3393086050009751E-4</v>
      </c>
      <c r="AS349" s="3">
        <f t="shared" ca="1" si="186"/>
        <v>0.16515374314917738</v>
      </c>
      <c r="AT349" s="3">
        <f t="shared" ca="1" si="187"/>
        <v>0.70861064817489727</v>
      </c>
      <c r="AU349" s="3">
        <f t="shared" ca="1" si="188"/>
        <v>5.2469033515878054E-2</v>
      </c>
      <c r="AV349" s="10">
        <f t="shared" ca="1" si="192"/>
        <v>0.70861064817489727</v>
      </c>
      <c r="AW349" s="10">
        <f t="shared" ca="1" si="193"/>
        <v>0.70861064817489727</v>
      </c>
      <c r="AY349" s="3">
        <f t="shared" ca="1" si="199"/>
        <v>8.6972193811943335</v>
      </c>
      <c r="AZ349" s="3">
        <f t="shared" ca="1" si="194"/>
        <v>0.40067697038492228</v>
      </c>
      <c r="BA349" s="3">
        <f t="shared" ca="1" si="189"/>
        <v>1.3051182643705799E-4</v>
      </c>
      <c r="BB349" s="3">
        <f t="shared" ca="1" si="195"/>
        <v>0.16515716218324042</v>
      </c>
      <c r="BC349" s="3">
        <f t="shared" ca="1" si="196"/>
        <v>0.70862531792380723</v>
      </c>
      <c r="BD349" s="3">
        <f t="shared" ca="1" si="190"/>
        <v>5.2398799618577158E-2</v>
      </c>
      <c r="BE349" s="3">
        <f t="shared" ca="1" si="197"/>
        <v>0.70862531792380723</v>
      </c>
      <c r="BF349" s="3">
        <f t="shared" ca="1" si="198"/>
        <v>0.70862531792380723</v>
      </c>
    </row>
    <row r="350" spans="1:58" ht="15" x14ac:dyDescent="0.25">
      <c r="A350" s="72">
        <v>284</v>
      </c>
      <c r="B350" s="72">
        <v>1498730269.108</v>
      </c>
      <c r="C350" s="73">
        <v>3.3348427771249302E-4</v>
      </c>
      <c r="D350" s="73">
        <v>6.3308115497967606E-5</v>
      </c>
      <c r="E350" s="73">
        <v>1.25167647452782E-2</v>
      </c>
      <c r="F350" s="73">
        <v>4.55197932809704E-4</v>
      </c>
      <c r="G350" s="73">
        <v>0.22962319729135</v>
      </c>
      <c r="H350" s="73">
        <v>3.0587759945912002E-5</v>
      </c>
      <c r="I350" s="73">
        <v>0.16601436122324101</v>
      </c>
      <c r="J350" s="73">
        <v>1.99405978855726</v>
      </c>
      <c r="K350" s="73"/>
      <c r="L350" s="73"/>
      <c r="M350" s="73"/>
      <c r="O350" s="13">
        <f t="shared" ca="1" si="160"/>
        <v>6.8797048440931441E-5</v>
      </c>
      <c r="P350" s="13">
        <f t="shared" ca="1" si="161"/>
        <v>5.2020640113127434E-5</v>
      </c>
      <c r="Q350" s="13">
        <f t="shared" ca="1" si="162"/>
        <v>1.1676025127305515E-2</v>
      </c>
      <c r="R350" s="13">
        <f t="shared" ca="1" si="163"/>
        <v>4.4542165391902287E-4</v>
      </c>
      <c r="S350" s="13">
        <f t="shared" ca="1" si="164"/>
        <v>0.22848811865810864</v>
      </c>
      <c r="T350" s="13">
        <f t="shared" ca="1" si="165"/>
        <v>3.0237938434887916E-5</v>
      </c>
      <c r="U350" s="13">
        <f t="shared" ca="1" si="166"/>
        <v>0.16536051722845249</v>
      </c>
      <c r="V350" s="13">
        <f t="shared" ca="1" si="167"/>
        <v>1.9869210076348058</v>
      </c>
      <c r="X350" s="3">
        <f t="shared" ca="1" si="168"/>
        <v>6.8797048440931441E-5</v>
      </c>
      <c r="Y350" s="3">
        <f t="shared" ca="1" si="169"/>
        <v>5.2020640113127434E-5</v>
      </c>
      <c r="Z350" s="3">
        <f t="shared" ca="1" si="170"/>
        <v>1.1675793784449204E-2</v>
      </c>
      <c r="AA350" s="3">
        <f t="shared" ca="1" si="171"/>
        <v>4.3982210523785563E-4</v>
      </c>
      <c r="AB350" s="3">
        <f t="shared" ca="1" si="172"/>
        <v>0.22844739705760569</v>
      </c>
      <c r="AC350" s="3">
        <f t="shared" ca="1" si="173"/>
        <v>3.0237938434887916E-5</v>
      </c>
      <c r="AD350" s="3">
        <f t="shared" ca="1" si="174"/>
        <v>0.16530038123029206</v>
      </c>
      <c r="AE350" s="3">
        <f t="shared" ca="1" si="175"/>
        <v>1.9868966058457007</v>
      </c>
      <c r="AG350" s="3">
        <f t="shared" ca="1" si="176"/>
        <v>6.8797048440931441E-5</v>
      </c>
      <c r="AH350" s="3">
        <f t="shared" ca="1" si="177"/>
        <v>5.2020640113127434E-5</v>
      </c>
      <c r="AI350" s="3">
        <f t="shared" ca="1" si="178"/>
        <v>1.1633891434768869E-2</v>
      </c>
      <c r="AJ350" s="3">
        <f t="shared" ca="1" si="179"/>
        <v>4.1668351507392974E-4</v>
      </c>
      <c r="AK350" s="3">
        <f t="shared" ca="1" si="180"/>
        <v>0.22844739705760569</v>
      </c>
      <c r="AL350" s="3">
        <f t="shared" ca="1" si="181"/>
        <v>3.0237938434887916E-5</v>
      </c>
      <c r="AM350" s="3">
        <f t="shared" ca="1" si="182"/>
        <v>0.16530038123029206</v>
      </c>
      <c r="AN350" s="3">
        <f t="shared" ca="1" si="183"/>
        <v>1.9868966058457007</v>
      </c>
      <c r="AP350" s="3">
        <f t="shared" ca="1" si="184"/>
        <v>8.695948915435185</v>
      </c>
      <c r="AQ350" s="3">
        <f t="shared" ca="1" si="191"/>
        <v>0.40061773075819357</v>
      </c>
      <c r="AR350" s="3">
        <f t="shared" ca="1" si="185"/>
        <v>1.7844381222360039E-4</v>
      </c>
      <c r="AS350" s="3">
        <f t="shared" ca="1" si="186"/>
        <v>0.1651820734162289</v>
      </c>
      <c r="AT350" s="3">
        <f t="shared" ca="1" si="187"/>
        <v>0.70938170039771198</v>
      </c>
      <c r="AU350" s="3">
        <f t="shared" ca="1" si="188"/>
        <v>5.3104607584936431E-2</v>
      </c>
      <c r="AV350" s="10">
        <f t="shared" ca="1" si="192"/>
        <v>0.70938170039771198</v>
      </c>
      <c r="AW350" s="10">
        <f t="shared" ca="1" si="193"/>
        <v>0.70938170039771198</v>
      </c>
      <c r="AY350" s="3">
        <f t="shared" ca="1" si="199"/>
        <v>8.6973921849706226</v>
      </c>
      <c r="AZ350" s="3">
        <f t="shared" ca="1" si="194"/>
        <v>0.40068502793502425</v>
      </c>
      <c r="BA350" s="3">
        <f t="shared" ca="1" si="189"/>
        <v>1.6695884587746164E-4</v>
      </c>
      <c r="BB350" s="3">
        <f t="shared" ca="1" si="195"/>
        <v>0.16513342238441459</v>
      </c>
      <c r="BC350" s="3">
        <f t="shared" ca="1" si="196"/>
        <v>0.70923990215996047</v>
      </c>
      <c r="BD350" s="3">
        <f t="shared" ca="1" si="190"/>
        <v>5.2931395894665702E-2</v>
      </c>
      <c r="BE350" s="3">
        <f t="shared" ca="1" si="197"/>
        <v>0.70923990215996047</v>
      </c>
      <c r="BF350" s="3">
        <f t="shared" ca="1" si="198"/>
        <v>0.70923990215996047</v>
      </c>
    </row>
    <row r="351" spans="1:58" ht="15" x14ac:dyDescent="0.25">
      <c r="A351" s="72">
        <v>285</v>
      </c>
      <c r="B351" s="72">
        <v>1498730269.6359999</v>
      </c>
      <c r="C351" s="73">
        <v>2.4284156539331099E-4</v>
      </c>
      <c r="D351" s="73">
        <v>-8.3383578513957995E-5</v>
      </c>
      <c r="E351" s="73">
        <v>1.3122727469303701E-2</v>
      </c>
      <c r="F351" s="73">
        <v>3.7974093476547601E-4</v>
      </c>
      <c r="G351" s="73">
        <v>0.242426141393738</v>
      </c>
      <c r="H351" s="73">
        <v>-8.1160424228515004E-5</v>
      </c>
      <c r="I351" s="73">
        <v>0.17524878696711399</v>
      </c>
      <c r="J351" s="73">
        <v>2.1043847118388799</v>
      </c>
      <c r="K351" s="73"/>
      <c r="L351" s="73"/>
      <c r="M351" s="73"/>
      <c r="O351" s="13">
        <f t="shared" ca="1" si="160"/>
        <v>-2.1845663878250596E-5</v>
      </c>
      <c r="P351" s="13">
        <f t="shared" ca="1" si="161"/>
        <v>-9.4671053898798174E-5</v>
      </c>
      <c r="Q351" s="13">
        <f t="shared" ca="1" si="162"/>
        <v>1.2281987851331016E-2</v>
      </c>
      <c r="R351" s="13">
        <f t="shared" ca="1" si="163"/>
        <v>3.6996465587479487E-4</v>
      </c>
      <c r="S351" s="13">
        <f t="shared" ca="1" si="164"/>
        <v>0.24129106276049664</v>
      </c>
      <c r="T351" s="13">
        <f t="shared" ca="1" si="165"/>
        <v>-8.1510245739539093E-5</v>
      </c>
      <c r="U351" s="13">
        <f t="shared" ca="1" si="166"/>
        <v>0.17459494297232547</v>
      </c>
      <c r="V351" s="13">
        <f t="shared" ca="1" si="167"/>
        <v>2.0972459309164257</v>
      </c>
      <c r="X351" s="3">
        <f t="shared" ca="1" si="168"/>
        <v>-2.1845663878250596E-5</v>
      </c>
      <c r="Y351" s="3">
        <f t="shared" ca="1" si="169"/>
        <v>-9.4671053898798174E-5</v>
      </c>
      <c r="Z351" s="3">
        <f t="shared" ca="1" si="170"/>
        <v>1.2281987851331016E-2</v>
      </c>
      <c r="AA351" s="3">
        <f t="shared" ca="1" si="171"/>
        <v>3.6996465587479487E-4</v>
      </c>
      <c r="AB351" s="3">
        <f t="shared" ca="1" si="172"/>
        <v>0.24129106276049664</v>
      </c>
      <c r="AC351" s="3">
        <f t="shared" ca="1" si="173"/>
        <v>-8.1510245739539093E-5</v>
      </c>
      <c r="AD351" s="3">
        <f t="shared" ca="1" si="174"/>
        <v>0.17459494297232547</v>
      </c>
      <c r="AE351" s="3">
        <f t="shared" ca="1" si="175"/>
        <v>2.0972459309164257</v>
      </c>
      <c r="AG351" s="3">
        <f t="shared" ca="1" si="176"/>
        <v>-2.1845663878250596E-5</v>
      </c>
      <c r="AH351" s="3">
        <f t="shared" ca="1" si="177"/>
        <v>-9.4671053898798174E-5</v>
      </c>
      <c r="AI351" s="3">
        <f t="shared" ca="1" si="178"/>
        <v>1.2281987851331016E-2</v>
      </c>
      <c r="AJ351" s="3">
        <f t="shared" ca="1" si="179"/>
        <v>3.6996465587479487E-4</v>
      </c>
      <c r="AK351" s="3">
        <f t="shared" ca="1" si="180"/>
        <v>0.24129106276049664</v>
      </c>
      <c r="AL351" s="3">
        <f t="shared" ca="1" si="181"/>
        <v>-8.1510245739539093E-5</v>
      </c>
      <c r="AM351" s="3">
        <f t="shared" ca="1" si="182"/>
        <v>0.17459494297232547</v>
      </c>
      <c r="AN351" s="3">
        <f t="shared" ca="1" si="183"/>
        <v>2.0972459309164257</v>
      </c>
      <c r="AP351" s="3">
        <f t="shared" ca="1" si="184"/>
        <v>8.6917679706941051</v>
      </c>
      <c r="AQ351" s="3">
        <f t="shared" ca="1" si="191"/>
        <v>0.40042278125849218</v>
      </c>
      <c r="AR351" s="3">
        <f t="shared" ca="1" si="185"/>
        <v>1.4814227647272631E-4</v>
      </c>
      <c r="AS351" s="3">
        <f t="shared" ca="1" si="186"/>
        <v>0.17444680069585275</v>
      </c>
      <c r="AT351" s="3">
        <f t="shared" ca="1" si="187"/>
        <v>0.70959025172984047</v>
      </c>
      <c r="AU351" s="3">
        <f t="shared" ca="1" si="188"/>
        <v>5.2870634254058815E-2</v>
      </c>
      <c r="AV351" s="10" t="str">
        <f t="shared" ca="1" si="192"/>
        <v>rejected</v>
      </c>
      <c r="AW351" s="10" t="e">
        <f t="shared" ca="1" si="193"/>
        <v>#N/A</v>
      </c>
      <c r="AY351" s="3">
        <f t="shared" ca="1" si="199"/>
        <v>8.6917679706941051</v>
      </c>
      <c r="AZ351" s="3">
        <f t="shared" ca="1" si="194"/>
        <v>0.40042278125849218</v>
      </c>
      <c r="BA351" s="3">
        <f t="shared" ca="1" si="189"/>
        <v>1.4814227647272631E-4</v>
      </c>
      <c r="BB351" s="3">
        <f t="shared" ca="1" si="195"/>
        <v>0.17444680069585275</v>
      </c>
      <c r="BC351" s="3">
        <f t="shared" ca="1" si="196"/>
        <v>0.70959025172984047</v>
      </c>
      <c r="BD351" s="3">
        <f t="shared" ca="1" si="190"/>
        <v>5.2870634254058815E-2</v>
      </c>
      <c r="BE351" s="3" t="str">
        <f t="shared" ca="1" si="197"/>
        <v>rejected</v>
      </c>
      <c r="BF351" s="3" t="e">
        <f t="shared" ca="1" si="198"/>
        <v>#N/A</v>
      </c>
    </row>
    <row r="352" spans="1:58" ht="15" x14ac:dyDescent="0.25">
      <c r="A352" s="72">
        <v>286</v>
      </c>
      <c r="B352" s="72">
        <v>1498730270.1619999</v>
      </c>
      <c r="C352" s="73">
        <v>2.8590177551221502E-4</v>
      </c>
      <c r="D352" s="73">
        <v>2.8335496812268602E-6</v>
      </c>
      <c r="E352" s="73">
        <v>1.40401926161643E-2</v>
      </c>
      <c r="F352" s="73">
        <v>4.3829697413083201E-4</v>
      </c>
      <c r="G352" s="73">
        <v>0.26197210437312402</v>
      </c>
      <c r="H352" s="73">
        <v>-3.1748873624547902E-5</v>
      </c>
      <c r="I352" s="73">
        <v>0.18906768879364</v>
      </c>
      <c r="J352" s="73">
        <v>2.2714426260084202</v>
      </c>
      <c r="K352" s="73"/>
      <c r="L352" s="73"/>
      <c r="M352" s="73"/>
      <c r="O352" s="13">
        <f t="shared" ca="1" si="160"/>
        <v>2.1214546240653435E-5</v>
      </c>
      <c r="P352" s="13">
        <f t="shared" ca="1" si="161"/>
        <v>-8.4539257036133139E-6</v>
      </c>
      <c r="Q352" s="13">
        <f t="shared" ca="1" si="162"/>
        <v>1.3199452998191615E-2</v>
      </c>
      <c r="R352" s="13">
        <f t="shared" ca="1" si="163"/>
        <v>4.2852069524015087E-4</v>
      </c>
      <c r="S352" s="13">
        <f t="shared" ca="1" si="164"/>
        <v>0.26083702573988266</v>
      </c>
      <c r="T352" s="13">
        <f t="shared" ca="1" si="165"/>
        <v>-3.2098695135571992E-5</v>
      </c>
      <c r="U352" s="13">
        <f t="shared" ca="1" si="166"/>
        <v>0.18841384479885148</v>
      </c>
      <c r="V352" s="13">
        <f t="shared" ca="1" si="167"/>
        <v>2.264303845085966</v>
      </c>
      <c r="X352" s="3">
        <f t="shared" ca="1" si="168"/>
        <v>2.1214546240653435E-5</v>
      </c>
      <c r="Y352" s="3">
        <f t="shared" ca="1" si="169"/>
        <v>-8.4539257036133139E-6</v>
      </c>
      <c r="Z352" s="3">
        <f t="shared" ca="1" si="170"/>
        <v>1.3199452998191615E-2</v>
      </c>
      <c r="AA352" s="3">
        <f t="shared" ca="1" si="171"/>
        <v>4.2852069524015087E-4</v>
      </c>
      <c r="AB352" s="3">
        <f t="shared" ca="1" si="172"/>
        <v>0.26083702573988266</v>
      </c>
      <c r="AC352" s="3">
        <f t="shared" ca="1" si="173"/>
        <v>-3.2098695135571992E-5</v>
      </c>
      <c r="AD352" s="3">
        <f t="shared" ca="1" si="174"/>
        <v>0.18841384479885148</v>
      </c>
      <c r="AE352" s="3">
        <f t="shared" ca="1" si="175"/>
        <v>2.264303845085966</v>
      </c>
      <c r="AG352" s="3">
        <f t="shared" ca="1" si="176"/>
        <v>2.1214546240653435E-5</v>
      </c>
      <c r="AH352" s="3">
        <f t="shared" ca="1" si="177"/>
        <v>-8.4539257036133139E-6</v>
      </c>
      <c r="AI352" s="3">
        <f t="shared" ca="1" si="178"/>
        <v>1.3199452998191615E-2</v>
      </c>
      <c r="AJ352" s="3">
        <f t="shared" ca="1" si="179"/>
        <v>4.2852069524015087E-4</v>
      </c>
      <c r="AK352" s="3">
        <f t="shared" ca="1" si="180"/>
        <v>0.26083702573988266</v>
      </c>
      <c r="AL352" s="3">
        <f t="shared" ca="1" si="181"/>
        <v>-3.2098695135571992E-5</v>
      </c>
      <c r="AM352" s="3">
        <f t="shared" ca="1" si="182"/>
        <v>0.18841384479885148</v>
      </c>
      <c r="AN352" s="3">
        <f t="shared" ca="1" si="183"/>
        <v>2.264303845085966</v>
      </c>
      <c r="AP352" s="3">
        <f t="shared" ca="1" si="184"/>
        <v>8.6809142170790672</v>
      </c>
      <c r="AQ352" s="3">
        <f t="shared" ca="1" si="191"/>
        <v>0.39991669668513624</v>
      </c>
      <c r="AR352" s="3">
        <f t="shared" ca="1" si="185"/>
        <v>1.7137258090165912E-4</v>
      </c>
      <c r="AS352" s="3">
        <f t="shared" ca="1" si="186"/>
        <v>0.18824247221794982</v>
      </c>
      <c r="AT352" s="3">
        <f t="shared" ca="1" si="187"/>
        <v>0.70877358883204178</v>
      </c>
      <c r="AU352" s="3">
        <f t="shared" ca="1" si="188"/>
        <v>5.2495069013228368E-2</v>
      </c>
      <c r="AV352" s="10">
        <f t="shared" ca="1" si="192"/>
        <v>0.70877358883204178</v>
      </c>
      <c r="AW352" s="10">
        <f t="shared" ca="1" si="193"/>
        <v>0.70877358883204178</v>
      </c>
      <c r="AY352" s="3">
        <f t="shared" ca="1" si="199"/>
        <v>8.6809142170790672</v>
      </c>
      <c r="AZ352" s="3">
        <f t="shared" ca="1" si="194"/>
        <v>0.39991669668513624</v>
      </c>
      <c r="BA352" s="3">
        <f t="shared" ca="1" si="189"/>
        <v>1.7137258090165912E-4</v>
      </c>
      <c r="BB352" s="3">
        <f t="shared" ca="1" si="195"/>
        <v>0.18824247221794982</v>
      </c>
      <c r="BC352" s="3">
        <f t="shared" ca="1" si="196"/>
        <v>0.70877358883204178</v>
      </c>
      <c r="BD352" s="3">
        <f t="shared" ca="1" si="190"/>
        <v>5.2495069013228368E-2</v>
      </c>
      <c r="BE352" s="3">
        <f t="shared" ca="1" si="197"/>
        <v>0.70877358883204178</v>
      </c>
      <c r="BF352" s="3">
        <f t="shared" ca="1" si="198"/>
        <v>0.70877358883204178</v>
      </c>
    </row>
    <row r="353" spans="1:58" ht="15" x14ac:dyDescent="0.25">
      <c r="A353" s="72">
        <v>287</v>
      </c>
      <c r="B353" s="72">
        <v>1498730270.6889999</v>
      </c>
      <c r="C353" s="73">
        <v>3.8344834529065099E-4</v>
      </c>
      <c r="D353" s="73">
        <v>2.4093719088649999E-5</v>
      </c>
      <c r="E353" s="73">
        <v>1.40812025938509E-2</v>
      </c>
      <c r="F353" s="73">
        <v>4.3091777200044898E-4</v>
      </c>
      <c r="G353" s="73">
        <v>0.25924929318283202</v>
      </c>
      <c r="H353" s="73">
        <v>-1.5288628748940201E-5</v>
      </c>
      <c r="I353" s="73">
        <v>0.187254451241431</v>
      </c>
      <c r="J353" s="73">
        <v>2.2515966651278401</v>
      </c>
      <c r="K353" s="73"/>
      <c r="L353" s="73"/>
      <c r="M353" s="73"/>
      <c r="O353" s="13">
        <f t="shared" ca="1" si="160"/>
        <v>1.1876111601908941E-4</v>
      </c>
      <c r="P353" s="13">
        <f t="shared" ca="1" si="161"/>
        <v>1.2806243703809825E-5</v>
      </c>
      <c r="Q353" s="13">
        <f t="shared" ca="1" si="162"/>
        <v>1.3240462975878215E-2</v>
      </c>
      <c r="R353" s="13">
        <f t="shared" ca="1" si="163"/>
        <v>4.2114149310976785E-4</v>
      </c>
      <c r="S353" s="13">
        <f t="shared" ca="1" si="164"/>
        <v>0.25811421454959066</v>
      </c>
      <c r="T353" s="13">
        <f t="shared" ca="1" si="165"/>
        <v>-1.5638450259964287E-5</v>
      </c>
      <c r="U353" s="13">
        <f t="shared" ca="1" si="166"/>
        <v>0.18660060724664249</v>
      </c>
      <c r="V353" s="13">
        <f t="shared" ca="1" si="167"/>
        <v>2.2444578842053859</v>
      </c>
      <c r="X353" s="3">
        <f t="shared" ca="1" si="168"/>
        <v>1.1876111601908941E-4</v>
      </c>
      <c r="Y353" s="3">
        <f t="shared" ca="1" si="169"/>
        <v>1.2806243703809825E-5</v>
      </c>
      <c r="Z353" s="3">
        <f t="shared" ca="1" si="170"/>
        <v>1.3240462975878215E-2</v>
      </c>
      <c r="AA353" s="3">
        <f t="shared" ca="1" si="171"/>
        <v>4.2114149310976785E-4</v>
      </c>
      <c r="AB353" s="3">
        <f t="shared" ca="1" si="172"/>
        <v>0.25811421454959066</v>
      </c>
      <c r="AC353" s="3">
        <f t="shared" ca="1" si="173"/>
        <v>-1.5638450259964287E-5</v>
      </c>
      <c r="AD353" s="3">
        <f t="shared" ca="1" si="174"/>
        <v>0.18660060724664249</v>
      </c>
      <c r="AE353" s="3">
        <f t="shared" ca="1" si="175"/>
        <v>2.2444578842053859</v>
      </c>
      <c r="AG353" s="3">
        <f t="shared" ca="1" si="176"/>
        <v>1.1876111601908941E-4</v>
      </c>
      <c r="AH353" s="3">
        <f t="shared" ca="1" si="177"/>
        <v>1.2806243703809825E-5</v>
      </c>
      <c r="AI353" s="3">
        <f t="shared" ca="1" si="178"/>
        <v>1.3230147614502389E-2</v>
      </c>
      <c r="AJ353" s="3">
        <f t="shared" ca="1" si="179"/>
        <v>4.154453228212551E-4</v>
      </c>
      <c r="AK353" s="3">
        <f t="shared" ca="1" si="180"/>
        <v>0.25811421454959066</v>
      </c>
      <c r="AL353" s="3">
        <f t="shared" ca="1" si="181"/>
        <v>-1.5638450259964287E-5</v>
      </c>
      <c r="AM353" s="3">
        <f t="shared" ca="1" si="182"/>
        <v>0.18660060724664249</v>
      </c>
      <c r="AN353" s="3">
        <f t="shared" ca="1" si="183"/>
        <v>2.2444578842053859</v>
      </c>
      <c r="AP353" s="3">
        <f t="shared" ca="1" si="184"/>
        <v>8.6955996907104289</v>
      </c>
      <c r="AQ353" s="3">
        <f t="shared" ca="1" si="191"/>
        <v>0.40060144703010164</v>
      </c>
      <c r="AR353" s="3">
        <f t="shared" ca="1" si="185"/>
        <v>1.6870989154419059E-4</v>
      </c>
      <c r="AS353" s="3">
        <f t="shared" ca="1" si="186"/>
        <v>0.1864318973550983</v>
      </c>
      <c r="AT353" s="3">
        <f t="shared" ca="1" si="187"/>
        <v>0.70875766755738756</v>
      </c>
      <c r="AU353" s="3">
        <f t="shared" ca="1" si="188"/>
        <v>5.3305768267865677E-2</v>
      </c>
      <c r="AV353" s="10">
        <f t="shared" ca="1" si="192"/>
        <v>0.70875766755738756</v>
      </c>
      <c r="AW353" s="10">
        <f t="shared" ca="1" si="193"/>
        <v>0.70875766755738756</v>
      </c>
      <c r="AY353" s="3">
        <f t="shared" ca="1" si="199"/>
        <v>8.6955996907104289</v>
      </c>
      <c r="AZ353" s="3">
        <f t="shared" ca="1" si="194"/>
        <v>0.40060144703010164</v>
      </c>
      <c r="BA353" s="3">
        <f t="shared" ca="1" si="189"/>
        <v>1.664279974840825E-4</v>
      </c>
      <c r="BB353" s="3">
        <f t="shared" ca="1" si="195"/>
        <v>0.18643417924915839</v>
      </c>
      <c r="BC353" s="3">
        <f t="shared" ca="1" si="196"/>
        <v>0.70876634262820215</v>
      </c>
      <c r="BD353" s="3">
        <f t="shared" ca="1" si="190"/>
        <v>5.3264238884482271E-2</v>
      </c>
      <c r="BE353" s="3">
        <f t="shared" ca="1" si="197"/>
        <v>0.70876634262820215</v>
      </c>
      <c r="BF353" s="3">
        <f t="shared" ca="1" si="198"/>
        <v>0.70876634262820215</v>
      </c>
    </row>
    <row r="354" spans="1:58" ht="15" x14ac:dyDescent="0.25">
      <c r="A354" s="72">
        <v>288</v>
      </c>
      <c r="B354" s="72">
        <v>1498730271.2160001</v>
      </c>
      <c r="C354" s="73">
        <v>2.8899456925852898E-4</v>
      </c>
      <c r="D354" s="73">
        <v>2.3511577347360301E-7</v>
      </c>
      <c r="E354" s="73">
        <v>1.41977282460408E-2</v>
      </c>
      <c r="F354" s="73">
        <v>4.6019686271229202E-4</v>
      </c>
      <c r="G354" s="73">
        <v>0.26125114290176099</v>
      </c>
      <c r="H354" s="73">
        <v>2.3554420332809001E-6</v>
      </c>
      <c r="I354" s="73">
        <v>0.18871494388173099</v>
      </c>
      <c r="J354" s="73">
        <v>2.2669698989892901</v>
      </c>
      <c r="K354" s="73"/>
      <c r="L354" s="73"/>
      <c r="M354" s="73"/>
      <c r="O354" s="13">
        <f t="shared" ca="1" si="160"/>
        <v>2.4307339986967395E-5</v>
      </c>
      <c r="P354" s="13">
        <f t="shared" ca="1" si="161"/>
        <v>-1.1052359611366571E-5</v>
      </c>
      <c r="Q354" s="13">
        <f t="shared" ca="1" si="162"/>
        <v>1.3356988628068115E-2</v>
      </c>
      <c r="R354" s="13">
        <f t="shared" ca="1" si="163"/>
        <v>4.5042058382161089E-4</v>
      </c>
      <c r="S354" s="13">
        <f t="shared" ca="1" si="164"/>
        <v>0.26011606426851963</v>
      </c>
      <c r="T354" s="13">
        <f t="shared" ca="1" si="165"/>
        <v>2.0056205222568136E-6</v>
      </c>
      <c r="U354" s="13">
        <f t="shared" ca="1" si="166"/>
        <v>0.18806109988694247</v>
      </c>
      <c r="V354" s="13">
        <f t="shared" ca="1" si="167"/>
        <v>2.259831118066836</v>
      </c>
      <c r="X354" s="3">
        <f t="shared" ca="1" si="168"/>
        <v>2.4307339986967395E-5</v>
      </c>
      <c r="Y354" s="3">
        <f t="shared" ca="1" si="169"/>
        <v>-1.1052359611366571E-5</v>
      </c>
      <c r="Z354" s="3">
        <f t="shared" ca="1" si="170"/>
        <v>1.3356973283570299E-2</v>
      </c>
      <c r="AA354" s="3">
        <f t="shared" ca="1" si="171"/>
        <v>4.5004917722672982E-4</v>
      </c>
      <c r="AB354" s="3">
        <f t="shared" ca="1" si="172"/>
        <v>0.26011336328816531</v>
      </c>
      <c r="AC354" s="3">
        <f t="shared" ca="1" si="173"/>
        <v>2.0056205222568136E-6</v>
      </c>
      <c r="AD354" s="3">
        <f t="shared" ca="1" si="174"/>
        <v>0.18805711118935661</v>
      </c>
      <c r="AE354" s="3">
        <f t="shared" ca="1" si="175"/>
        <v>2.2598294995461452</v>
      </c>
      <c r="AG354" s="3">
        <f t="shared" ca="1" si="176"/>
        <v>2.4307339986967395E-5</v>
      </c>
      <c r="AH354" s="3">
        <f t="shared" ca="1" si="177"/>
        <v>-1.1052359611366571E-5</v>
      </c>
      <c r="AI354" s="3">
        <f t="shared" ca="1" si="178"/>
        <v>1.3356973283570299E-2</v>
      </c>
      <c r="AJ354" s="3">
        <f t="shared" ca="1" si="179"/>
        <v>4.5004917722672982E-4</v>
      </c>
      <c r="AK354" s="3">
        <f t="shared" ca="1" si="180"/>
        <v>0.26011336328816531</v>
      </c>
      <c r="AL354" s="3">
        <f t="shared" ca="1" si="181"/>
        <v>2.0056205222568136E-6</v>
      </c>
      <c r="AM354" s="3">
        <f t="shared" ca="1" si="182"/>
        <v>0.18805711118935661</v>
      </c>
      <c r="AN354" s="3">
        <f t="shared" ca="1" si="183"/>
        <v>2.2598294995461452</v>
      </c>
      <c r="AP354" s="3">
        <f t="shared" ca="1" si="184"/>
        <v>8.6877799124855155</v>
      </c>
      <c r="AQ354" s="3">
        <f t="shared" ca="1" si="191"/>
        <v>0.40023682675073646</v>
      </c>
      <c r="AR354" s="3">
        <f t="shared" ca="1" si="185"/>
        <v>1.8027490517197564E-4</v>
      </c>
      <c r="AS354" s="3">
        <f t="shared" ca="1" si="186"/>
        <v>0.1878808249817705</v>
      </c>
      <c r="AT354" s="3">
        <f t="shared" ca="1" si="187"/>
        <v>0.70909026848594925</v>
      </c>
      <c r="AU354" s="3">
        <f t="shared" ca="1" si="188"/>
        <v>5.3311944990031591E-2</v>
      </c>
      <c r="AV354" s="10">
        <f t="shared" ca="1" si="192"/>
        <v>0.70909026848594925</v>
      </c>
      <c r="AW354" s="10">
        <f t="shared" ca="1" si="193"/>
        <v>0.70909026848594925</v>
      </c>
      <c r="AY354" s="3">
        <f t="shared" ca="1" si="199"/>
        <v>8.6878639027961206</v>
      </c>
      <c r="AZ354" s="3">
        <f t="shared" ca="1" si="194"/>
        <v>0.40024074302614959</v>
      </c>
      <c r="BA354" s="3">
        <f t="shared" ca="1" si="189"/>
        <v>1.8012801709153361E-4</v>
      </c>
      <c r="BB354" s="3">
        <f t="shared" ca="1" si="195"/>
        <v>0.18787698317226509</v>
      </c>
      <c r="BC354" s="3">
        <f t="shared" ca="1" si="196"/>
        <v>0.70907967967905605</v>
      </c>
      <c r="BD354" s="3">
        <f t="shared" ca="1" si="190"/>
        <v>5.3312964717184254E-2</v>
      </c>
      <c r="BE354" s="3">
        <f t="shared" ca="1" si="197"/>
        <v>0.70907967967905605</v>
      </c>
      <c r="BF354" s="3">
        <f t="shared" ca="1" si="198"/>
        <v>0.70907967967905605</v>
      </c>
    </row>
    <row r="355" spans="1:58" ht="15" x14ac:dyDescent="0.25">
      <c r="A355" s="72">
        <v>289</v>
      </c>
      <c r="B355" s="72">
        <v>1498730271.743</v>
      </c>
      <c r="C355" s="73">
        <v>3.5870392317650501E-4</v>
      </c>
      <c r="D355" s="73">
        <v>5.1957682297995899E-6</v>
      </c>
      <c r="E355" s="73">
        <v>1.3697221289199899E-2</v>
      </c>
      <c r="F355" s="73">
        <v>4.7852648639766401E-4</v>
      </c>
      <c r="G355" s="73">
        <v>0.25283935692486798</v>
      </c>
      <c r="H355" s="73">
        <v>1.7970818860375902E-5</v>
      </c>
      <c r="I355" s="73">
        <v>0.18270571201126801</v>
      </c>
      <c r="J355" s="73">
        <v>2.1966309128105999</v>
      </c>
      <c r="K355" s="73"/>
      <c r="L355" s="73"/>
      <c r="M355" s="73"/>
      <c r="O355" s="13">
        <f t="shared" ca="1" si="160"/>
        <v>9.4016693904943422E-5</v>
      </c>
      <c r="P355" s="13">
        <f t="shared" ca="1" si="161"/>
        <v>-6.0917071550405833E-6</v>
      </c>
      <c r="Q355" s="13">
        <f t="shared" ca="1" si="162"/>
        <v>1.2856481671227214E-2</v>
      </c>
      <c r="R355" s="13">
        <f t="shared" ca="1" si="163"/>
        <v>4.6875020750698288E-4</v>
      </c>
      <c r="S355" s="13">
        <f t="shared" ca="1" si="164"/>
        <v>0.25170427829162662</v>
      </c>
      <c r="T355" s="13">
        <f t="shared" ca="1" si="165"/>
        <v>1.7620997349351815E-5</v>
      </c>
      <c r="U355" s="13">
        <f t="shared" ca="1" si="166"/>
        <v>0.18205186801647949</v>
      </c>
      <c r="V355" s="13">
        <f t="shared" ca="1" si="167"/>
        <v>2.1894921318881457</v>
      </c>
      <c r="X355" s="3">
        <f t="shared" ca="1" si="168"/>
        <v>9.4016693904943422E-5</v>
      </c>
      <c r="Y355" s="3">
        <f t="shared" ca="1" si="169"/>
        <v>-6.0917071550405833E-6</v>
      </c>
      <c r="Z355" s="3">
        <f t="shared" ca="1" si="170"/>
        <v>1.2856346857411561E-2</v>
      </c>
      <c r="AA355" s="3">
        <f t="shared" ca="1" si="171"/>
        <v>4.6548710037813939E-4</v>
      </c>
      <c r="AB355" s="3">
        <f t="shared" ca="1" si="172"/>
        <v>0.25168054799612155</v>
      </c>
      <c r="AC355" s="3">
        <f t="shared" ca="1" si="173"/>
        <v>1.7620997349351815E-5</v>
      </c>
      <c r="AD355" s="3">
        <f t="shared" ca="1" si="174"/>
        <v>0.18201682408428593</v>
      </c>
      <c r="AE355" s="3">
        <f t="shared" ca="1" si="175"/>
        <v>2.1894779118756911</v>
      </c>
      <c r="AG355" s="3">
        <f t="shared" ca="1" si="176"/>
        <v>9.4016693904943422E-5</v>
      </c>
      <c r="AH355" s="3">
        <f t="shared" ca="1" si="177"/>
        <v>-6.0917071550405833E-6</v>
      </c>
      <c r="AI355" s="3">
        <f t="shared" ca="1" si="178"/>
        <v>1.2856346857411561E-2</v>
      </c>
      <c r="AJ355" s="3">
        <f t="shared" ca="1" si="179"/>
        <v>4.6548710037813939E-4</v>
      </c>
      <c r="AK355" s="3">
        <f t="shared" ca="1" si="180"/>
        <v>0.25168054799612155</v>
      </c>
      <c r="AL355" s="3">
        <f t="shared" ca="1" si="181"/>
        <v>1.7620997349351815E-5</v>
      </c>
      <c r="AM355" s="3">
        <f t="shared" ca="1" si="182"/>
        <v>0.18201682408428593</v>
      </c>
      <c r="AN355" s="3">
        <f t="shared" ca="1" si="183"/>
        <v>2.1894779118756911</v>
      </c>
      <c r="AP355" s="3">
        <f t="shared" ca="1" si="184"/>
        <v>8.6986687185006151</v>
      </c>
      <c r="AQ355" s="3">
        <f t="shared" ca="1" si="191"/>
        <v>0.40074455061149361</v>
      </c>
      <c r="AR355" s="3">
        <f t="shared" ca="1" si="185"/>
        <v>1.8784909125643022E-4</v>
      </c>
      <c r="AS355" s="3">
        <f t="shared" ca="1" si="186"/>
        <v>0.18186401892522305</v>
      </c>
      <c r="AT355" s="3">
        <f t="shared" ca="1" si="187"/>
        <v>0.70887307737977978</v>
      </c>
      <c r="AU355" s="3">
        <f t="shared" ca="1" si="188"/>
        <v>5.3097162322605716E-2</v>
      </c>
      <c r="AV355" s="10">
        <f t="shared" ca="1" si="192"/>
        <v>0.70887307737977978</v>
      </c>
      <c r="AW355" s="10">
        <f t="shared" ca="1" si="193"/>
        <v>0.70887307737977978</v>
      </c>
      <c r="AY355" s="3">
        <f t="shared" ca="1" si="199"/>
        <v>8.6994323928022883</v>
      </c>
      <c r="AZ355" s="3">
        <f t="shared" ca="1" si="194"/>
        <v>0.40078015954927265</v>
      </c>
      <c r="BA355" s="3">
        <f t="shared" ca="1" si="189"/>
        <v>1.86557994357679E-4</v>
      </c>
      <c r="BB355" s="3">
        <f t="shared" ca="1" si="195"/>
        <v>0.18183026608992825</v>
      </c>
      <c r="BC355" s="3">
        <f t="shared" ca="1" si="196"/>
        <v>0.70877700488033868</v>
      </c>
      <c r="BD355" s="3">
        <f t="shared" ca="1" si="190"/>
        <v>5.3106382179372684E-2</v>
      </c>
      <c r="BE355" s="3">
        <f t="shared" ca="1" si="197"/>
        <v>0.70877700488033868</v>
      </c>
      <c r="BF355" s="3">
        <f t="shared" ca="1" si="198"/>
        <v>0.70877700488033868</v>
      </c>
    </row>
    <row r="356" spans="1:58" ht="15" x14ac:dyDescent="0.25">
      <c r="A356" s="72">
        <v>290</v>
      </c>
      <c r="B356" s="72">
        <v>1498730272.27</v>
      </c>
      <c r="C356" s="73">
        <v>2.1096393197145099E-4</v>
      </c>
      <c r="D356" s="73">
        <v>5.9044348909844097E-6</v>
      </c>
      <c r="E356" s="73">
        <v>1.35416924397684E-2</v>
      </c>
      <c r="F356" s="73">
        <v>4.3924913321524901E-4</v>
      </c>
      <c r="G356" s="73">
        <v>0.25037581440102102</v>
      </c>
      <c r="H356" s="73">
        <v>-1.9672913215475398E-6</v>
      </c>
      <c r="I356" s="73">
        <v>0.180804212671449</v>
      </c>
      <c r="J356" s="73">
        <v>2.17313097970223</v>
      </c>
      <c r="K356" s="73"/>
      <c r="L356" s="73"/>
      <c r="M356" s="73"/>
      <c r="O356" s="13">
        <f t="shared" ca="1" si="160"/>
        <v>-5.3723297300110596E-5</v>
      </c>
      <c r="P356" s="13">
        <f t="shared" ca="1" si="161"/>
        <v>-5.3830404938557635E-6</v>
      </c>
      <c r="Q356" s="13">
        <f t="shared" ca="1" si="162"/>
        <v>1.2700952821795715E-2</v>
      </c>
      <c r="R356" s="13">
        <f t="shared" ca="1" si="163"/>
        <v>4.2947285432456787E-4</v>
      </c>
      <c r="S356" s="13">
        <f t="shared" ca="1" si="164"/>
        <v>0.24924073576777966</v>
      </c>
      <c r="T356" s="13">
        <f t="shared" ca="1" si="165"/>
        <v>-2.3171128325716263E-6</v>
      </c>
      <c r="U356" s="13">
        <f t="shared" ca="1" si="166"/>
        <v>0.18015036867666048</v>
      </c>
      <c r="V356" s="13">
        <f t="shared" ca="1" si="167"/>
        <v>2.1659921987797759</v>
      </c>
      <c r="X356" s="3">
        <f t="shared" ca="1" si="168"/>
        <v>-5.3723297300110596E-5</v>
      </c>
      <c r="Y356" s="3">
        <f t="shared" ca="1" si="169"/>
        <v>-5.3830404938557635E-6</v>
      </c>
      <c r="Z356" s="3">
        <f t="shared" ca="1" si="170"/>
        <v>1.2700952821795715E-2</v>
      </c>
      <c r="AA356" s="3">
        <f t="shared" ca="1" si="171"/>
        <v>4.2947285432456787E-4</v>
      </c>
      <c r="AB356" s="3">
        <f t="shared" ca="1" si="172"/>
        <v>0.24924073576777966</v>
      </c>
      <c r="AC356" s="3">
        <f t="shared" ca="1" si="173"/>
        <v>-2.3171128325716263E-6</v>
      </c>
      <c r="AD356" s="3">
        <f t="shared" ca="1" si="174"/>
        <v>0.18015036867666048</v>
      </c>
      <c r="AE356" s="3">
        <f t="shared" ca="1" si="175"/>
        <v>2.1659921987797759</v>
      </c>
      <c r="AG356" s="3">
        <f t="shared" ca="1" si="176"/>
        <v>-5.3723297300110596E-5</v>
      </c>
      <c r="AH356" s="3">
        <f t="shared" ca="1" si="177"/>
        <v>-5.3830404938557635E-6</v>
      </c>
      <c r="AI356" s="3">
        <f t="shared" ca="1" si="178"/>
        <v>1.2700952821795715E-2</v>
      </c>
      <c r="AJ356" s="3">
        <f t="shared" ca="1" si="179"/>
        <v>4.2947285432456787E-4</v>
      </c>
      <c r="AK356" s="3">
        <f t="shared" ca="1" si="180"/>
        <v>0.24924073576777966</v>
      </c>
      <c r="AL356" s="3">
        <f t="shared" ca="1" si="181"/>
        <v>-2.3171128325716263E-6</v>
      </c>
      <c r="AM356" s="3">
        <f t="shared" ca="1" si="182"/>
        <v>0.18015036867666048</v>
      </c>
      <c r="AN356" s="3">
        <f t="shared" ca="1" si="183"/>
        <v>2.1659921987797759</v>
      </c>
      <c r="AP356" s="3">
        <f t="shared" ca="1" si="184"/>
        <v>8.6903619189996881</v>
      </c>
      <c r="AQ356" s="3">
        <f t="shared" ca="1" si="191"/>
        <v>0.40035721999830937</v>
      </c>
      <c r="AR356" s="3">
        <f t="shared" ca="1" si="185"/>
        <v>1.7194255802212288E-4</v>
      </c>
      <c r="AS356" s="3">
        <f t="shared" ca="1" si="186"/>
        <v>0.17997842611863835</v>
      </c>
      <c r="AT356" s="3">
        <f t="shared" ca="1" si="187"/>
        <v>0.70879831373784741</v>
      </c>
      <c r="AU356" s="3">
        <f t="shared" ca="1" si="188"/>
        <v>5.292154042884184E-2</v>
      </c>
      <c r="AV356" s="10">
        <f t="shared" ca="1" si="192"/>
        <v>0.70879831373784741</v>
      </c>
      <c r="AW356" s="10">
        <f t="shared" ca="1" si="193"/>
        <v>0.70879831373784741</v>
      </c>
      <c r="AY356" s="3">
        <f t="shared" ca="1" si="199"/>
        <v>8.6903619189996881</v>
      </c>
      <c r="AZ356" s="3">
        <f t="shared" ca="1" si="194"/>
        <v>0.40035721999830937</v>
      </c>
      <c r="BA356" s="3">
        <f t="shared" ca="1" si="189"/>
        <v>1.7194255802212288E-4</v>
      </c>
      <c r="BB356" s="3">
        <f t="shared" ca="1" si="195"/>
        <v>0.17997842611863835</v>
      </c>
      <c r="BC356" s="3">
        <f t="shared" ca="1" si="196"/>
        <v>0.70879831373784741</v>
      </c>
      <c r="BD356" s="3">
        <f t="shared" ca="1" si="190"/>
        <v>5.292154042884184E-2</v>
      </c>
      <c r="BE356" s="3">
        <f t="shared" ca="1" si="197"/>
        <v>0.70879831373784741</v>
      </c>
      <c r="BF356" s="3">
        <f t="shared" ca="1" si="198"/>
        <v>0.70879831373784741</v>
      </c>
    </row>
    <row r="357" spans="1:58" ht="15" x14ac:dyDescent="0.25">
      <c r="A357" s="72">
        <v>291</v>
      </c>
      <c r="B357" s="72">
        <v>1498730272.7969999</v>
      </c>
      <c r="C357" s="73">
        <v>1.9407395656154499E-4</v>
      </c>
      <c r="D357" s="73">
        <v>-8.2674975119891397E-5</v>
      </c>
      <c r="E357" s="73">
        <v>1.36345246133535E-2</v>
      </c>
      <c r="F357" s="73">
        <v>4.6067295257919301E-4</v>
      </c>
      <c r="G357" s="73">
        <v>0.25253370166783401</v>
      </c>
      <c r="H357" s="73">
        <v>-6.6677547456872304E-6</v>
      </c>
      <c r="I357" s="73">
        <v>0.18237896345197099</v>
      </c>
      <c r="J357" s="73">
        <v>2.19397904178423</v>
      </c>
      <c r="K357" s="73"/>
      <c r="L357" s="73"/>
      <c r="M357" s="73"/>
      <c r="O357" s="13">
        <f t="shared" ca="1" si="160"/>
        <v>-7.0613272710016593E-5</v>
      </c>
      <c r="P357" s="13">
        <f t="shared" ca="1" si="161"/>
        <v>-9.3962450504731575E-5</v>
      </c>
      <c r="Q357" s="13">
        <f t="shared" ca="1" si="162"/>
        <v>1.2793784995380815E-2</v>
      </c>
      <c r="R357" s="13">
        <f t="shared" ca="1" si="163"/>
        <v>4.5089667368851188E-4</v>
      </c>
      <c r="S357" s="13">
        <f t="shared" ca="1" si="164"/>
        <v>0.25139862303459265</v>
      </c>
      <c r="T357" s="13">
        <f t="shared" ca="1" si="165"/>
        <v>-7.0175762567113169E-6</v>
      </c>
      <c r="U357" s="13">
        <f t="shared" ca="1" si="166"/>
        <v>0.18172511945718248</v>
      </c>
      <c r="V357" s="13">
        <f t="shared" ca="1" si="167"/>
        <v>2.1868402608617759</v>
      </c>
      <c r="X357" s="3">
        <f t="shared" ca="1" si="168"/>
        <v>-7.0613272710016593E-5</v>
      </c>
      <c r="Y357" s="3">
        <f t="shared" ca="1" si="169"/>
        <v>-9.3962450504731575E-5</v>
      </c>
      <c r="Z357" s="3">
        <f t="shared" ca="1" si="170"/>
        <v>1.2793784995380815E-2</v>
      </c>
      <c r="AA357" s="3">
        <f t="shared" ca="1" si="171"/>
        <v>4.5089667368851188E-4</v>
      </c>
      <c r="AB357" s="3">
        <f t="shared" ca="1" si="172"/>
        <v>0.25139862303459265</v>
      </c>
      <c r="AC357" s="3">
        <f t="shared" ca="1" si="173"/>
        <v>-7.0175762567113169E-6</v>
      </c>
      <c r="AD357" s="3">
        <f t="shared" ca="1" si="174"/>
        <v>0.18172511945718248</v>
      </c>
      <c r="AE357" s="3">
        <f t="shared" ca="1" si="175"/>
        <v>2.1868402608617759</v>
      </c>
      <c r="AG357" s="3">
        <f t="shared" ca="1" si="176"/>
        <v>-7.0613272710016593E-5</v>
      </c>
      <c r="AH357" s="3">
        <f t="shared" ca="1" si="177"/>
        <v>-9.3962450504731575E-5</v>
      </c>
      <c r="AI357" s="3">
        <f t="shared" ca="1" si="178"/>
        <v>1.2793784995380815E-2</v>
      </c>
      <c r="AJ357" s="3">
        <f t="shared" ca="1" si="179"/>
        <v>4.5089667368851188E-4</v>
      </c>
      <c r="AK357" s="3">
        <f t="shared" ca="1" si="180"/>
        <v>0.25139862303459265</v>
      </c>
      <c r="AL357" s="3">
        <f t="shared" ca="1" si="181"/>
        <v>-7.0175762567113169E-6</v>
      </c>
      <c r="AM357" s="3">
        <f t="shared" ca="1" si="182"/>
        <v>0.18172511945718248</v>
      </c>
      <c r="AN357" s="3">
        <f t="shared" ca="1" si="183"/>
        <v>2.1868402608617759</v>
      </c>
      <c r="AP357" s="3">
        <f t="shared" ca="1" si="184"/>
        <v>8.6986962556309031</v>
      </c>
      <c r="AQ357" s="3">
        <f t="shared" ca="1" si="191"/>
        <v>0.40074583462413316</v>
      </c>
      <c r="AR357" s="3">
        <f t="shared" ca="1" si="185"/>
        <v>1.806949638265481E-4</v>
      </c>
      <c r="AS357" s="3">
        <f t="shared" ca="1" si="186"/>
        <v>0.18154442449335592</v>
      </c>
      <c r="AT357" s="3">
        <f t="shared" ca="1" si="187"/>
        <v>0.70848657345030519</v>
      </c>
      <c r="AU357" s="3">
        <f t="shared" ca="1" si="188"/>
        <v>5.2902638664561984E-2</v>
      </c>
      <c r="AV357" s="10">
        <f t="shared" ca="1" si="192"/>
        <v>0.70848657345030519</v>
      </c>
      <c r="AW357" s="10">
        <f t="shared" ca="1" si="193"/>
        <v>0.70848657345030519</v>
      </c>
      <c r="AY357" s="3">
        <f t="shared" ca="1" si="199"/>
        <v>8.6986962556309031</v>
      </c>
      <c r="AZ357" s="3">
        <f t="shared" ca="1" si="194"/>
        <v>0.40074583462413316</v>
      </c>
      <c r="BA357" s="3">
        <f t="shared" ca="1" si="189"/>
        <v>1.806949638265481E-4</v>
      </c>
      <c r="BB357" s="3">
        <f t="shared" ca="1" si="195"/>
        <v>0.18154442449335592</v>
      </c>
      <c r="BC357" s="3">
        <f t="shared" ca="1" si="196"/>
        <v>0.70848657345030519</v>
      </c>
      <c r="BD357" s="3">
        <f t="shared" ca="1" si="190"/>
        <v>5.2902638664561984E-2</v>
      </c>
      <c r="BE357" s="3">
        <f t="shared" ca="1" si="197"/>
        <v>0.70848657345030519</v>
      </c>
      <c r="BF357" s="3">
        <f t="shared" ca="1" si="198"/>
        <v>0.70848657345030519</v>
      </c>
    </row>
    <row r="358" spans="1:58" ht="15" x14ac:dyDescent="0.25">
      <c r="A358" s="72">
        <v>292</v>
      </c>
      <c r="B358" s="72">
        <v>1498730273.323</v>
      </c>
      <c r="C358" s="73">
        <v>3.7583461164366602E-4</v>
      </c>
      <c r="D358" s="73">
        <v>2.78733524546623E-5</v>
      </c>
      <c r="E358" s="73">
        <v>1.3465745177885E-2</v>
      </c>
      <c r="F358" s="73">
        <v>4.3853501381685401E-4</v>
      </c>
      <c r="G358" s="73">
        <v>0.24885461431028599</v>
      </c>
      <c r="H358" s="73">
        <v>5.3699353176251301E-5</v>
      </c>
      <c r="I358" s="73">
        <v>0.179783774248643</v>
      </c>
      <c r="J358" s="73">
        <v>2.1629672635908102</v>
      </c>
      <c r="K358" s="73"/>
      <c r="L358" s="73"/>
      <c r="M358" s="73"/>
      <c r="O358" s="13">
        <f t="shared" ca="1" si="160"/>
        <v>1.1114738237210444E-4</v>
      </c>
      <c r="P358" s="13">
        <f t="shared" ca="1" si="161"/>
        <v>1.6585877069822129E-5</v>
      </c>
      <c r="Q358" s="13">
        <f t="shared" ca="1" si="162"/>
        <v>1.2625005559912314E-2</v>
      </c>
      <c r="R358" s="13">
        <f t="shared" ca="1" si="163"/>
        <v>4.2875873492617287E-4</v>
      </c>
      <c r="S358" s="13">
        <f t="shared" ca="1" si="164"/>
        <v>0.24771953567704463</v>
      </c>
      <c r="T358" s="13">
        <f t="shared" ca="1" si="165"/>
        <v>5.3349531665227211E-5</v>
      </c>
      <c r="U358" s="13">
        <f t="shared" ca="1" si="166"/>
        <v>0.17912993025385449</v>
      </c>
      <c r="V358" s="13">
        <f t="shared" ca="1" si="167"/>
        <v>2.155828482668356</v>
      </c>
      <c r="X358" s="3">
        <f t="shared" ca="1" si="168"/>
        <v>1.1114738237210444E-4</v>
      </c>
      <c r="Y358" s="3">
        <f t="shared" ca="1" si="169"/>
        <v>1.6585877069822129E-5</v>
      </c>
      <c r="Z358" s="3">
        <f t="shared" ca="1" si="170"/>
        <v>1.2624597396073207E-2</v>
      </c>
      <c r="AA358" s="3">
        <f t="shared" ca="1" si="171"/>
        <v>4.1887931472958168E-4</v>
      </c>
      <c r="AB358" s="3">
        <f t="shared" ca="1" si="172"/>
        <v>0.24764768956491073</v>
      </c>
      <c r="AC358" s="3">
        <f t="shared" ca="1" si="173"/>
        <v>5.3349531665227211E-5</v>
      </c>
      <c r="AD358" s="3">
        <f t="shared" ca="1" si="174"/>
        <v>0.17902383084681364</v>
      </c>
      <c r="AE358" s="3">
        <f t="shared" ca="1" si="175"/>
        <v>2.1557854299971773</v>
      </c>
      <c r="AG358" s="3">
        <f t="shared" ca="1" si="176"/>
        <v>1.1114738237210444E-4</v>
      </c>
      <c r="AH358" s="3">
        <f t="shared" ca="1" si="177"/>
        <v>1.6585877069822129E-5</v>
      </c>
      <c r="AI358" s="3">
        <f t="shared" ca="1" si="178"/>
        <v>1.2611237560069202E-2</v>
      </c>
      <c r="AJ358" s="3">
        <f t="shared" ca="1" si="179"/>
        <v>4.1150197736515689E-4</v>
      </c>
      <c r="AK358" s="3">
        <f t="shared" ca="1" si="180"/>
        <v>0.24764768956491073</v>
      </c>
      <c r="AL358" s="3">
        <f t="shared" ca="1" si="181"/>
        <v>5.3349531665227211E-5</v>
      </c>
      <c r="AM358" s="3">
        <f t="shared" ca="1" si="182"/>
        <v>0.17902383084681364</v>
      </c>
      <c r="AN358" s="3">
        <f t="shared" ca="1" si="183"/>
        <v>2.1557854299971773</v>
      </c>
      <c r="AP358" s="3">
        <f t="shared" ca="1" si="184"/>
        <v>8.7026987063262506</v>
      </c>
      <c r="AQ358" s="3">
        <f t="shared" ca="1" si="191"/>
        <v>0.40093246306597763</v>
      </c>
      <c r="AR358" s="3">
        <f t="shared" ca="1" si="185"/>
        <v>1.7190329565500311E-4</v>
      </c>
      <c r="AS358" s="3">
        <f t="shared" ca="1" si="186"/>
        <v>0.17895802695819948</v>
      </c>
      <c r="AT358" s="3">
        <f t="shared" ca="1" si="187"/>
        <v>0.70860125986231037</v>
      </c>
      <c r="AU358" s="3">
        <f t="shared" ca="1" si="188"/>
        <v>5.3005010954794207E-2</v>
      </c>
      <c r="AV358" s="10">
        <f t="shared" ca="1" si="192"/>
        <v>0.70860125986231037</v>
      </c>
      <c r="AW358" s="10">
        <f t="shared" ca="1" si="193"/>
        <v>0.70860125986231037</v>
      </c>
      <c r="AY358" s="3">
        <f t="shared" ca="1" si="199"/>
        <v>8.7050496363792078</v>
      </c>
      <c r="AZ358" s="3">
        <f t="shared" ca="1" si="194"/>
        <v>0.40104208399292185</v>
      </c>
      <c r="BA358" s="3">
        <f t="shared" ca="1" si="189"/>
        <v>1.6502961056973067E-4</v>
      </c>
      <c r="BB358" s="3">
        <f t="shared" ca="1" si="195"/>
        <v>0.17885880123624393</v>
      </c>
      <c r="BC358" s="3">
        <f t="shared" ca="1" si="196"/>
        <v>0.70831747467891515</v>
      </c>
      <c r="BD358" s="3">
        <f t="shared" ca="1" si="190"/>
        <v>5.2977207816445375E-2</v>
      </c>
      <c r="BE358" s="3">
        <f t="shared" ca="1" si="197"/>
        <v>0.70831747467891515</v>
      </c>
      <c r="BF358" s="3">
        <f t="shared" ca="1" si="198"/>
        <v>0.70831747467891515</v>
      </c>
    </row>
    <row r="359" spans="1:58" ht="15" x14ac:dyDescent="0.25">
      <c r="A359" s="72">
        <v>293</v>
      </c>
      <c r="B359" s="72">
        <v>1498730273.8499999</v>
      </c>
      <c r="C359" s="73">
        <v>4.16521174545628E-4</v>
      </c>
      <c r="D359" s="73">
        <v>7.0158982337740504E-5</v>
      </c>
      <c r="E359" s="73">
        <v>1.3221547067614E-2</v>
      </c>
      <c r="F359" s="73">
        <v>4.4305777862986199E-4</v>
      </c>
      <c r="G359" s="73">
        <v>0.24278106685200701</v>
      </c>
      <c r="H359" s="73">
        <v>5.7362727848824299E-5</v>
      </c>
      <c r="I359" s="73">
        <v>0.175171232136099</v>
      </c>
      <c r="J359" s="73">
        <v>2.1075602423636002</v>
      </c>
      <c r="K359" s="73"/>
      <c r="L359" s="73"/>
      <c r="M359" s="73"/>
      <c r="O359" s="13">
        <f t="shared" ca="1" si="160"/>
        <v>1.5183394527406641E-4</v>
      </c>
      <c r="P359" s="13">
        <f t="shared" ca="1" si="161"/>
        <v>5.8871506952900333E-5</v>
      </c>
      <c r="Q359" s="13">
        <f t="shared" ca="1" si="162"/>
        <v>1.2380807449641314E-2</v>
      </c>
      <c r="R359" s="13">
        <f t="shared" ca="1" si="163"/>
        <v>4.3328149973918085E-4</v>
      </c>
      <c r="S359" s="13">
        <f t="shared" ca="1" si="164"/>
        <v>0.24164598821876565</v>
      </c>
      <c r="T359" s="13">
        <f t="shared" ca="1" si="165"/>
        <v>5.7012906337800209E-5</v>
      </c>
      <c r="U359" s="13">
        <f t="shared" ca="1" si="166"/>
        <v>0.17451738814131049</v>
      </c>
      <c r="V359" s="13">
        <f t="shared" ca="1" si="167"/>
        <v>2.1004214614411461</v>
      </c>
      <c r="X359" s="3">
        <f t="shared" ca="1" si="168"/>
        <v>1.5183394527406641E-4</v>
      </c>
      <c r="Y359" s="3">
        <f t="shared" ca="1" si="169"/>
        <v>5.8871506952900333E-5</v>
      </c>
      <c r="Z359" s="3">
        <f t="shared" ca="1" si="170"/>
        <v>1.238037125824463E-2</v>
      </c>
      <c r="AA359" s="3">
        <f t="shared" ca="1" si="171"/>
        <v>4.2272368525123944E-4</v>
      </c>
      <c r="AB359" s="3">
        <f t="shared" ca="1" si="172"/>
        <v>0.24156920861950829</v>
      </c>
      <c r="AC359" s="3">
        <f t="shared" ca="1" si="173"/>
        <v>5.7012906337800209E-5</v>
      </c>
      <c r="AD359" s="3">
        <f t="shared" ca="1" si="174"/>
        <v>0.17440400316177448</v>
      </c>
      <c r="AE359" s="3">
        <f t="shared" ca="1" si="175"/>
        <v>2.1003754524541338</v>
      </c>
      <c r="AG359" s="3">
        <f t="shared" ca="1" si="176"/>
        <v>1.5183394527406641E-4</v>
      </c>
      <c r="AH359" s="3">
        <f t="shared" ca="1" si="177"/>
        <v>5.8871506952900333E-5</v>
      </c>
      <c r="AI359" s="3">
        <f t="shared" ca="1" si="178"/>
        <v>1.2332950571663609E-2</v>
      </c>
      <c r="AJ359" s="3">
        <f t="shared" ca="1" si="179"/>
        <v>3.9653785461260185E-4</v>
      </c>
      <c r="AK359" s="3">
        <f t="shared" ca="1" si="180"/>
        <v>0.24156920861950829</v>
      </c>
      <c r="AL359" s="3">
        <f t="shared" ca="1" si="181"/>
        <v>5.7012906337800209E-5</v>
      </c>
      <c r="AM359" s="3">
        <f t="shared" ca="1" si="182"/>
        <v>0.17440400316177448</v>
      </c>
      <c r="AN359" s="3">
        <f t="shared" ca="1" si="183"/>
        <v>2.1003754524541338</v>
      </c>
      <c r="AP359" s="3">
        <f t="shared" ca="1" si="184"/>
        <v>8.6921429026150587</v>
      </c>
      <c r="AQ359" s="3">
        <f t="shared" ca="1" si="191"/>
        <v>0.40044026357430196</v>
      </c>
      <c r="AR359" s="3">
        <f t="shared" ca="1" si="185"/>
        <v>1.7350335795742643E-4</v>
      </c>
      <c r="AS359" s="3">
        <f t="shared" ca="1" si="186"/>
        <v>0.17434388478335305</v>
      </c>
      <c r="AT359" s="3">
        <f t="shared" ca="1" si="187"/>
        <v>0.70811462338896902</v>
      </c>
      <c r="AU359" s="3">
        <f t="shared" ca="1" si="188"/>
        <v>5.3220094600966085E-2</v>
      </c>
      <c r="AV359" s="10">
        <f t="shared" ca="1" si="192"/>
        <v>0.70811462338896902</v>
      </c>
      <c r="AW359" s="10">
        <f t="shared" ca="1" si="193"/>
        <v>0.70811462338896902</v>
      </c>
      <c r="AY359" s="3">
        <f t="shared" ca="1" si="199"/>
        <v>8.6947151272180587</v>
      </c>
      <c r="AZ359" s="3">
        <f t="shared" ca="1" si="194"/>
        <v>0.40056020144244875</v>
      </c>
      <c r="BA359" s="3">
        <f t="shared" ca="1" si="189"/>
        <v>1.5883728292318024E-4</v>
      </c>
      <c r="BB359" s="3">
        <f t="shared" ca="1" si="195"/>
        <v>0.1742451658788513</v>
      </c>
      <c r="BC359" s="3">
        <f t="shared" ca="1" si="196"/>
        <v>0.7078331266861011</v>
      </c>
      <c r="BD359" s="3">
        <f t="shared" ca="1" si="190"/>
        <v>5.3047285330559135E-2</v>
      </c>
      <c r="BE359" s="3" t="str">
        <f t="shared" ca="1" si="197"/>
        <v>rejected</v>
      </c>
      <c r="BF359" s="3" t="e">
        <f t="shared" ca="1" si="198"/>
        <v>#N/A</v>
      </c>
    </row>
    <row r="360" spans="1:58" ht="15" x14ac:dyDescent="0.25">
      <c r="A360" s="72">
        <v>294</v>
      </c>
      <c r="B360" s="72">
        <v>1498730274.3759999</v>
      </c>
      <c r="C360" s="73">
        <v>2.30708913316312E-4</v>
      </c>
      <c r="D360" s="73">
        <v>-2.5512634228454201E-5</v>
      </c>
      <c r="E360" s="73">
        <v>1.28501800266885E-2</v>
      </c>
      <c r="F360" s="73">
        <v>2.5526124918215999E-4</v>
      </c>
      <c r="G360" s="73">
        <v>0.23863168213571301</v>
      </c>
      <c r="H360" s="73">
        <v>2.96426151195706E-5</v>
      </c>
      <c r="I360" s="73">
        <v>0.172384686780444</v>
      </c>
      <c r="J360" s="73">
        <v>2.0719395924269799</v>
      </c>
      <c r="K360" s="73"/>
      <c r="L360" s="73"/>
      <c r="M360" s="73"/>
      <c r="O360" s="13">
        <f t="shared" ca="1" si="160"/>
        <v>-3.3978315955249586E-5</v>
      </c>
      <c r="P360" s="13">
        <f t="shared" ca="1" si="161"/>
        <v>-3.6800109613294373E-5</v>
      </c>
      <c r="Q360" s="13">
        <f t="shared" ca="1" si="162"/>
        <v>1.2009440408715814E-2</v>
      </c>
      <c r="R360" s="13">
        <f t="shared" ca="1" si="163"/>
        <v>2.4548497029147886E-4</v>
      </c>
      <c r="S360" s="13">
        <f t="shared" ca="1" si="164"/>
        <v>0.23749660350247165</v>
      </c>
      <c r="T360" s="13">
        <f t="shared" ca="1" si="165"/>
        <v>2.9292793608546514E-5</v>
      </c>
      <c r="U360" s="13">
        <f t="shared" ca="1" si="166"/>
        <v>0.17173084278565548</v>
      </c>
      <c r="V360" s="13">
        <f t="shared" ca="1" si="167"/>
        <v>2.0648008115045258</v>
      </c>
      <c r="X360" s="3">
        <f t="shared" ca="1" si="168"/>
        <v>-3.3978315955249586E-5</v>
      </c>
      <c r="Y360" s="3">
        <f t="shared" ca="1" si="169"/>
        <v>-3.6800109613294373E-5</v>
      </c>
      <c r="Z360" s="3">
        <f t="shared" ca="1" si="170"/>
        <v>1.2009216296924684E-2</v>
      </c>
      <c r="AA360" s="3">
        <f t="shared" ca="1" si="171"/>
        <v>2.4006044625616334E-4</v>
      </c>
      <c r="AB360" s="3">
        <f t="shared" ca="1" si="172"/>
        <v>0.2374571547337829</v>
      </c>
      <c r="AC360" s="3">
        <f t="shared" ca="1" si="173"/>
        <v>2.9292793608546514E-5</v>
      </c>
      <c r="AD360" s="3">
        <f t="shared" ca="1" si="174"/>
        <v>0.17167258645358607</v>
      </c>
      <c r="AE360" s="3">
        <f t="shared" ca="1" si="175"/>
        <v>2.0647771724401935</v>
      </c>
      <c r="AG360" s="3">
        <f t="shared" ca="1" si="176"/>
        <v>-3.3978315955249586E-5</v>
      </c>
      <c r="AH360" s="3">
        <f t="shared" ca="1" si="177"/>
        <v>-3.6800109613294373E-5</v>
      </c>
      <c r="AI360" s="3">
        <f t="shared" ca="1" si="178"/>
        <v>1.2009216296924684E-2</v>
      </c>
      <c r="AJ360" s="3">
        <f t="shared" ca="1" si="179"/>
        <v>2.4006044625616334E-4</v>
      </c>
      <c r="AK360" s="3">
        <f t="shared" ca="1" si="180"/>
        <v>0.2374571547337829</v>
      </c>
      <c r="AL360" s="3">
        <f t="shared" ca="1" si="181"/>
        <v>2.9292793608546514E-5</v>
      </c>
      <c r="AM360" s="3">
        <f t="shared" ca="1" si="182"/>
        <v>0.17167258645358607</v>
      </c>
      <c r="AN360" s="3">
        <f t="shared" ca="1" si="183"/>
        <v>2.0647771724401935</v>
      </c>
      <c r="AP360" s="3">
        <f t="shared" ca="1" si="184"/>
        <v>8.6940224872859595</v>
      </c>
      <c r="AQ360" s="3">
        <f t="shared" ca="1" si="191"/>
        <v>0.4005279049370527</v>
      </c>
      <c r="AR360" s="3">
        <f t="shared" ca="1" si="185"/>
        <v>9.832358084438065E-5</v>
      </c>
      <c r="AS360" s="3">
        <f t="shared" ca="1" si="186"/>
        <v>0.1716325192048111</v>
      </c>
      <c r="AT360" s="3">
        <f t="shared" ca="1" si="187"/>
        <v>0.70920423384036491</v>
      </c>
      <c r="AU360" s="3">
        <f t="shared" ca="1" si="188"/>
        <v>5.2537295850940975E-2</v>
      </c>
      <c r="AV360" s="10">
        <f t="shared" ca="1" si="192"/>
        <v>0.70920423384036491</v>
      </c>
      <c r="AW360" s="10">
        <f t="shared" ca="1" si="193"/>
        <v>0.70920423384036491</v>
      </c>
      <c r="AY360" s="3">
        <f t="shared" ca="1" si="199"/>
        <v>8.6953672748039494</v>
      </c>
      <c r="AZ360" s="3">
        <f t="shared" ca="1" si="194"/>
        <v>0.40059060989394873</v>
      </c>
      <c r="BA360" s="3">
        <f t="shared" ca="1" si="189"/>
        <v>9.6165960577169983E-5</v>
      </c>
      <c r="BB360" s="3">
        <f t="shared" ca="1" si="195"/>
        <v>0.17157642049300889</v>
      </c>
      <c r="BC360" s="3">
        <f t="shared" ca="1" si="196"/>
        <v>0.70903498091167583</v>
      </c>
      <c r="BD360" s="3">
        <f t="shared" ca="1" si="190"/>
        <v>5.2553359927577627E-2</v>
      </c>
      <c r="BE360" s="3">
        <f t="shared" ca="1" si="197"/>
        <v>0.70903498091167583</v>
      </c>
      <c r="BF360" s="3">
        <f t="shared" ca="1" si="198"/>
        <v>0.70903498091167583</v>
      </c>
    </row>
    <row r="361" spans="1:58" ht="15" x14ac:dyDescent="0.25">
      <c r="A361" s="72">
        <v>295</v>
      </c>
      <c r="B361" s="72">
        <v>1498730274.904</v>
      </c>
      <c r="C361" s="73">
        <v>1.6148424809450299E-4</v>
      </c>
      <c r="D361" s="73">
        <v>-4.5118270981801299E-5</v>
      </c>
      <c r="E361" s="73">
        <v>1.3036448982212101E-2</v>
      </c>
      <c r="F361" s="73">
        <v>3.59508954901353E-4</v>
      </c>
      <c r="G361" s="73">
        <v>0.242838719488981</v>
      </c>
      <c r="H361" s="73">
        <v>-7.9413851864200199E-5</v>
      </c>
      <c r="I361" s="73">
        <v>0.17514665776438501</v>
      </c>
      <c r="J361" s="73">
        <v>2.10759986798791</v>
      </c>
      <c r="K361" s="73"/>
      <c r="L361" s="73"/>
      <c r="M361" s="73"/>
      <c r="O361" s="13">
        <f t="shared" ca="1" si="160"/>
        <v>-1.0320298117705859E-4</v>
      </c>
      <c r="P361" s="13">
        <f t="shared" ca="1" si="161"/>
        <v>-5.6405746366641471E-5</v>
      </c>
      <c r="Q361" s="13">
        <f t="shared" ca="1" si="162"/>
        <v>1.2195709364239415E-2</v>
      </c>
      <c r="R361" s="13">
        <f t="shared" ca="1" si="163"/>
        <v>3.4973267601067187E-4</v>
      </c>
      <c r="S361" s="13">
        <f t="shared" ca="1" si="164"/>
        <v>0.24170364085573964</v>
      </c>
      <c r="T361" s="13">
        <f t="shared" ca="1" si="165"/>
        <v>-7.9763673375224289E-5</v>
      </c>
      <c r="U361" s="13">
        <f t="shared" ca="1" si="166"/>
        <v>0.17449281376959649</v>
      </c>
      <c r="V361" s="13">
        <f t="shared" ca="1" si="167"/>
        <v>2.1004610870654559</v>
      </c>
      <c r="X361" s="3">
        <f t="shared" ca="1" si="168"/>
        <v>-1.0320298117705859E-4</v>
      </c>
      <c r="Y361" s="3">
        <f t="shared" ca="1" si="169"/>
        <v>-5.6405746366641471E-5</v>
      </c>
      <c r="Z361" s="3">
        <f t="shared" ca="1" si="170"/>
        <v>1.2195709364239415E-2</v>
      </c>
      <c r="AA361" s="3">
        <f t="shared" ca="1" si="171"/>
        <v>3.4973267601067187E-4</v>
      </c>
      <c r="AB361" s="3">
        <f t="shared" ca="1" si="172"/>
        <v>0.24170364085573964</v>
      </c>
      <c r="AC361" s="3">
        <f t="shared" ca="1" si="173"/>
        <v>-7.9763673375224289E-5</v>
      </c>
      <c r="AD361" s="3">
        <f t="shared" ca="1" si="174"/>
        <v>0.17449281376959649</v>
      </c>
      <c r="AE361" s="3">
        <f t="shared" ca="1" si="175"/>
        <v>2.1004610870654559</v>
      </c>
      <c r="AG361" s="3">
        <f t="shared" ca="1" si="176"/>
        <v>-1.0320298117705859E-4</v>
      </c>
      <c r="AH361" s="3">
        <f t="shared" ca="1" si="177"/>
        <v>-5.6405746366641471E-5</v>
      </c>
      <c r="AI361" s="3">
        <f t="shared" ca="1" si="178"/>
        <v>1.2195709364239415E-2</v>
      </c>
      <c r="AJ361" s="3">
        <f t="shared" ca="1" si="179"/>
        <v>3.4973267601067187E-4</v>
      </c>
      <c r="AK361" s="3">
        <f t="shared" ca="1" si="180"/>
        <v>0.24170364085573964</v>
      </c>
      <c r="AL361" s="3">
        <f t="shared" ca="1" si="181"/>
        <v>-7.9763673375224289E-5</v>
      </c>
      <c r="AM361" s="3">
        <f t="shared" ca="1" si="182"/>
        <v>0.17449281376959649</v>
      </c>
      <c r="AN361" s="3">
        <f t="shared" ca="1" si="183"/>
        <v>2.1004610870654559</v>
      </c>
      <c r="AP361" s="3">
        <f t="shared" ca="1" si="184"/>
        <v>8.6902335423201666</v>
      </c>
      <c r="AQ361" s="3">
        <f t="shared" ca="1" si="191"/>
        <v>0.40035123406770007</v>
      </c>
      <c r="AR361" s="3">
        <f t="shared" ca="1" si="185"/>
        <v>1.400159084346716E-4</v>
      </c>
      <c r="AS361" s="3">
        <f t="shared" ca="1" si="186"/>
        <v>0.17435279786116181</v>
      </c>
      <c r="AT361" s="3">
        <f t="shared" ca="1" si="187"/>
        <v>0.70806024345009422</v>
      </c>
      <c r="AU361" s="3">
        <f t="shared" ca="1" si="188"/>
        <v>5.2400147310994322E-2</v>
      </c>
      <c r="AV361" s="10">
        <f t="shared" ca="1" si="192"/>
        <v>0.70806024345009422</v>
      </c>
      <c r="AW361" s="10">
        <f t="shared" ca="1" si="193"/>
        <v>0.70806024345009422</v>
      </c>
      <c r="AY361" s="3">
        <f t="shared" ca="1" si="199"/>
        <v>8.6902335423201666</v>
      </c>
      <c r="AZ361" s="3">
        <f t="shared" ca="1" si="194"/>
        <v>0.40035123406770007</v>
      </c>
      <c r="BA361" s="3">
        <f t="shared" ca="1" si="189"/>
        <v>1.400159084346716E-4</v>
      </c>
      <c r="BB361" s="3">
        <f t="shared" ca="1" si="195"/>
        <v>0.17435279786116181</v>
      </c>
      <c r="BC361" s="3">
        <f t="shared" ca="1" si="196"/>
        <v>0.70806024345009422</v>
      </c>
      <c r="BD361" s="3">
        <f t="shared" ca="1" si="190"/>
        <v>5.2400147310994322E-2</v>
      </c>
      <c r="BE361" s="3">
        <f t="shared" ca="1" si="197"/>
        <v>0.70806024345009422</v>
      </c>
      <c r="BF361" s="3">
        <f t="shared" ca="1" si="198"/>
        <v>0.70806024345009422</v>
      </c>
    </row>
    <row r="362" spans="1:58" ht="15" x14ac:dyDescent="0.25">
      <c r="A362" s="72">
        <v>296</v>
      </c>
      <c r="B362" s="72">
        <v>1498730275.4300001</v>
      </c>
      <c r="C362" s="73">
        <v>2.7210327396394099E-4</v>
      </c>
      <c r="D362" s="73">
        <v>-5.1979513160710703E-6</v>
      </c>
      <c r="E362" s="73">
        <v>1.3152372335217599E-2</v>
      </c>
      <c r="F362" s="73">
        <v>3.5593864805471501E-4</v>
      </c>
      <c r="G362" s="73">
        <v>0.24349713061954301</v>
      </c>
      <c r="H362" s="73">
        <v>-3.9352253546798999E-5</v>
      </c>
      <c r="I362" s="73">
        <v>0.17592947849757201</v>
      </c>
      <c r="J362" s="73">
        <v>2.11515084624821</v>
      </c>
      <c r="K362" s="73"/>
      <c r="L362" s="73"/>
      <c r="M362" s="73"/>
      <c r="O362" s="13">
        <f t="shared" ca="1" si="160"/>
        <v>7.416044692379407E-6</v>
      </c>
      <c r="P362" s="13">
        <f t="shared" ca="1" si="161"/>
        <v>-1.6485426700911244E-5</v>
      </c>
      <c r="Q362" s="13">
        <f t="shared" ca="1" si="162"/>
        <v>1.2311632717244914E-2</v>
      </c>
      <c r="R362" s="13">
        <f t="shared" ca="1" si="163"/>
        <v>3.4616236916403388E-4</v>
      </c>
      <c r="S362" s="13">
        <f t="shared" ca="1" si="164"/>
        <v>0.24236205198630165</v>
      </c>
      <c r="T362" s="13">
        <f t="shared" ca="1" si="165"/>
        <v>-3.9702075057823089E-5</v>
      </c>
      <c r="U362" s="13">
        <f t="shared" ca="1" si="166"/>
        <v>0.17527563450278349</v>
      </c>
      <c r="V362" s="13">
        <f t="shared" ca="1" si="167"/>
        <v>2.1080120653257559</v>
      </c>
      <c r="X362" s="3">
        <f t="shared" ca="1" si="168"/>
        <v>7.416044692379407E-6</v>
      </c>
      <c r="Y362" s="3">
        <f t="shared" ca="1" si="169"/>
        <v>-1.6485426700911244E-5</v>
      </c>
      <c r="Z362" s="3">
        <f t="shared" ca="1" si="170"/>
        <v>1.2311632717244914E-2</v>
      </c>
      <c r="AA362" s="3">
        <f t="shared" ca="1" si="171"/>
        <v>3.4616236916403388E-4</v>
      </c>
      <c r="AB362" s="3">
        <f t="shared" ca="1" si="172"/>
        <v>0.24236205198630165</v>
      </c>
      <c r="AC362" s="3">
        <f t="shared" ca="1" si="173"/>
        <v>-3.9702075057823089E-5</v>
      </c>
      <c r="AD362" s="3">
        <f t="shared" ca="1" si="174"/>
        <v>0.17527563450278349</v>
      </c>
      <c r="AE362" s="3">
        <f t="shared" ca="1" si="175"/>
        <v>2.1080120653257559</v>
      </c>
      <c r="AG362" s="3">
        <f t="shared" ca="1" si="176"/>
        <v>7.416044692379407E-6</v>
      </c>
      <c r="AH362" s="3">
        <f t="shared" ca="1" si="177"/>
        <v>-1.6485426700911244E-5</v>
      </c>
      <c r="AI362" s="3">
        <f t="shared" ca="1" si="178"/>
        <v>1.2311632717244914E-2</v>
      </c>
      <c r="AJ362" s="3">
        <f t="shared" ca="1" si="179"/>
        <v>3.4616236916403388E-4</v>
      </c>
      <c r="AK362" s="3">
        <f t="shared" ca="1" si="180"/>
        <v>0.24236205198630165</v>
      </c>
      <c r="AL362" s="3">
        <f t="shared" ca="1" si="181"/>
        <v>-3.9702075057823089E-5</v>
      </c>
      <c r="AM362" s="3">
        <f t="shared" ca="1" si="182"/>
        <v>0.17527563450278349</v>
      </c>
      <c r="AN362" s="3">
        <f t="shared" ca="1" si="183"/>
        <v>2.1080120653257559</v>
      </c>
      <c r="AP362" s="3">
        <f t="shared" ca="1" si="184"/>
        <v>8.6977810595732254</v>
      </c>
      <c r="AQ362" s="3">
        <f t="shared" ca="1" si="191"/>
        <v>0.40070316051226451</v>
      </c>
      <c r="AR362" s="3">
        <f t="shared" ca="1" si="185"/>
        <v>1.3870835537444163E-4</v>
      </c>
      <c r="AS362" s="3">
        <f t="shared" ca="1" si="186"/>
        <v>0.17513692614740906</v>
      </c>
      <c r="AT362" s="3">
        <f t="shared" ca="1" si="187"/>
        <v>0.709002419449275</v>
      </c>
      <c r="AU362" s="3">
        <f t="shared" ca="1" si="188"/>
        <v>5.2801401955064421E-2</v>
      </c>
      <c r="AV362" s="10">
        <f t="shared" ca="1" si="192"/>
        <v>0.709002419449275</v>
      </c>
      <c r="AW362" s="10">
        <f t="shared" ca="1" si="193"/>
        <v>0.709002419449275</v>
      </c>
      <c r="AY362" s="3">
        <f t="shared" ca="1" si="199"/>
        <v>8.6977810595732254</v>
      </c>
      <c r="AZ362" s="3">
        <f t="shared" ca="1" si="194"/>
        <v>0.40070316051226451</v>
      </c>
      <c r="BA362" s="3">
        <f t="shared" ca="1" si="189"/>
        <v>1.3870835537444163E-4</v>
      </c>
      <c r="BB362" s="3">
        <f t="shared" ca="1" si="195"/>
        <v>0.17513692614740906</v>
      </c>
      <c r="BC362" s="3">
        <f t="shared" ca="1" si="196"/>
        <v>0.709002419449275</v>
      </c>
      <c r="BD362" s="3">
        <f t="shared" ca="1" si="190"/>
        <v>5.2801401955064421E-2</v>
      </c>
      <c r="BE362" s="3">
        <f t="shared" ca="1" si="197"/>
        <v>0.709002419449275</v>
      </c>
      <c r="BF362" s="3">
        <f t="shared" ca="1" si="198"/>
        <v>0.709002419449275</v>
      </c>
    </row>
    <row r="363" spans="1:58" ht="15" x14ac:dyDescent="0.25">
      <c r="A363" s="72">
        <v>297</v>
      </c>
      <c r="B363" s="72">
        <v>1498730275.957</v>
      </c>
      <c r="C363" s="73">
        <v>2.0644405140029601E-4</v>
      </c>
      <c r="D363" s="73">
        <v>-8.1730169807124503E-5</v>
      </c>
      <c r="E363" s="73">
        <v>1.27619973757359E-2</v>
      </c>
      <c r="F363" s="73">
        <v>3.4332366607435602E-4</v>
      </c>
      <c r="G363" s="73">
        <v>0.23546836744244301</v>
      </c>
      <c r="H363" s="73">
        <v>-8.1085557077435604E-6</v>
      </c>
      <c r="I363" s="73">
        <v>0.17006888200671999</v>
      </c>
      <c r="J363" s="73">
        <v>2.0448732442317801</v>
      </c>
      <c r="K363" s="73"/>
      <c r="L363" s="73"/>
      <c r="M363" s="73"/>
      <c r="O363" s="13">
        <f t="shared" ca="1" si="160"/>
        <v>-5.8243177871265573E-5</v>
      </c>
      <c r="P363" s="13">
        <f t="shared" ca="1" si="161"/>
        <v>-9.3017645191964681E-5</v>
      </c>
      <c r="Q363" s="13">
        <f t="shared" ca="1" si="162"/>
        <v>1.1921257757763214E-2</v>
      </c>
      <c r="R363" s="13">
        <f t="shared" ca="1" si="163"/>
        <v>3.3354738718367489E-4</v>
      </c>
      <c r="S363" s="13">
        <f t="shared" ca="1" si="164"/>
        <v>0.23433328880920165</v>
      </c>
      <c r="T363" s="13">
        <f t="shared" ca="1" si="165"/>
        <v>-8.4583772187676468E-6</v>
      </c>
      <c r="U363" s="13">
        <f t="shared" ca="1" si="166"/>
        <v>0.16941503801193147</v>
      </c>
      <c r="V363" s="13">
        <f t="shared" ca="1" si="167"/>
        <v>2.0377344633093259</v>
      </c>
      <c r="X363" s="3">
        <f t="shared" ca="1" si="168"/>
        <v>-5.8243177871265573E-5</v>
      </c>
      <c r="Y363" s="3">
        <f t="shared" ca="1" si="169"/>
        <v>-9.3017645191964681E-5</v>
      </c>
      <c r="Z363" s="3">
        <f t="shared" ca="1" si="170"/>
        <v>1.1921257757763214E-2</v>
      </c>
      <c r="AA363" s="3">
        <f t="shared" ca="1" si="171"/>
        <v>3.3354738718367489E-4</v>
      </c>
      <c r="AB363" s="3">
        <f t="shared" ca="1" si="172"/>
        <v>0.23433328880920165</v>
      </c>
      <c r="AC363" s="3">
        <f t="shared" ca="1" si="173"/>
        <v>-8.4583772187676468E-6</v>
      </c>
      <c r="AD363" s="3">
        <f t="shared" ca="1" si="174"/>
        <v>0.16941503801193147</v>
      </c>
      <c r="AE363" s="3">
        <f t="shared" ca="1" si="175"/>
        <v>2.0377344633093259</v>
      </c>
      <c r="AG363" s="3">
        <f t="shared" ca="1" si="176"/>
        <v>-5.8243177871265573E-5</v>
      </c>
      <c r="AH363" s="3">
        <f t="shared" ca="1" si="177"/>
        <v>-9.3017645191964681E-5</v>
      </c>
      <c r="AI363" s="3">
        <f t="shared" ca="1" si="178"/>
        <v>1.1921257757763214E-2</v>
      </c>
      <c r="AJ363" s="3">
        <f t="shared" ca="1" si="179"/>
        <v>3.3354738718367489E-4</v>
      </c>
      <c r="AK363" s="3">
        <f t="shared" ca="1" si="180"/>
        <v>0.23433328880920165</v>
      </c>
      <c r="AL363" s="3">
        <f t="shared" ca="1" si="181"/>
        <v>-8.4583772187676468E-6</v>
      </c>
      <c r="AM363" s="3">
        <f t="shared" ca="1" si="182"/>
        <v>0.16941503801193147</v>
      </c>
      <c r="AN363" s="3">
        <f t="shared" ca="1" si="183"/>
        <v>2.0377344633093259</v>
      </c>
      <c r="AP363" s="3">
        <f t="shared" ca="1" si="184"/>
        <v>8.6958812965258456</v>
      </c>
      <c r="AQ363" s="3">
        <f t="shared" ca="1" si="191"/>
        <v>0.40061457780803916</v>
      </c>
      <c r="AR363" s="3">
        <f t="shared" ca="1" si="185"/>
        <v>1.336239456955625E-4</v>
      </c>
      <c r="AS363" s="3">
        <f t="shared" ca="1" si="186"/>
        <v>0.16928141406623592</v>
      </c>
      <c r="AT363" s="3">
        <f t="shared" ca="1" si="187"/>
        <v>0.70885544645015763</v>
      </c>
      <c r="AU363" s="3">
        <f t="shared" ca="1" si="188"/>
        <v>5.2867094117042671E-2</v>
      </c>
      <c r="AV363" s="10">
        <f t="shared" ca="1" si="192"/>
        <v>0.70885544645015763</v>
      </c>
      <c r="AW363" s="10">
        <f t="shared" ca="1" si="193"/>
        <v>0.70885544645015763</v>
      </c>
      <c r="AY363" s="3">
        <f t="shared" ca="1" si="199"/>
        <v>8.6958812965258456</v>
      </c>
      <c r="AZ363" s="3">
        <f t="shared" ca="1" si="194"/>
        <v>0.40061457780803916</v>
      </c>
      <c r="BA363" s="3">
        <f t="shared" ca="1" si="189"/>
        <v>1.336239456955625E-4</v>
      </c>
      <c r="BB363" s="3">
        <f t="shared" ca="1" si="195"/>
        <v>0.16928141406623592</v>
      </c>
      <c r="BC363" s="3">
        <f t="shared" ca="1" si="196"/>
        <v>0.70885544645015763</v>
      </c>
      <c r="BD363" s="3">
        <f t="shared" ca="1" si="190"/>
        <v>5.2867094117042671E-2</v>
      </c>
      <c r="BE363" s="3">
        <f t="shared" ca="1" si="197"/>
        <v>0.70885544645015763</v>
      </c>
      <c r="BF363" s="3">
        <f t="shared" ca="1" si="198"/>
        <v>0.70885544645015763</v>
      </c>
    </row>
    <row r="364" spans="1:58" ht="15" x14ac:dyDescent="0.25">
      <c r="A364" s="72">
        <v>298</v>
      </c>
      <c r="B364" s="72">
        <v>1498730276.484</v>
      </c>
      <c r="C364" s="73">
        <v>3.1754388692584802E-4</v>
      </c>
      <c r="D364" s="73">
        <v>-2.4331559400989599E-5</v>
      </c>
      <c r="E364" s="73">
        <v>1.27646475619283E-2</v>
      </c>
      <c r="F364" s="73">
        <v>3.9354652096088602E-4</v>
      </c>
      <c r="G364" s="73">
        <v>0.23419311435763199</v>
      </c>
      <c r="H364" s="73">
        <v>-7.8487406877858499E-6</v>
      </c>
      <c r="I364" s="73">
        <v>0.169017860861954</v>
      </c>
      <c r="J364" s="73">
        <v>2.0327811749357698</v>
      </c>
      <c r="K364" s="73"/>
      <c r="L364" s="73"/>
      <c r="M364" s="73"/>
      <c r="O364" s="13">
        <f t="shared" ca="1" si="160"/>
        <v>5.285665765428644E-5</v>
      </c>
      <c r="P364" s="13">
        <f t="shared" ca="1" si="161"/>
        <v>-3.5619034785829774E-5</v>
      </c>
      <c r="Q364" s="13">
        <f t="shared" ca="1" si="162"/>
        <v>1.1923907943955614E-2</v>
      </c>
      <c r="R364" s="13">
        <f t="shared" ca="1" si="163"/>
        <v>3.8377024207020488E-4</v>
      </c>
      <c r="S364" s="13">
        <f t="shared" ca="1" si="164"/>
        <v>0.23305803572439063</v>
      </c>
      <c r="T364" s="13">
        <f t="shared" ca="1" si="165"/>
        <v>-8.1985621988099363E-6</v>
      </c>
      <c r="U364" s="13">
        <f t="shared" ca="1" si="166"/>
        <v>0.16836401686716548</v>
      </c>
      <c r="V364" s="13">
        <f t="shared" ca="1" si="167"/>
        <v>2.0256423940133157</v>
      </c>
      <c r="X364" s="3">
        <f t="shared" ca="1" si="168"/>
        <v>5.285665765428644E-5</v>
      </c>
      <c r="Y364" s="3">
        <f t="shared" ca="1" si="169"/>
        <v>-3.5619034785829774E-5</v>
      </c>
      <c r="Z364" s="3">
        <f t="shared" ca="1" si="170"/>
        <v>1.1923907943955614E-2</v>
      </c>
      <c r="AA364" s="3">
        <f t="shared" ca="1" si="171"/>
        <v>3.8377024207020488E-4</v>
      </c>
      <c r="AB364" s="3">
        <f t="shared" ca="1" si="172"/>
        <v>0.23305803572439063</v>
      </c>
      <c r="AC364" s="3">
        <f t="shared" ca="1" si="173"/>
        <v>-8.1985621988099363E-6</v>
      </c>
      <c r="AD364" s="3">
        <f t="shared" ca="1" si="174"/>
        <v>0.16836401686716548</v>
      </c>
      <c r="AE364" s="3">
        <f t="shared" ca="1" si="175"/>
        <v>2.0256423940133157</v>
      </c>
      <c r="AG364" s="3">
        <f t="shared" ca="1" si="176"/>
        <v>5.285665765428644E-5</v>
      </c>
      <c r="AH364" s="3">
        <f t="shared" ca="1" si="177"/>
        <v>-3.5619034785829774E-5</v>
      </c>
      <c r="AI364" s="3">
        <f t="shared" ca="1" si="178"/>
        <v>1.1923907943955614E-2</v>
      </c>
      <c r="AJ364" s="3">
        <f t="shared" ca="1" si="179"/>
        <v>3.8377024207020488E-4</v>
      </c>
      <c r="AK364" s="3">
        <f t="shared" ca="1" si="180"/>
        <v>0.23305803572439063</v>
      </c>
      <c r="AL364" s="3">
        <f t="shared" ca="1" si="181"/>
        <v>-8.1985621988099363E-6</v>
      </c>
      <c r="AM364" s="3">
        <f t="shared" ca="1" si="182"/>
        <v>0.16836401686716548</v>
      </c>
      <c r="AN364" s="3">
        <f t="shared" ca="1" si="183"/>
        <v>2.0256423940133157</v>
      </c>
      <c r="AP364" s="3">
        <f t="shared" ca="1" si="184"/>
        <v>8.6915792785999297</v>
      </c>
      <c r="AQ364" s="3">
        <f t="shared" ca="1" si="191"/>
        <v>0.40041398293191727</v>
      </c>
      <c r="AR364" s="3">
        <f t="shared" ca="1" si="185"/>
        <v>1.5366697115807678E-4</v>
      </c>
      <c r="AS364" s="3">
        <f t="shared" ca="1" si="186"/>
        <v>0.16821034989600742</v>
      </c>
      <c r="AT364" s="3">
        <f t="shared" ca="1" si="187"/>
        <v>0.70840113489233703</v>
      </c>
      <c r="AU364" s="3">
        <f t="shared" ca="1" si="188"/>
        <v>5.3141276012714941E-2</v>
      </c>
      <c r="AV364" s="10">
        <f t="shared" ca="1" si="192"/>
        <v>0.70840113489233703</v>
      </c>
      <c r="AW364" s="10">
        <f t="shared" ca="1" si="193"/>
        <v>0.70840113489233703</v>
      </c>
      <c r="AY364" s="3">
        <f t="shared" ca="1" si="199"/>
        <v>8.6915792785999297</v>
      </c>
      <c r="AZ364" s="3">
        <f t="shared" ca="1" si="194"/>
        <v>0.40041398293191727</v>
      </c>
      <c r="BA364" s="3">
        <f t="shared" ca="1" si="189"/>
        <v>1.5366697115807678E-4</v>
      </c>
      <c r="BB364" s="3">
        <f t="shared" ca="1" si="195"/>
        <v>0.16821034989600742</v>
      </c>
      <c r="BC364" s="3">
        <f t="shared" ca="1" si="196"/>
        <v>0.70840113489233703</v>
      </c>
      <c r="BD364" s="3">
        <f t="shared" ca="1" si="190"/>
        <v>5.3141276012714941E-2</v>
      </c>
      <c r="BE364" s="3">
        <f t="shared" ca="1" si="197"/>
        <v>0.70840113489233703</v>
      </c>
      <c r="BF364" s="3">
        <f t="shared" ca="1" si="198"/>
        <v>0.70840113489233703</v>
      </c>
    </row>
    <row r="365" spans="1:58" ht="15" x14ac:dyDescent="0.25">
      <c r="A365" s="72">
        <v>299</v>
      </c>
      <c r="B365" s="72">
        <v>1498730277.0109999</v>
      </c>
      <c r="C365" s="73">
        <v>3.6584167432493302E-4</v>
      </c>
      <c r="D365" s="73">
        <v>5.7638468368780798E-5</v>
      </c>
      <c r="E365" s="73">
        <v>1.17520594700989E-2</v>
      </c>
      <c r="F365" s="73">
        <v>4.64719725609822E-4</v>
      </c>
      <c r="G365" s="73">
        <v>0.216045567059473</v>
      </c>
      <c r="H365" s="73">
        <v>-1.212379220039E-5</v>
      </c>
      <c r="I365" s="73">
        <v>0.156134780167861</v>
      </c>
      <c r="J365" s="73">
        <v>1.87818783276289</v>
      </c>
      <c r="K365" s="73"/>
      <c r="L365" s="73"/>
      <c r="M365" s="73"/>
      <c r="O365" s="13">
        <f t="shared" ca="1" si="160"/>
        <v>1.0115444505337144E-4</v>
      </c>
      <c r="P365" s="13">
        <f t="shared" ca="1" si="161"/>
        <v>4.6350992983940626E-5</v>
      </c>
      <c r="Q365" s="13">
        <f t="shared" ca="1" si="162"/>
        <v>1.0911319852126214E-2</v>
      </c>
      <c r="R365" s="13">
        <f t="shared" ca="1" si="163"/>
        <v>4.5494344671914087E-4</v>
      </c>
      <c r="S365" s="13">
        <f t="shared" ca="1" si="164"/>
        <v>0.21491048842623164</v>
      </c>
      <c r="T365" s="13">
        <f t="shared" ca="1" si="165"/>
        <v>-1.2473613711414086E-5</v>
      </c>
      <c r="U365" s="13">
        <f t="shared" ca="1" si="166"/>
        <v>0.15548093617307249</v>
      </c>
      <c r="V365" s="13">
        <f t="shared" ca="1" si="167"/>
        <v>1.8710490518404359</v>
      </c>
      <c r="X365" s="3">
        <f t="shared" ca="1" si="168"/>
        <v>1.0115444505337144E-4</v>
      </c>
      <c r="Y365" s="3">
        <f t="shared" ca="1" si="169"/>
        <v>4.6350992983940626E-5</v>
      </c>
      <c r="Z365" s="3">
        <f t="shared" ca="1" si="170"/>
        <v>1.0911319852126214E-2</v>
      </c>
      <c r="AA365" s="3">
        <f t="shared" ca="1" si="171"/>
        <v>4.5494344671914087E-4</v>
      </c>
      <c r="AB365" s="3">
        <f t="shared" ca="1" si="172"/>
        <v>0.21491048842623164</v>
      </c>
      <c r="AC365" s="3">
        <f t="shared" ca="1" si="173"/>
        <v>-1.2473613711414086E-5</v>
      </c>
      <c r="AD365" s="3">
        <f t="shared" ca="1" si="174"/>
        <v>0.15548093617307249</v>
      </c>
      <c r="AE365" s="3">
        <f t="shared" ca="1" si="175"/>
        <v>1.8710490518404359</v>
      </c>
      <c r="AG365" s="3">
        <f t="shared" ca="1" si="176"/>
        <v>1.0115444505337144E-4</v>
      </c>
      <c r="AH365" s="3">
        <f t="shared" ca="1" si="177"/>
        <v>4.6350992983940626E-5</v>
      </c>
      <c r="AI365" s="3">
        <f t="shared" ca="1" si="178"/>
        <v>1.087398437313518E-2</v>
      </c>
      <c r="AJ365" s="3">
        <f t="shared" ca="1" si="179"/>
        <v>4.3432669482962002E-4</v>
      </c>
      <c r="AK365" s="3">
        <f t="shared" ca="1" si="180"/>
        <v>0.21491048842623164</v>
      </c>
      <c r="AL365" s="3">
        <f t="shared" ca="1" si="181"/>
        <v>-1.2473613711414086E-5</v>
      </c>
      <c r="AM365" s="3">
        <f t="shared" ca="1" si="182"/>
        <v>0.15548093617307249</v>
      </c>
      <c r="AN365" s="3">
        <f t="shared" ca="1" si="183"/>
        <v>1.8710490518404359</v>
      </c>
      <c r="AP365" s="3">
        <f t="shared" ca="1" si="184"/>
        <v>8.7061783980016241</v>
      </c>
      <c r="AQ365" s="3">
        <f t="shared" ca="1" si="191"/>
        <v>0.40109471686269171</v>
      </c>
      <c r="AR365" s="3">
        <f t="shared" ca="1" si="185"/>
        <v>1.8247541295035089E-4</v>
      </c>
      <c r="AS365" s="3">
        <f t="shared" ca="1" si="186"/>
        <v>0.15529846076012213</v>
      </c>
      <c r="AT365" s="3">
        <f t="shared" ca="1" si="187"/>
        <v>0.70865214139393062</v>
      </c>
      <c r="AU365" s="3">
        <f t="shared" ca="1" si="188"/>
        <v>5.2825416982264735E-2</v>
      </c>
      <c r="AV365" s="10">
        <f t="shared" ca="1" si="192"/>
        <v>0.70865214139393062</v>
      </c>
      <c r="AW365" s="10">
        <f t="shared" ca="1" si="193"/>
        <v>0.70865214139393062</v>
      </c>
      <c r="AY365" s="3">
        <f t="shared" ca="1" si="199"/>
        <v>8.7061783980016241</v>
      </c>
      <c r="AZ365" s="3">
        <f t="shared" ca="1" si="194"/>
        <v>0.40109471686269171</v>
      </c>
      <c r="BA365" s="3">
        <f t="shared" ca="1" si="189"/>
        <v>1.7420614268859514E-4</v>
      </c>
      <c r="BB365" s="3">
        <f t="shared" ca="1" si="195"/>
        <v>0.15530673003038389</v>
      </c>
      <c r="BC365" s="3">
        <f t="shared" ca="1" si="196"/>
        <v>0.70868987541943274</v>
      </c>
      <c r="BD365" s="3">
        <f t="shared" ca="1" si="190"/>
        <v>5.2644663207958541E-2</v>
      </c>
      <c r="BE365" s="3">
        <f t="shared" ca="1" si="197"/>
        <v>0.70868987541943274</v>
      </c>
      <c r="BF365" s="3">
        <f t="shared" ca="1" si="198"/>
        <v>0.70868987541943274</v>
      </c>
    </row>
    <row r="366" spans="1:58" ht="15" x14ac:dyDescent="0.25">
      <c r="A366" s="72">
        <v>300</v>
      </c>
      <c r="B366" s="72">
        <v>1498730277.5380001</v>
      </c>
      <c r="C366" s="73">
        <v>1.4007552944641599E-4</v>
      </c>
      <c r="D366" s="73">
        <v>-3.6142244406931299E-5</v>
      </c>
      <c r="E366" s="73">
        <v>1.2024311071228399E-2</v>
      </c>
      <c r="F366" s="73">
        <v>2.50501339726706E-4</v>
      </c>
      <c r="G366" s="73">
        <v>0.22171258158277499</v>
      </c>
      <c r="H366" s="73">
        <v>2.69017460492567E-5</v>
      </c>
      <c r="I366" s="73">
        <v>0.15990770111653599</v>
      </c>
      <c r="J366" s="73">
        <v>1.92369705980789</v>
      </c>
      <c r="K366" s="73"/>
      <c r="L366" s="73"/>
      <c r="M366" s="73"/>
      <c r="O366" s="13">
        <f t="shared" ca="1" si="160"/>
        <v>-1.2461169982514559E-4</v>
      </c>
      <c r="P366" s="13">
        <f t="shared" ca="1" si="161"/>
        <v>-4.742971979177147E-5</v>
      </c>
      <c r="Q366" s="13">
        <f t="shared" ca="1" si="162"/>
        <v>1.1183571453255714E-2</v>
      </c>
      <c r="R366" s="13">
        <f t="shared" ca="1" si="163"/>
        <v>2.4072506083602487E-4</v>
      </c>
      <c r="S366" s="13">
        <f t="shared" ca="1" si="164"/>
        <v>0.22057750294953363</v>
      </c>
      <c r="T366" s="13">
        <f t="shared" ca="1" si="165"/>
        <v>2.6551924538232614E-5</v>
      </c>
      <c r="U366" s="13">
        <f t="shared" ca="1" si="166"/>
        <v>0.15925385712174747</v>
      </c>
      <c r="V366" s="13">
        <f t="shared" ca="1" si="167"/>
        <v>1.9165582788854358</v>
      </c>
      <c r="X366" s="3">
        <f t="shared" ca="1" si="168"/>
        <v>-1.2461169982514559E-4</v>
      </c>
      <c r="Y366" s="3">
        <f t="shared" ca="1" si="169"/>
        <v>-4.742971979177147E-5</v>
      </c>
      <c r="Z366" s="3">
        <f t="shared" ca="1" si="170"/>
        <v>1.1183368311163984E-2</v>
      </c>
      <c r="AA366" s="3">
        <f t="shared" ca="1" si="171"/>
        <v>2.3580809884304158E-4</v>
      </c>
      <c r="AB366" s="3">
        <f t="shared" ca="1" si="172"/>
        <v>0.22054174532452361</v>
      </c>
      <c r="AC366" s="3">
        <f t="shared" ca="1" si="173"/>
        <v>2.6551924538232614E-5</v>
      </c>
      <c r="AD366" s="3">
        <f t="shared" ca="1" si="174"/>
        <v>0.15920105172006227</v>
      </c>
      <c r="AE366" s="3">
        <f t="shared" ca="1" si="175"/>
        <v>1.916536851681848</v>
      </c>
      <c r="AG366" s="3">
        <f t="shared" ca="1" si="176"/>
        <v>-1.2461169982514559E-4</v>
      </c>
      <c r="AH366" s="3">
        <f t="shared" ca="1" si="177"/>
        <v>-4.742971979177147E-5</v>
      </c>
      <c r="AI366" s="3">
        <f t="shared" ca="1" si="178"/>
        <v>1.1183368311163984E-2</v>
      </c>
      <c r="AJ366" s="3">
        <f t="shared" ca="1" si="179"/>
        <v>2.3580809884304158E-4</v>
      </c>
      <c r="AK366" s="3">
        <f t="shared" ca="1" si="180"/>
        <v>0.22054174532452361</v>
      </c>
      <c r="AL366" s="3">
        <f t="shared" ca="1" si="181"/>
        <v>2.6551924538232614E-5</v>
      </c>
      <c r="AM366" s="3">
        <f t="shared" ca="1" si="182"/>
        <v>0.15920105172006227</v>
      </c>
      <c r="AN366" s="3">
        <f t="shared" ca="1" si="183"/>
        <v>1.916536851681848</v>
      </c>
      <c r="AP366" s="3">
        <f t="shared" ca="1" si="184"/>
        <v>8.6888202706870299</v>
      </c>
      <c r="AQ366" s="3">
        <f t="shared" ca="1" si="191"/>
        <v>0.40028533629827762</v>
      </c>
      <c r="AR366" s="3">
        <f t="shared" ca="1" si="185"/>
        <v>9.6358711932171556E-5</v>
      </c>
      <c r="AS366" s="3">
        <f t="shared" ca="1" si="186"/>
        <v>0.1591574984098153</v>
      </c>
      <c r="AT366" s="3">
        <f t="shared" ca="1" si="187"/>
        <v>0.70831418742944341</v>
      </c>
      <c r="AU366" s="3">
        <f t="shared" ca="1" si="188"/>
        <v>5.264482164976389E-2</v>
      </c>
      <c r="AV366" s="10">
        <f t="shared" ca="1" si="192"/>
        <v>0.70831418742944341</v>
      </c>
      <c r="AW366" s="10">
        <f t="shared" ca="1" si="193"/>
        <v>0.70831418742944341</v>
      </c>
      <c r="AY366" s="3">
        <f t="shared" ca="1" si="199"/>
        <v>8.6901318789406279</v>
      </c>
      <c r="AZ366" s="3">
        <f t="shared" ca="1" si="194"/>
        <v>0.40034649372202363</v>
      </c>
      <c r="BA366" s="3">
        <f t="shared" ca="1" si="189"/>
        <v>9.440494556306807E-5</v>
      </c>
      <c r="BB366" s="3">
        <f t="shared" ca="1" si="195"/>
        <v>0.15910664677449921</v>
      </c>
      <c r="BC366" s="3">
        <f t="shared" ca="1" si="196"/>
        <v>0.70814885264686978</v>
      </c>
      <c r="BD366" s="3">
        <f t="shared" ca="1" si="190"/>
        <v>5.266053370349251E-2</v>
      </c>
      <c r="BE366" s="3">
        <f t="shared" ca="1" si="197"/>
        <v>0.70814885264686978</v>
      </c>
      <c r="BF366" s="3">
        <f t="shared" ca="1" si="198"/>
        <v>0.70814885264686978</v>
      </c>
    </row>
    <row r="367" spans="1:58" ht="15" x14ac:dyDescent="0.25">
      <c r="A367" s="72">
        <v>301</v>
      </c>
      <c r="B367" s="72">
        <v>1498730278.0650001</v>
      </c>
      <c r="C367" s="73">
        <v>2.9541809456972199E-4</v>
      </c>
      <c r="D367" s="73">
        <v>2.8335496812268602E-6</v>
      </c>
      <c r="E367" s="73">
        <v>1.19215160427107E-2</v>
      </c>
      <c r="F367" s="73">
        <v>3.3546913513823602E-4</v>
      </c>
      <c r="G367" s="73">
        <v>0.21860789285377899</v>
      </c>
      <c r="H367" s="73">
        <v>3.77277267198039E-6</v>
      </c>
      <c r="I367" s="73">
        <v>0.157854035035941</v>
      </c>
      <c r="J367" s="73">
        <v>1.9002105652285199</v>
      </c>
      <c r="K367" s="73"/>
      <c r="L367" s="73"/>
      <c r="M367" s="73"/>
      <c r="O367" s="13">
        <f t="shared" ca="1" si="160"/>
        <v>3.0730865298160407E-5</v>
      </c>
      <c r="P367" s="13">
        <f t="shared" ca="1" si="161"/>
        <v>-8.4539257036133139E-6</v>
      </c>
      <c r="Q367" s="13">
        <f t="shared" ca="1" si="162"/>
        <v>1.1080776424738014E-2</v>
      </c>
      <c r="R367" s="13">
        <f t="shared" ca="1" si="163"/>
        <v>3.2569285624755489E-4</v>
      </c>
      <c r="S367" s="13">
        <f t="shared" ca="1" si="164"/>
        <v>0.21747281422053763</v>
      </c>
      <c r="T367" s="13">
        <f t="shared" ca="1" si="165"/>
        <v>3.4229511609563035E-6</v>
      </c>
      <c r="U367" s="13">
        <f t="shared" ca="1" si="166"/>
        <v>0.15720019104115249</v>
      </c>
      <c r="V367" s="13">
        <f t="shared" ca="1" si="167"/>
        <v>1.8930717843060658</v>
      </c>
      <c r="X367" s="3">
        <f t="shared" ca="1" si="168"/>
        <v>3.0730865298160407E-5</v>
      </c>
      <c r="Y367" s="3">
        <f t="shared" ca="1" si="169"/>
        <v>-8.4539257036133139E-6</v>
      </c>
      <c r="Z367" s="3">
        <f t="shared" ca="1" si="170"/>
        <v>1.1080750236600212E-2</v>
      </c>
      <c r="AA367" s="3">
        <f t="shared" ca="1" si="171"/>
        <v>3.2505898427575013E-4</v>
      </c>
      <c r="AB367" s="3">
        <f t="shared" ca="1" si="172"/>
        <v>0.21746820451309948</v>
      </c>
      <c r="AC367" s="3">
        <f t="shared" ca="1" si="173"/>
        <v>3.4229511609563035E-6</v>
      </c>
      <c r="AD367" s="3">
        <f t="shared" ca="1" si="174"/>
        <v>0.15719338361328627</v>
      </c>
      <c r="AE367" s="3">
        <f t="shared" ca="1" si="175"/>
        <v>1.8930690220101993</v>
      </c>
      <c r="AG367" s="3">
        <f t="shared" ca="1" si="176"/>
        <v>3.0730865298160407E-5</v>
      </c>
      <c r="AH367" s="3">
        <f t="shared" ca="1" si="177"/>
        <v>-8.4539257036133139E-6</v>
      </c>
      <c r="AI367" s="3">
        <f t="shared" ca="1" si="178"/>
        <v>1.1080750236600212E-2</v>
      </c>
      <c r="AJ367" s="3">
        <f t="shared" ca="1" si="179"/>
        <v>3.2505898427575013E-4</v>
      </c>
      <c r="AK367" s="3">
        <f t="shared" ca="1" si="180"/>
        <v>0.21746820451309948</v>
      </c>
      <c r="AL367" s="3">
        <f t="shared" ca="1" si="181"/>
        <v>3.4229511609563035E-6</v>
      </c>
      <c r="AM367" s="3">
        <f t="shared" ca="1" si="182"/>
        <v>0.15719338361328627</v>
      </c>
      <c r="AN367" s="3">
        <f t="shared" ca="1" si="183"/>
        <v>1.8930690220101993</v>
      </c>
      <c r="AP367" s="3">
        <f t="shared" ca="1" si="184"/>
        <v>8.7048663580833381</v>
      </c>
      <c r="AQ367" s="3">
        <f t="shared" ca="1" si="191"/>
        <v>0.4010335379423921</v>
      </c>
      <c r="AR367" s="3">
        <f t="shared" ca="1" si="185"/>
        <v>1.3061375842351986E-4</v>
      </c>
      <c r="AS367" s="3">
        <f t="shared" ca="1" si="186"/>
        <v>0.15706957728272897</v>
      </c>
      <c r="AT367" s="3">
        <f t="shared" ca="1" si="187"/>
        <v>0.70834303247597019</v>
      </c>
      <c r="AU367" s="3">
        <f t="shared" ca="1" si="188"/>
        <v>5.3005568907627726E-2</v>
      </c>
      <c r="AV367" s="10">
        <f t="shared" ca="1" si="192"/>
        <v>0.70834303247597019</v>
      </c>
      <c r="AW367" s="10">
        <f t="shared" ca="1" si="193"/>
        <v>0.70834303247597019</v>
      </c>
      <c r="AY367" s="3">
        <f t="shared" ca="1" si="199"/>
        <v>8.7050381744250238</v>
      </c>
      <c r="AZ367" s="3">
        <f t="shared" ca="1" si="194"/>
        <v>0.40104154953546806</v>
      </c>
      <c r="BA367" s="3">
        <f t="shared" ca="1" si="189"/>
        <v>1.3036215874437219E-4</v>
      </c>
      <c r="BB367" s="3">
        <f t="shared" ca="1" si="195"/>
        <v>0.1570630214545419</v>
      </c>
      <c r="BC367" s="3">
        <f t="shared" ca="1" si="196"/>
        <v>0.70832144100877914</v>
      </c>
      <c r="BD367" s="3">
        <f t="shared" ca="1" si="190"/>
        <v>5.3007637767317123E-2</v>
      </c>
      <c r="BE367" s="3">
        <f t="shared" ca="1" si="197"/>
        <v>0.70832144100877914</v>
      </c>
      <c r="BF367" s="3">
        <f t="shared" ca="1" si="198"/>
        <v>0.70832144100877914</v>
      </c>
    </row>
    <row r="368" spans="1:58" ht="15" x14ac:dyDescent="0.25">
      <c r="A368" s="72">
        <v>302</v>
      </c>
      <c r="B368" s="72">
        <v>1498730278.592</v>
      </c>
      <c r="C368" s="73">
        <v>1.6077061674424901E-4</v>
      </c>
      <c r="D368" s="73">
        <v>-4.20475341868896E-5</v>
      </c>
      <c r="E368" s="73">
        <v>1.2771634449722499E-2</v>
      </c>
      <c r="F368" s="73">
        <v>4.1377919029954698E-4</v>
      </c>
      <c r="G368" s="73">
        <v>0.23429667921250799</v>
      </c>
      <c r="H368" s="73">
        <v>-1.1065868666409099E-4</v>
      </c>
      <c r="I368" s="73">
        <v>0.16897173934041701</v>
      </c>
      <c r="J368" s="73">
        <v>2.0289734126197798</v>
      </c>
      <c r="K368" s="73"/>
      <c r="L368" s="73"/>
      <c r="M368" s="73"/>
      <c r="O368" s="13">
        <f t="shared" ca="1" si="160"/>
        <v>-1.0391661252731258E-4</v>
      </c>
      <c r="P368" s="13">
        <f t="shared" ca="1" si="161"/>
        <v>-5.3335009571729772E-5</v>
      </c>
      <c r="Q368" s="13">
        <f t="shared" ca="1" si="162"/>
        <v>1.1930894831749814E-2</v>
      </c>
      <c r="R368" s="13">
        <f t="shared" ca="1" si="163"/>
        <v>4.0400291140886584E-4</v>
      </c>
      <c r="S368" s="13">
        <f t="shared" ca="1" si="164"/>
        <v>0.23316160057926663</v>
      </c>
      <c r="T368" s="13">
        <f t="shared" ca="1" si="165"/>
        <v>-1.1100850817511508E-4</v>
      </c>
      <c r="U368" s="13">
        <f t="shared" ca="1" si="166"/>
        <v>0.16831789534562849</v>
      </c>
      <c r="V368" s="13">
        <f t="shared" ca="1" si="167"/>
        <v>2.0218346316973257</v>
      </c>
      <c r="X368" s="3">
        <f t="shared" ca="1" si="168"/>
        <v>-1.0391661252731258E-4</v>
      </c>
      <c r="Y368" s="3">
        <f t="shared" ca="1" si="169"/>
        <v>-5.3335009571729772E-5</v>
      </c>
      <c r="Z368" s="3">
        <f t="shared" ca="1" si="170"/>
        <v>1.1930894831749814E-2</v>
      </c>
      <c r="AA368" s="3">
        <f t="shared" ca="1" si="171"/>
        <v>4.0400291140886584E-4</v>
      </c>
      <c r="AB368" s="3">
        <f t="shared" ca="1" si="172"/>
        <v>0.23316160057926663</v>
      </c>
      <c r="AC368" s="3">
        <f t="shared" ca="1" si="173"/>
        <v>-1.1100850817511508E-4</v>
      </c>
      <c r="AD368" s="3">
        <f t="shared" ca="1" si="174"/>
        <v>0.16831789534562849</v>
      </c>
      <c r="AE368" s="3">
        <f t="shared" ca="1" si="175"/>
        <v>2.0218346316973257</v>
      </c>
      <c r="AG368" s="3">
        <f t="shared" ca="1" si="176"/>
        <v>-1.0391661252731258E-4</v>
      </c>
      <c r="AH368" s="3">
        <f t="shared" ca="1" si="177"/>
        <v>-5.3335009571729772E-5</v>
      </c>
      <c r="AI368" s="3">
        <f t="shared" ca="1" si="178"/>
        <v>1.1930894831749814E-2</v>
      </c>
      <c r="AJ368" s="3">
        <f t="shared" ca="1" si="179"/>
        <v>4.0400291140886584E-4</v>
      </c>
      <c r="AK368" s="3">
        <f t="shared" ca="1" si="180"/>
        <v>0.23316160057926663</v>
      </c>
      <c r="AL368" s="3">
        <f t="shared" ca="1" si="181"/>
        <v>-1.1100850817511508E-4</v>
      </c>
      <c r="AM368" s="3">
        <f t="shared" ca="1" si="182"/>
        <v>0.16831789534562849</v>
      </c>
      <c r="AN368" s="3">
        <f t="shared" ca="1" si="183"/>
        <v>2.0218346316973257</v>
      </c>
      <c r="AP368" s="3">
        <f t="shared" ca="1" si="184"/>
        <v>8.6713876842253619</v>
      </c>
      <c r="AQ368" s="3">
        <f t="shared" ca="1" si="191"/>
        <v>0.39947250356561725</v>
      </c>
      <c r="AR368" s="3">
        <f t="shared" ca="1" si="185"/>
        <v>1.6138805446829792E-4</v>
      </c>
      <c r="AS368" s="3">
        <f t="shared" ca="1" si="186"/>
        <v>0.16815650729116019</v>
      </c>
      <c r="AT368" s="3">
        <f t="shared" ca="1" si="187"/>
        <v>0.70868940815813797</v>
      </c>
      <c r="AU368" s="3">
        <f t="shared" ca="1" si="188"/>
        <v>5.3022458090624627E-2</v>
      </c>
      <c r="AV368" s="10">
        <f t="shared" ca="1" si="192"/>
        <v>0.70868940815813797</v>
      </c>
      <c r="AW368" s="10">
        <f t="shared" ca="1" si="193"/>
        <v>0.70868940815813797</v>
      </c>
      <c r="AY368" s="3">
        <f t="shared" ca="1" si="199"/>
        <v>8.6713876842253619</v>
      </c>
      <c r="AZ368" s="3">
        <f t="shared" ca="1" si="194"/>
        <v>0.39947250356561725</v>
      </c>
      <c r="BA368" s="3">
        <f t="shared" ca="1" si="189"/>
        <v>1.6138805446829792E-4</v>
      </c>
      <c r="BB368" s="3">
        <f t="shared" ca="1" si="195"/>
        <v>0.16815650729116019</v>
      </c>
      <c r="BC368" s="3">
        <f t="shared" ca="1" si="196"/>
        <v>0.70868940815813797</v>
      </c>
      <c r="BD368" s="3">
        <f t="shared" ca="1" si="190"/>
        <v>5.3022458090624627E-2</v>
      </c>
      <c r="BE368" s="3">
        <f t="shared" ca="1" si="197"/>
        <v>0.70868940815813797</v>
      </c>
      <c r="BF368" s="3">
        <f t="shared" ca="1" si="198"/>
        <v>0.70868940815813797</v>
      </c>
    </row>
    <row r="369" spans="1:58" ht="15" x14ac:dyDescent="0.25">
      <c r="A369" s="72">
        <v>303</v>
      </c>
      <c r="B369" s="72">
        <v>1498730279.119</v>
      </c>
      <c r="C369" s="73">
        <v>2.7043795046464199E-4</v>
      </c>
      <c r="D369" s="73">
        <v>-3.1417987275982498E-5</v>
      </c>
      <c r="E369" s="73">
        <v>1.38238321890332E-2</v>
      </c>
      <c r="F369" s="73">
        <v>3.8450146017464598E-4</v>
      </c>
      <c r="G369" s="73">
        <v>0.25746508988473799</v>
      </c>
      <c r="H369" s="73">
        <v>-1.7626764013212701E-5</v>
      </c>
      <c r="I369" s="73">
        <v>0.18562815857637599</v>
      </c>
      <c r="J369" s="73">
        <v>2.2330862501511399</v>
      </c>
      <c r="K369" s="73"/>
      <c r="L369" s="73"/>
      <c r="M369" s="73"/>
      <c r="O369" s="13">
        <f t="shared" ca="1" si="160"/>
        <v>5.7507211930804113E-6</v>
      </c>
      <c r="P369" s="13">
        <f t="shared" ca="1" si="161"/>
        <v>-4.270546266082267E-5</v>
      </c>
      <c r="Q369" s="13">
        <f t="shared" ca="1" si="162"/>
        <v>1.2983092571060515E-2</v>
      </c>
      <c r="R369" s="13">
        <f t="shared" ca="1" si="163"/>
        <v>3.7472518128396485E-4</v>
      </c>
      <c r="S369" s="13">
        <f t="shared" ca="1" si="164"/>
        <v>0.25633001125149663</v>
      </c>
      <c r="T369" s="13">
        <f t="shared" ca="1" si="165"/>
        <v>-1.7976585524236788E-5</v>
      </c>
      <c r="U369" s="13">
        <f t="shared" ca="1" si="166"/>
        <v>0.18497431458158747</v>
      </c>
      <c r="V369" s="13">
        <f t="shared" ca="1" si="167"/>
        <v>2.2259474692286858</v>
      </c>
      <c r="X369" s="3">
        <f t="shared" ca="1" si="168"/>
        <v>5.7507211930804113E-6</v>
      </c>
      <c r="Y369" s="3">
        <f t="shared" ca="1" si="169"/>
        <v>-4.270546266082267E-5</v>
      </c>
      <c r="Z369" s="3">
        <f t="shared" ca="1" si="170"/>
        <v>1.2983092571060515E-2</v>
      </c>
      <c r="AA369" s="3">
        <f t="shared" ca="1" si="171"/>
        <v>3.7472518128396485E-4</v>
      </c>
      <c r="AB369" s="3">
        <f t="shared" ca="1" si="172"/>
        <v>0.25633001125149663</v>
      </c>
      <c r="AC369" s="3">
        <f t="shared" ca="1" si="173"/>
        <v>-1.7976585524236788E-5</v>
      </c>
      <c r="AD369" s="3">
        <f t="shared" ca="1" si="174"/>
        <v>0.18497431458158747</v>
      </c>
      <c r="AE369" s="3">
        <f t="shared" ca="1" si="175"/>
        <v>2.2259474692286858</v>
      </c>
      <c r="AG369" s="3">
        <f t="shared" ca="1" si="176"/>
        <v>5.7507211930804113E-6</v>
      </c>
      <c r="AH369" s="3">
        <f t="shared" ca="1" si="177"/>
        <v>-4.270546266082267E-5</v>
      </c>
      <c r="AI369" s="3">
        <f t="shared" ca="1" si="178"/>
        <v>1.2983092571060515E-2</v>
      </c>
      <c r="AJ369" s="3">
        <f t="shared" ca="1" si="179"/>
        <v>3.7472518128396485E-4</v>
      </c>
      <c r="AK369" s="3">
        <f t="shared" ca="1" si="180"/>
        <v>0.25633001125149663</v>
      </c>
      <c r="AL369" s="3">
        <f t="shared" ca="1" si="181"/>
        <v>-1.7976585524236788E-5</v>
      </c>
      <c r="AM369" s="3">
        <f t="shared" ca="1" si="182"/>
        <v>0.18497431458158747</v>
      </c>
      <c r="AN369" s="3">
        <f t="shared" ca="1" si="183"/>
        <v>2.2259474692286858</v>
      </c>
      <c r="AP369" s="3">
        <f t="shared" ca="1" si="184"/>
        <v>8.6839128136451844</v>
      </c>
      <c r="AQ369" s="3">
        <f t="shared" ca="1" si="191"/>
        <v>0.40005651330476183</v>
      </c>
      <c r="AR369" s="3">
        <f t="shared" ca="1" si="185"/>
        <v>1.4991124947195776E-4</v>
      </c>
      <c r="AS369" s="3">
        <f t="shared" ca="1" si="186"/>
        <v>0.18482440333211553</v>
      </c>
      <c r="AT369" s="3">
        <f t="shared" ca="1" si="187"/>
        <v>0.70801664844672463</v>
      </c>
      <c r="AU369" s="3">
        <f t="shared" ca="1" si="188"/>
        <v>5.2561044964130041E-2</v>
      </c>
      <c r="AV369" s="10">
        <f t="shared" ca="1" si="192"/>
        <v>0.70801664844672463</v>
      </c>
      <c r="AW369" s="10">
        <f t="shared" ca="1" si="193"/>
        <v>0.70801664844672463</v>
      </c>
      <c r="AY369" s="3">
        <f t="shared" ca="1" si="199"/>
        <v>8.6839128136451844</v>
      </c>
      <c r="AZ369" s="3">
        <f t="shared" ca="1" si="194"/>
        <v>0.40005651330476183</v>
      </c>
      <c r="BA369" s="3">
        <f t="shared" ca="1" si="189"/>
        <v>1.4991124947195776E-4</v>
      </c>
      <c r="BB369" s="3">
        <f t="shared" ca="1" si="195"/>
        <v>0.18482440333211553</v>
      </c>
      <c r="BC369" s="3">
        <f t="shared" ca="1" si="196"/>
        <v>0.70801664844672463</v>
      </c>
      <c r="BD369" s="3">
        <f t="shared" ca="1" si="190"/>
        <v>5.2561044964130041E-2</v>
      </c>
      <c r="BE369" s="3">
        <f t="shared" ca="1" si="197"/>
        <v>0.70801664844672463</v>
      </c>
      <c r="BF369" s="3">
        <f t="shared" ca="1" si="198"/>
        <v>0.70801664844672463</v>
      </c>
    </row>
    <row r="370" spans="1:58" ht="15" x14ac:dyDescent="0.25">
      <c r="A370" s="72">
        <v>304</v>
      </c>
      <c r="B370" s="72">
        <v>1498730279.645</v>
      </c>
      <c r="C370" s="73">
        <v>3.3729097583718598E-4</v>
      </c>
      <c r="D370" s="73">
        <v>2.9290718679020201E-5</v>
      </c>
      <c r="E370" s="73">
        <v>1.33630446149977E-2</v>
      </c>
      <c r="F370" s="73">
        <v>5.4280185046831696E-4</v>
      </c>
      <c r="G370" s="73">
        <v>0.24680279981400899</v>
      </c>
      <c r="H370" s="73">
        <v>4.47660130985578E-5</v>
      </c>
      <c r="I370" s="73">
        <v>0.178280692542931</v>
      </c>
      <c r="J370" s="73">
        <v>2.1463699285603601</v>
      </c>
      <c r="K370" s="73"/>
      <c r="L370" s="73"/>
      <c r="M370" s="73"/>
      <c r="O370" s="13">
        <f t="shared" ca="1" si="160"/>
        <v>7.2603746565624394E-5</v>
      </c>
      <c r="P370" s="13">
        <f t="shared" ca="1" si="161"/>
        <v>1.8003243294180026E-5</v>
      </c>
      <c r="Q370" s="13">
        <f t="shared" ca="1" si="162"/>
        <v>1.2522304997025014E-2</v>
      </c>
      <c r="R370" s="13">
        <f t="shared" ca="1" si="163"/>
        <v>5.3302557157763582E-4</v>
      </c>
      <c r="S370" s="13">
        <f t="shared" ca="1" si="164"/>
        <v>0.24566772118076763</v>
      </c>
      <c r="T370" s="13">
        <f t="shared" ca="1" si="165"/>
        <v>4.441619158753371E-5</v>
      </c>
      <c r="U370" s="13">
        <f t="shared" ca="1" si="166"/>
        <v>0.17762684854814248</v>
      </c>
      <c r="V370" s="13">
        <f t="shared" ca="1" si="167"/>
        <v>2.139231147637906</v>
      </c>
      <c r="X370" s="3">
        <f t="shared" ca="1" si="168"/>
        <v>7.2603746565624394E-5</v>
      </c>
      <c r="Y370" s="3">
        <f t="shared" ca="1" si="169"/>
        <v>1.8003243294180026E-5</v>
      </c>
      <c r="Z370" s="3">
        <f t="shared" ca="1" si="170"/>
        <v>1.2521965179922389E-2</v>
      </c>
      <c r="AA370" s="3">
        <f t="shared" ca="1" si="171"/>
        <v>5.2480045307089641E-4</v>
      </c>
      <c r="AB370" s="3">
        <f t="shared" ca="1" si="172"/>
        <v>0.2456079056475895</v>
      </c>
      <c r="AC370" s="3">
        <f t="shared" ca="1" si="173"/>
        <v>4.441619158753371E-5</v>
      </c>
      <c r="AD370" s="3">
        <f t="shared" ca="1" si="174"/>
        <v>0.17753851540924967</v>
      </c>
      <c r="AE370" s="3">
        <f t="shared" ca="1" si="175"/>
        <v>2.1391953041050438</v>
      </c>
      <c r="AG370" s="3">
        <f t="shared" ca="1" si="176"/>
        <v>7.2603746565624394E-5</v>
      </c>
      <c r="AH370" s="3">
        <f t="shared" ca="1" si="177"/>
        <v>1.8003243294180026E-5</v>
      </c>
      <c r="AI370" s="3">
        <f t="shared" ca="1" si="178"/>
        <v>1.2507463662942737E-2</v>
      </c>
      <c r="AJ370" s="3">
        <f t="shared" ca="1" si="179"/>
        <v>5.1679267640187469E-4</v>
      </c>
      <c r="AK370" s="3">
        <f t="shared" ca="1" si="180"/>
        <v>0.2456079056475895</v>
      </c>
      <c r="AL370" s="3">
        <f t="shared" ca="1" si="181"/>
        <v>4.441619158753371E-5</v>
      </c>
      <c r="AM370" s="3">
        <f t="shared" ca="1" si="182"/>
        <v>0.17753851540924967</v>
      </c>
      <c r="AN370" s="3">
        <f t="shared" ca="1" si="183"/>
        <v>2.1391953041050438</v>
      </c>
      <c r="AP370" s="3">
        <f t="shared" ca="1" si="184"/>
        <v>8.7078234672263406</v>
      </c>
      <c r="AQ370" s="3">
        <f t="shared" ca="1" si="191"/>
        <v>0.4011714247165365</v>
      </c>
      <c r="AR370" s="3">
        <f t="shared" ca="1" si="185"/>
        <v>2.1383462796014635E-4</v>
      </c>
      <c r="AS370" s="3">
        <f t="shared" ca="1" si="186"/>
        <v>0.17741301392018233</v>
      </c>
      <c r="AT370" s="3">
        <f t="shared" ca="1" si="187"/>
        <v>0.70814080181291128</v>
      </c>
      <c r="AU370" s="3">
        <f t="shared" ca="1" si="188"/>
        <v>5.3044871315408283E-2</v>
      </c>
      <c r="AV370" s="10">
        <f t="shared" ca="1" si="192"/>
        <v>0.70814080181291128</v>
      </c>
      <c r="AW370" s="10">
        <f t="shared" ca="1" si="193"/>
        <v>0.70814080181291128</v>
      </c>
      <c r="AY370" s="3">
        <f t="shared" ca="1" si="199"/>
        <v>8.7097982390455631</v>
      </c>
      <c r="AZ370" s="3">
        <f t="shared" ca="1" si="194"/>
        <v>0.40126350648895237</v>
      </c>
      <c r="BA370" s="3">
        <f t="shared" ca="1" si="189"/>
        <v>2.073700414608267E-4</v>
      </c>
      <c r="BB370" s="3">
        <f t="shared" ca="1" si="195"/>
        <v>0.17733114536778885</v>
      </c>
      <c r="BC370" s="3">
        <f t="shared" ca="1" si="196"/>
        <v>0.707905564339816</v>
      </c>
      <c r="BD370" s="3">
        <f t="shared" ca="1" si="190"/>
        <v>5.3007203959813197E-2</v>
      </c>
      <c r="BE370" s="3">
        <f t="shared" ca="1" si="197"/>
        <v>0.707905564339816</v>
      </c>
      <c r="BF370" s="3">
        <f t="shared" ca="1" si="198"/>
        <v>0.707905564339816</v>
      </c>
    </row>
    <row r="371" spans="1:58" ht="15" x14ac:dyDescent="0.25">
      <c r="A371" s="72">
        <v>305</v>
      </c>
      <c r="B371" s="72">
        <v>1498730280.1719999</v>
      </c>
      <c r="C371" s="73">
        <v>2.73292792449456E-4</v>
      </c>
      <c r="D371" s="73">
        <v>3.5422146552452398E-6</v>
      </c>
      <c r="E371" s="73">
        <v>1.4367112432964201E-2</v>
      </c>
      <c r="F371" s="73">
        <v>5.1494868490481699E-4</v>
      </c>
      <c r="G371" s="73">
        <v>0.26606245680308199</v>
      </c>
      <c r="H371" s="73">
        <v>4.5049598832693002E-5</v>
      </c>
      <c r="I371" s="73">
        <v>0.19204994889228</v>
      </c>
      <c r="J371" s="73">
        <v>2.3050333775140102</v>
      </c>
      <c r="K371" s="73"/>
      <c r="L371" s="73"/>
      <c r="M371" s="73"/>
      <c r="O371" s="13">
        <f t="shared" ca="1" si="160"/>
        <v>8.6055631778944185E-6</v>
      </c>
      <c r="P371" s="13">
        <f t="shared" ca="1" si="161"/>
        <v>-7.7452607295949334E-6</v>
      </c>
      <c r="Q371" s="13">
        <f t="shared" ca="1" si="162"/>
        <v>1.3526372814991515E-2</v>
      </c>
      <c r="R371" s="13">
        <f t="shared" ca="1" si="163"/>
        <v>5.0517240601413585E-4</v>
      </c>
      <c r="S371" s="13">
        <f t="shared" ca="1" si="164"/>
        <v>0.26492737816984063</v>
      </c>
      <c r="T371" s="13">
        <f t="shared" ca="1" si="165"/>
        <v>4.4699777321668912E-5</v>
      </c>
      <c r="U371" s="13">
        <f t="shared" ca="1" si="166"/>
        <v>0.19139610489749148</v>
      </c>
      <c r="V371" s="13">
        <f t="shared" ca="1" si="167"/>
        <v>2.297894596591556</v>
      </c>
      <c r="X371" s="3">
        <f t="shared" ca="1" si="168"/>
        <v>8.6055631778944185E-6</v>
      </c>
      <c r="Y371" s="3">
        <f t="shared" ca="1" si="169"/>
        <v>-7.7452607295949334E-6</v>
      </c>
      <c r="Z371" s="3">
        <f t="shared" ca="1" si="170"/>
        <v>1.3526030828245814E-2</v>
      </c>
      <c r="AA371" s="3">
        <f t="shared" ca="1" si="171"/>
        <v>4.9689477228295428E-4</v>
      </c>
      <c r="AB371" s="3">
        <f t="shared" ca="1" si="172"/>
        <v>0.26486718073017113</v>
      </c>
      <c r="AC371" s="3">
        <f t="shared" ca="1" si="173"/>
        <v>4.4699777321668912E-5</v>
      </c>
      <c r="AD371" s="3">
        <f t="shared" ca="1" si="174"/>
        <v>0.19130720777467422</v>
      </c>
      <c r="AE371" s="3">
        <f t="shared" ca="1" si="175"/>
        <v>2.2978585242071374</v>
      </c>
      <c r="AG371" s="3">
        <f t="shared" ca="1" si="176"/>
        <v>8.6055631778944185E-6</v>
      </c>
      <c r="AH371" s="3">
        <f t="shared" ca="1" si="177"/>
        <v>-7.7452607295949334E-6</v>
      </c>
      <c r="AI371" s="3">
        <f t="shared" ca="1" si="178"/>
        <v>1.3526030828245814E-2</v>
      </c>
      <c r="AJ371" s="3">
        <f t="shared" ca="1" si="179"/>
        <v>4.9689477228295428E-4</v>
      </c>
      <c r="AK371" s="3">
        <f t="shared" ca="1" si="180"/>
        <v>0.26486718073017113</v>
      </c>
      <c r="AL371" s="3">
        <f t="shared" ca="1" si="181"/>
        <v>4.4699777321668912E-5</v>
      </c>
      <c r="AM371" s="3">
        <f t="shared" ca="1" si="182"/>
        <v>0.19130720777467422</v>
      </c>
      <c r="AN371" s="3">
        <f t="shared" ca="1" si="183"/>
        <v>2.2978585242071374</v>
      </c>
      <c r="AP371" s="3">
        <f t="shared" ca="1" si="184"/>
        <v>8.6736773392986706</v>
      </c>
      <c r="AQ371" s="3">
        <f t="shared" ca="1" si="191"/>
        <v>0.39957926264577254</v>
      </c>
      <c r="AR371" s="3">
        <f t="shared" ca="1" si="185"/>
        <v>2.0185641750411924E-4</v>
      </c>
      <c r="AS371" s="3">
        <f t="shared" ca="1" si="186"/>
        <v>0.19119424847998737</v>
      </c>
      <c r="AT371" s="3">
        <f t="shared" ca="1" si="187"/>
        <v>0.70907068744233548</v>
      </c>
      <c r="AU371" s="3">
        <f t="shared" ca="1" si="188"/>
        <v>5.2919496646356132E-2</v>
      </c>
      <c r="AV371" s="10">
        <f t="shared" ca="1" si="192"/>
        <v>0.70907068744233548</v>
      </c>
      <c r="AW371" s="10">
        <f t="shared" ca="1" si="193"/>
        <v>0.70907068744233548</v>
      </c>
      <c r="AY371" s="3">
        <f t="shared" ca="1" si="199"/>
        <v>8.6755124507027581</v>
      </c>
      <c r="AZ371" s="3">
        <f t="shared" ca="1" si="194"/>
        <v>0.39966482809743398</v>
      </c>
      <c r="BA371" s="3">
        <f t="shared" ca="1" si="189"/>
        <v>1.9859136374698053E-4</v>
      </c>
      <c r="BB371" s="3">
        <f t="shared" ca="1" si="195"/>
        <v>0.19110861641092725</v>
      </c>
      <c r="BC371" s="3">
        <f t="shared" ca="1" si="196"/>
        <v>0.70883866980035315</v>
      </c>
      <c r="BD371" s="3">
        <f t="shared" ca="1" si="190"/>
        <v>5.2941644580323285E-2</v>
      </c>
      <c r="BE371" s="3">
        <f t="shared" ca="1" si="197"/>
        <v>0.70883866980035315</v>
      </c>
      <c r="BF371" s="3">
        <f t="shared" ca="1" si="198"/>
        <v>0.70883866980035315</v>
      </c>
    </row>
    <row r="372" spans="1:58" ht="15" x14ac:dyDescent="0.25">
      <c r="A372" s="72">
        <v>306</v>
      </c>
      <c r="B372" s="72">
        <v>1498730280.6989999</v>
      </c>
      <c r="C372" s="73">
        <v>2.9113573977114699E-4</v>
      </c>
      <c r="D372" s="73">
        <v>-7.1337251982776901E-5</v>
      </c>
      <c r="E372" s="73">
        <v>1.4014622530009299E-2</v>
      </c>
      <c r="F372" s="73">
        <v>3.7688463041089901E-4</v>
      </c>
      <c r="G372" s="73">
        <v>0.26246485239850598</v>
      </c>
      <c r="H372" s="73">
        <v>7.0191522050149904E-7</v>
      </c>
      <c r="I372" s="73">
        <v>0.18950435542255101</v>
      </c>
      <c r="J372" s="73">
        <v>2.2798201572582801</v>
      </c>
      <c r="K372" s="73"/>
      <c r="L372" s="73"/>
      <c r="M372" s="73"/>
      <c r="O372" s="13">
        <f t="shared" ca="1" si="160"/>
        <v>2.6448510499585409E-5</v>
      </c>
      <c r="P372" s="13">
        <f t="shared" ca="1" si="161"/>
        <v>-8.2624727367617079E-5</v>
      </c>
      <c r="Q372" s="13">
        <f t="shared" ca="1" si="162"/>
        <v>1.3173882912036614E-2</v>
      </c>
      <c r="R372" s="13">
        <f t="shared" ca="1" si="163"/>
        <v>3.6710835152021788E-4</v>
      </c>
      <c r="S372" s="13">
        <f t="shared" ca="1" si="164"/>
        <v>0.26132977376526462</v>
      </c>
      <c r="T372" s="13">
        <f t="shared" ca="1" si="165"/>
        <v>3.5209370947741242E-7</v>
      </c>
      <c r="U372" s="13">
        <f t="shared" ca="1" si="166"/>
        <v>0.18885051142776249</v>
      </c>
      <c r="V372" s="13">
        <f t="shared" ca="1" si="167"/>
        <v>2.272681376335826</v>
      </c>
      <c r="X372" s="3">
        <f t="shared" ca="1" si="168"/>
        <v>2.6448510499585409E-5</v>
      </c>
      <c r="Y372" s="3">
        <f t="shared" ca="1" si="169"/>
        <v>-8.2624727367617079E-5</v>
      </c>
      <c r="Z372" s="3">
        <f t="shared" ca="1" si="170"/>
        <v>1.3173880218256263E-2</v>
      </c>
      <c r="AA372" s="3">
        <f t="shared" ca="1" si="171"/>
        <v>3.670431497912443E-4</v>
      </c>
      <c r="AB372" s="3">
        <f t="shared" ca="1" si="172"/>
        <v>0.26132929959870038</v>
      </c>
      <c r="AC372" s="3">
        <f t="shared" ca="1" si="173"/>
        <v>3.5209370947741242E-7</v>
      </c>
      <c r="AD372" s="3">
        <f t="shared" ca="1" si="174"/>
        <v>0.18884981119792668</v>
      </c>
      <c r="AE372" s="3">
        <f t="shared" ca="1" si="175"/>
        <v>2.2726810921988481</v>
      </c>
      <c r="AG372" s="3">
        <f t="shared" ca="1" si="176"/>
        <v>2.6448510499585409E-5</v>
      </c>
      <c r="AH372" s="3">
        <f t="shared" ca="1" si="177"/>
        <v>-8.2624727367617079E-5</v>
      </c>
      <c r="AI372" s="3">
        <f t="shared" ca="1" si="178"/>
        <v>1.3173880218256263E-2</v>
      </c>
      <c r="AJ372" s="3">
        <f t="shared" ca="1" si="179"/>
        <v>3.670431497912443E-4</v>
      </c>
      <c r="AK372" s="3">
        <f t="shared" ca="1" si="180"/>
        <v>0.26132929959870038</v>
      </c>
      <c r="AL372" s="3">
        <f t="shared" ca="1" si="181"/>
        <v>3.5209370947741242E-7</v>
      </c>
      <c r="AM372" s="3">
        <f t="shared" ca="1" si="182"/>
        <v>0.18884981119792668</v>
      </c>
      <c r="AN372" s="3">
        <f t="shared" ca="1" si="183"/>
        <v>2.2726810921988481</v>
      </c>
      <c r="AP372" s="3">
        <f t="shared" ca="1" si="184"/>
        <v>8.6966033130891027</v>
      </c>
      <c r="AQ372" s="3">
        <f t="shared" ca="1" si="191"/>
        <v>0.40064824417881661</v>
      </c>
      <c r="AR372" s="3">
        <f t="shared" ca="1" si="185"/>
        <v>1.4708131645995511E-4</v>
      </c>
      <c r="AS372" s="3">
        <f t="shared" ca="1" si="186"/>
        <v>0.18870343011130253</v>
      </c>
      <c r="AT372" s="3">
        <f t="shared" ca="1" si="187"/>
        <v>0.7085249265501703</v>
      </c>
      <c r="AU372" s="3">
        <f t="shared" ca="1" si="188"/>
        <v>5.2391297257870915E-2</v>
      </c>
      <c r="AV372" s="10">
        <f t="shared" ca="1" si="192"/>
        <v>0.7085249265501703</v>
      </c>
      <c r="AW372" s="10">
        <f t="shared" ca="1" si="193"/>
        <v>0.7085249265501703</v>
      </c>
      <c r="AY372" s="3">
        <f t="shared" ca="1" si="199"/>
        <v>8.6966180052860409</v>
      </c>
      <c r="AZ372" s="3">
        <f t="shared" ca="1" si="194"/>
        <v>0.40064892925064038</v>
      </c>
      <c r="BA372" s="3">
        <f t="shared" ca="1" si="189"/>
        <v>1.4705544495264444E-4</v>
      </c>
      <c r="BB372" s="3">
        <f t="shared" ca="1" si="195"/>
        <v>0.18870275575297404</v>
      </c>
      <c r="BC372" s="3">
        <f t="shared" ca="1" si="196"/>
        <v>0.70852307731172981</v>
      </c>
      <c r="BD372" s="3">
        <f t="shared" ca="1" si="190"/>
        <v>5.2391472174709186E-2</v>
      </c>
      <c r="BE372" s="3">
        <f t="shared" ca="1" si="197"/>
        <v>0.70852307731172981</v>
      </c>
      <c r="BF372" s="3">
        <f t="shared" ca="1" si="198"/>
        <v>0.70852307731172981</v>
      </c>
    </row>
    <row r="373" spans="1:58" ht="15" x14ac:dyDescent="0.25">
      <c r="A373" s="72">
        <v>307</v>
      </c>
      <c r="B373" s="72">
        <v>1498730281.2260001</v>
      </c>
      <c r="C373" s="73">
        <v>3.8202076581015298E-4</v>
      </c>
      <c r="D373" s="73">
        <v>8.3152135584973403E-5</v>
      </c>
      <c r="E373" s="73">
        <v>1.38655569654603E-2</v>
      </c>
      <c r="F373" s="73">
        <v>5.5899037194199401E-4</v>
      </c>
      <c r="G373" s="73">
        <v>0.25595222779885601</v>
      </c>
      <c r="H373" s="73">
        <v>5.5448302273780701E-5</v>
      </c>
      <c r="I373" s="73">
        <v>0.18499154492309799</v>
      </c>
      <c r="J373" s="73">
        <v>2.2222159708784601</v>
      </c>
      <c r="K373" s="73"/>
      <c r="L373" s="73"/>
      <c r="M373" s="73"/>
      <c r="O373" s="13">
        <f t="shared" ca="1" si="160"/>
        <v>1.173335365385914E-4</v>
      </c>
      <c r="P373" s="13">
        <f t="shared" ca="1" si="161"/>
        <v>7.1864660200133225E-5</v>
      </c>
      <c r="Q373" s="13">
        <f t="shared" ca="1" si="162"/>
        <v>1.3024817347487614E-2</v>
      </c>
      <c r="R373" s="13">
        <f t="shared" ca="1" si="163"/>
        <v>5.4921409305131287E-4</v>
      </c>
      <c r="S373" s="13">
        <f t="shared" ca="1" si="164"/>
        <v>0.25481714916561465</v>
      </c>
      <c r="T373" s="13">
        <f t="shared" ca="1" si="165"/>
        <v>5.5098480762756611E-5</v>
      </c>
      <c r="U373" s="13">
        <f t="shared" ca="1" si="166"/>
        <v>0.18433770092830948</v>
      </c>
      <c r="V373" s="13">
        <f t="shared" ca="1" si="167"/>
        <v>2.215077189956006</v>
      </c>
      <c r="X373" s="3">
        <f t="shared" ca="1" si="168"/>
        <v>1.173335365385914E-4</v>
      </c>
      <c r="Y373" s="3">
        <f t="shared" ca="1" si="169"/>
        <v>7.1864660200133225E-5</v>
      </c>
      <c r="Z373" s="3">
        <f t="shared" ca="1" si="170"/>
        <v>1.3024395802879158E-2</v>
      </c>
      <c r="AA373" s="3">
        <f t="shared" ca="1" si="171"/>
        <v>5.3901079741481412E-4</v>
      </c>
      <c r="AB373" s="3">
        <f t="shared" ca="1" si="172"/>
        <v>0.25474294773396705</v>
      </c>
      <c r="AC373" s="3">
        <f t="shared" ca="1" si="173"/>
        <v>5.5098480762756611E-5</v>
      </c>
      <c r="AD373" s="3">
        <f t="shared" ca="1" si="174"/>
        <v>0.18422812328150906</v>
      </c>
      <c r="AE373" s="3">
        <f t="shared" ca="1" si="175"/>
        <v>2.2150327258960476</v>
      </c>
      <c r="AG373" s="3">
        <f t="shared" ca="1" si="176"/>
        <v>1.173335365385914E-4</v>
      </c>
      <c r="AH373" s="3">
        <f t="shared" ca="1" si="177"/>
        <v>7.1864660200133225E-5</v>
      </c>
      <c r="AI373" s="3">
        <f t="shared" ca="1" si="178"/>
        <v>1.2966509200276501E-2</v>
      </c>
      <c r="AJ373" s="3">
        <f t="shared" ca="1" si="179"/>
        <v>5.0704565980742324E-4</v>
      </c>
      <c r="AK373" s="3">
        <f t="shared" ca="1" si="180"/>
        <v>0.25474294773396705</v>
      </c>
      <c r="AL373" s="3">
        <f t="shared" ca="1" si="181"/>
        <v>5.5098480762756611E-5</v>
      </c>
      <c r="AM373" s="3">
        <f t="shared" ca="1" si="182"/>
        <v>0.18422812328150906</v>
      </c>
      <c r="AN373" s="3">
        <f t="shared" ca="1" si="183"/>
        <v>2.2150327258960476</v>
      </c>
      <c r="AP373" s="3">
        <f t="shared" ca="1" si="184"/>
        <v>8.6928105004280898</v>
      </c>
      <c r="AQ373" s="3">
        <f t="shared" ca="1" si="191"/>
        <v>0.40047139233031892</v>
      </c>
      <c r="AR373" s="3">
        <f t="shared" ca="1" si="185"/>
        <v>2.1994453253169259E-4</v>
      </c>
      <c r="AS373" s="3">
        <f t="shared" ca="1" si="186"/>
        <v>0.18411775639577779</v>
      </c>
      <c r="AT373" s="3">
        <f t="shared" ca="1" si="187"/>
        <v>0.70913130513154776</v>
      </c>
      <c r="AU373" s="3">
        <f t="shared" ca="1" si="188"/>
        <v>5.3098638006932423E-2</v>
      </c>
      <c r="AV373" s="10">
        <f t="shared" ca="1" si="192"/>
        <v>0.70913130513154776</v>
      </c>
      <c r="AW373" s="10">
        <f t="shared" ca="1" si="193"/>
        <v>0.70913130513154776</v>
      </c>
      <c r="AY373" s="3">
        <f t="shared" ca="1" si="199"/>
        <v>8.6951679942451197</v>
      </c>
      <c r="AZ373" s="3">
        <f t="shared" ca="1" si="194"/>
        <v>0.4005813178023222</v>
      </c>
      <c r="BA373" s="3">
        <f t="shared" ca="1" si="189"/>
        <v>2.0311301859160557E-4</v>
      </c>
      <c r="BB373" s="3">
        <f t="shared" ca="1" si="195"/>
        <v>0.18402501026291745</v>
      </c>
      <c r="BC373" s="3">
        <f t="shared" ca="1" si="196"/>
        <v>0.70888373489209677</v>
      </c>
      <c r="BD373" s="3">
        <f t="shared" ca="1" si="190"/>
        <v>5.289100240346422E-2</v>
      </c>
      <c r="BE373" s="3">
        <f t="shared" ca="1" si="197"/>
        <v>0.70888373489209677</v>
      </c>
      <c r="BF373" s="3">
        <f t="shared" ca="1" si="198"/>
        <v>0.70888373489209677</v>
      </c>
    </row>
    <row r="374" spans="1:58" ht="15" x14ac:dyDescent="0.25">
      <c r="A374" s="72">
        <v>308</v>
      </c>
      <c r="B374" s="72">
        <v>1498730281.7520001</v>
      </c>
      <c r="C374" s="73">
        <v>3.29439676855161E-4</v>
      </c>
      <c r="D374" s="73">
        <v>9.8980388516591895E-5</v>
      </c>
      <c r="E374" s="73">
        <v>1.3623191398079999E-2</v>
      </c>
      <c r="F374" s="73">
        <v>4.9876087716565196E-4</v>
      </c>
      <c r="G374" s="73">
        <v>0.252467160862206</v>
      </c>
      <c r="H374" s="73">
        <v>7.4050520128464805E-5</v>
      </c>
      <c r="I374" s="73">
        <v>0.18248068878899801</v>
      </c>
      <c r="J374" s="73">
        <v>2.1912819188952199</v>
      </c>
      <c r="K374" s="73"/>
      <c r="L374" s="73"/>
      <c r="M374" s="73"/>
      <c r="O374" s="13">
        <f t="shared" ca="1" si="160"/>
        <v>6.4752447583599421E-5</v>
      </c>
      <c r="P374" s="13">
        <f t="shared" ca="1" si="161"/>
        <v>8.7692913131751717E-5</v>
      </c>
      <c r="Q374" s="13">
        <f t="shared" ca="1" si="162"/>
        <v>1.2782451780107314E-2</v>
      </c>
      <c r="R374" s="13">
        <f t="shared" ca="1" si="163"/>
        <v>4.8898459827497083E-4</v>
      </c>
      <c r="S374" s="13">
        <f t="shared" ca="1" si="164"/>
        <v>0.25133208222896464</v>
      </c>
      <c r="T374" s="13">
        <f t="shared" ca="1" si="165"/>
        <v>7.3700698617440715E-5</v>
      </c>
      <c r="U374" s="13">
        <f t="shared" ca="1" si="166"/>
        <v>0.18182684479420949</v>
      </c>
      <c r="V374" s="13">
        <f t="shared" ca="1" si="167"/>
        <v>2.1841431379727658</v>
      </c>
      <c r="X374" s="3">
        <f t="shared" ca="1" si="168"/>
        <v>6.4752447583599421E-5</v>
      </c>
      <c r="Y374" s="3">
        <f t="shared" ca="1" si="169"/>
        <v>8.7692913131751717E-5</v>
      </c>
      <c r="Z374" s="3">
        <f t="shared" ca="1" si="170"/>
        <v>1.2781887914612084E-2</v>
      </c>
      <c r="AA374" s="3">
        <f t="shared" ca="1" si="171"/>
        <v>4.7533649026545657E-4</v>
      </c>
      <c r="AB374" s="3">
        <f t="shared" ca="1" si="172"/>
        <v>0.25123282908667949</v>
      </c>
      <c r="AC374" s="3">
        <f t="shared" ca="1" si="173"/>
        <v>7.3700698617440715E-5</v>
      </c>
      <c r="AD374" s="3">
        <f t="shared" ca="1" si="174"/>
        <v>0.18168027180326224</v>
      </c>
      <c r="AE374" s="3">
        <f t="shared" ca="1" si="175"/>
        <v>2.1840836620627782</v>
      </c>
      <c r="AG374" s="3">
        <f t="shared" ca="1" si="176"/>
        <v>6.4752447583599421E-5</v>
      </c>
      <c r="AH374" s="3">
        <f t="shared" ca="1" si="177"/>
        <v>8.7692913131751717E-5</v>
      </c>
      <c r="AI374" s="3">
        <f t="shared" ca="1" si="178"/>
        <v>1.2711251738230114E-2</v>
      </c>
      <c r="AJ374" s="3">
        <f t="shared" ca="1" si="179"/>
        <v>4.3633100373503776E-4</v>
      </c>
      <c r="AK374" s="3">
        <f t="shared" ca="1" si="180"/>
        <v>0.25123282908667949</v>
      </c>
      <c r="AL374" s="3">
        <f t="shared" ca="1" si="181"/>
        <v>7.3700698617440715E-5</v>
      </c>
      <c r="AM374" s="3">
        <f t="shared" ca="1" si="182"/>
        <v>0.18168027180326224</v>
      </c>
      <c r="AN374" s="3">
        <f t="shared" ca="1" si="183"/>
        <v>2.1840836620627782</v>
      </c>
      <c r="AP374" s="3">
        <f t="shared" ca="1" si="184"/>
        <v>8.690267945908321</v>
      </c>
      <c r="AQ374" s="3">
        <f t="shared" ca="1" si="191"/>
        <v>0.40035283823349294</v>
      </c>
      <c r="AR374" s="3">
        <f t="shared" ca="1" si="185"/>
        <v>1.9576637177184892E-4</v>
      </c>
      <c r="AS374" s="3">
        <f t="shared" ca="1" si="186"/>
        <v>0.18163107842243764</v>
      </c>
      <c r="AT374" s="3">
        <f t="shared" ca="1" si="187"/>
        <v>0.70935861566122305</v>
      </c>
      <c r="AU374" s="3">
        <f t="shared" ca="1" si="188"/>
        <v>5.2817352385809112E-2</v>
      </c>
      <c r="AV374" s="10">
        <f t="shared" ca="1" si="192"/>
        <v>0.70935861566122305</v>
      </c>
      <c r="AW374" s="10">
        <f t="shared" ca="1" si="193"/>
        <v>0.70935861566122305</v>
      </c>
      <c r="AY374" s="3">
        <f t="shared" ca="1" si="199"/>
        <v>8.6934644250223894</v>
      </c>
      <c r="AZ374" s="3">
        <f t="shared" ca="1" si="194"/>
        <v>0.40050188355949762</v>
      </c>
      <c r="BA374" s="3">
        <f t="shared" ca="1" si="189"/>
        <v>1.7475138885128882E-4</v>
      </c>
      <c r="BB374" s="3">
        <f t="shared" ca="1" si="195"/>
        <v>0.18150552041441095</v>
      </c>
      <c r="BC374" s="3">
        <f t="shared" ca="1" si="196"/>
        <v>0.70901697709809786</v>
      </c>
      <c r="BD374" s="3">
        <f t="shared" ca="1" si="190"/>
        <v>5.2563678672847017E-2</v>
      </c>
      <c r="BE374" s="3">
        <f t="shared" ca="1" si="197"/>
        <v>0.70901697709809786</v>
      </c>
      <c r="BF374" s="3">
        <f t="shared" ca="1" si="198"/>
        <v>0.70901697709809786</v>
      </c>
    </row>
    <row r="375" spans="1:58" ht="15" x14ac:dyDescent="0.25">
      <c r="A375" s="72">
        <v>309</v>
      </c>
      <c r="B375" s="72">
        <v>1498730282.279</v>
      </c>
      <c r="C375" s="73">
        <v>3.2777425773407998E-4</v>
      </c>
      <c r="D375" s="73">
        <v>-3.3071479830632403E-5</v>
      </c>
      <c r="E375" s="73">
        <v>1.5069691025744699E-2</v>
      </c>
      <c r="F375" s="73">
        <v>5.1423451138462304E-4</v>
      </c>
      <c r="G375" s="73">
        <v>0.278866737493558</v>
      </c>
      <c r="H375" s="73">
        <v>2.37829181957813E-5</v>
      </c>
      <c r="I375" s="73">
        <v>0.20125405419680101</v>
      </c>
      <c r="J375" s="73">
        <v>2.4175006483707899</v>
      </c>
      <c r="K375" s="73"/>
      <c r="L375" s="73"/>
      <c r="M375" s="73"/>
      <c r="O375" s="13">
        <f t="shared" ca="1" si="160"/>
        <v>6.3087028462518395E-5</v>
      </c>
      <c r="P375" s="13">
        <f t="shared" ca="1" si="161"/>
        <v>-4.4358955215472575E-5</v>
      </c>
      <c r="Q375" s="13">
        <f t="shared" ca="1" si="162"/>
        <v>1.4228951407772014E-2</v>
      </c>
      <c r="R375" s="13">
        <f t="shared" ca="1" si="163"/>
        <v>5.0445823249394191E-4</v>
      </c>
      <c r="S375" s="13">
        <f t="shared" ca="1" si="164"/>
        <v>0.27773165886031664</v>
      </c>
      <c r="T375" s="13">
        <f t="shared" ca="1" si="165"/>
        <v>2.3433096684757213E-5</v>
      </c>
      <c r="U375" s="13">
        <f t="shared" ca="1" si="166"/>
        <v>0.20060021020201249</v>
      </c>
      <c r="V375" s="13">
        <f t="shared" ca="1" si="167"/>
        <v>2.4103618674483358</v>
      </c>
      <c r="X375" s="3">
        <f t="shared" ca="1" si="168"/>
        <v>6.3087028462518395E-5</v>
      </c>
      <c r="Y375" s="3">
        <f t="shared" ca="1" si="169"/>
        <v>-4.4358955215472575E-5</v>
      </c>
      <c r="Z375" s="3">
        <f t="shared" ca="1" si="170"/>
        <v>1.4228772127047207E-2</v>
      </c>
      <c r="AA375" s="3">
        <f t="shared" ca="1" si="171"/>
        <v>5.0011882404123458E-4</v>
      </c>
      <c r="AB375" s="3">
        <f t="shared" ca="1" si="172"/>
        <v>0.27770010137818874</v>
      </c>
      <c r="AC375" s="3">
        <f t="shared" ca="1" si="173"/>
        <v>2.3433096684757213E-5</v>
      </c>
      <c r="AD375" s="3">
        <f t="shared" ca="1" si="174"/>
        <v>0.20055360739996758</v>
      </c>
      <c r="AE375" s="3">
        <f t="shared" ca="1" si="175"/>
        <v>2.4103429571153905</v>
      </c>
      <c r="AG375" s="3">
        <f t="shared" ca="1" si="176"/>
        <v>6.3087028462518395E-5</v>
      </c>
      <c r="AH375" s="3">
        <f t="shared" ca="1" si="177"/>
        <v>-4.4358955215472575E-5</v>
      </c>
      <c r="AI375" s="3">
        <f t="shared" ca="1" si="178"/>
        <v>1.4228772127047207E-2</v>
      </c>
      <c r="AJ375" s="3">
        <f t="shared" ca="1" si="179"/>
        <v>5.0011882404123458E-4</v>
      </c>
      <c r="AK375" s="3">
        <f t="shared" ca="1" si="180"/>
        <v>0.27770010137818874</v>
      </c>
      <c r="AL375" s="3">
        <f t="shared" ca="1" si="181"/>
        <v>2.3433096684757213E-5</v>
      </c>
      <c r="AM375" s="3">
        <f t="shared" ca="1" si="182"/>
        <v>0.20055360739996758</v>
      </c>
      <c r="AN375" s="3">
        <f t="shared" ca="1" si="183"/>
        <v>2.4103429571153905</v>
      </c>
      <c r="AP375" s="3">
        <f t="shared" ca="1" si="184"/>
        <v>8.6787436381554617</v>
      </c>
      <c r="AQ375" s="3">
        <f t="shared" ca="1" si="191"/>
        <v>0.39981548870161554</v>
      </c>
      <c r="AR375" s="3">
        <f t="shared" ca="1" si="185"/>
        <v>2.0169021475411857E-4</v>
      </c>
      <c r="AS375" s="3">
        <f t="shared" ca="1" si="186"/>
        <v>0.20039851998725838</v>
      </c>
      <c r="AT375" s="3">
        <f t="shared" ca="1" si="187"/>
        <v>0.70873350089942266</v>
      </c>
      <c r="AU375" s="3">
        <f t="shared" ca="1" si="188"/>
        <v>5.3133471882826064E-2</v>
      </c>
      <c r="AV375" s="10">
        <f t="shared" ca="1" si="192"/>
        <v>0.70873350089942266</v>
      </c>
      <c r="AW375" s="10">
        <f t="shared" ca="1" si="193"/>
        <v>0.70873350089942266</v>
      </c>
      <c r="AY375" s="3">
        <f t="shared" ca="1" si="199"/>
        <v>8.679661783172488</v>
      </c>
      <c r="AZ375" s="3">
        <f t="shared" ca="1" si="194"/>
        <v>0.39985829918108218</v>
      </c>
      <c r="BA375" s="3">
        <f t="shared" ca="1" si="189"/>
        <v>1.9997666236957096E-4</v>
      </c>
      <c r="BB375" s="3">
        <f t="shared" ca="1" si="195"/>
        <v>0.20035363073759802</v>
      </c>
      <c r="BC375" s="3">
        <f t="shared" ca="1" si="196"/>
        <v>0.70861751462941469</v>
      </c>
      <c r="BD375" s="3">
        <f t="shared" ca="1" si="190"/>
        <v>5.3144592758249995E-2</v>
      </c>
      <c r="BE375" s="3">
        <f t="shared" ca="1" si="197"/>
        <v>0.70861751462941469</v>
      </c>
      <c r="BF375" s="3">
        <f t="shared" ca="1" si="198"/>
        <v>0.70861751462941469</v>
      </c>
    </row>
    <row r="376" spans="1:58" ht="15" x14ac:dyDescent="0.25">
      <c r="A376" s="72">
        <v>310</v>
      </c>
      <c r="B376" s="72">
        <v>1498730282.806</v>
      </c>
      <c r="C376" s="73">
        <v>3.7607253994126902E-4</v>
      </c>
      <c r="D376" s="73">
        <v>1.07485225720559E-4</v>
      </c>
      <c r="E376" s="73">
        <v>1.4682930391634701E-2</v>
      </c>
      <c r="F376" s="73">
        <v>5.3589800199359001E-4</v>
      </c>
      <c r="G376" s="73">
        <v>0.27029596506460801</v>
      </c>
      <c r="H376" s="73">
        <v>6.9630109228078699E-5</v>
      </c>
      <c r="I376" s="73">
        <v>0.19512721006381301</v>
      </c>
      <c r="J376" s="73">
        <v>2.3477925980814902</v>
      </c>
      <c r="K376" s="73"/>
      <c r="L376" s="73"/>
      <c r="M376" s="73"/>
      <c r="O376" s="13">
        <f t="shared" ca="1" si="160"/>
        <v>1.1138531066970744E-4</v>
      </c>
      <c r="P376" s="13">
        <f t="shared" ca="1" si="161"/>
        <v>9.6197750335718824E-5</v>
      </c>
      <c r="Q376" s="13">
        <f t="shared" ca="1" si="162"/>
        <v>1.3842190773662015E-2</v>
      </c>
      <c r="R376" s="13">
        <f t="shared" ca="1" si="163"/>
        <v>5.2612172310290888E-4</v>
      </c>
      <c r="S376" s="13">
        <f t="shared" ca="1" si="164"/>
        <v>0.26916088643136665</v>
      </c>
      <c r="T376" s="13">
        <f t="shared" ca="1" si="165"/>
        <v>6.9280287717054609E-5</v>
      </c>
      <c r="U376" s="13">
        <f t="shared" ca="1" si="166"/>
        <v>0.19447336606902449</v>
      </c>
      <c r="V376" s="13">
        <f t="shared" ca="1" si="167"/>
        <v>2.3406538171590361</v>
      </c>
      <c r="X376" s="3">
        <f t="shared" ca="1" si="168"/>
        <v>1.1138531066970744E-4</v>
      </c>
      <c r="Y376" s="3">
        <f t="shared" ca="1" si="169"/>
        <v>9.6197750335718824E-5</v>
      </c>
      <c r="Z376" s="3">
        <f t="shared" ca="1" si="170"/>
        <v>1.3841660727618003E-2</v>
      </c>
      <c r="AA376" s="3">
        <f t="shared" ca="1" si="171"/>
        <v>5.132921995375945E-4</v>
      </c>
      <c r="AB376" s="3">
        <f t="shared" ca="1" si="172"/>
        <v>0.26906758628111938</v>
      </c>
      <c r="AC376" s="3">
        <f t="shared" ca="1" si="173"/>
        <v>6.9280287717054609E-5</v>
      </c>
      <c r="AD376" s="3">
        <f t="shared" ca="1" si="174"/>
        <v>0.19433558421383362</v>
      </c>
      <c r="AE376" s="3">
        <f t="shared" ca="1" si="175"/>
        <v>2.3405979084874295</v>
      </c>
      <c r="AG376" s="3">
        <f t="shared" ca="1" si="176"/>
        <v>1.1138531066970744E-4</v>
      </c>
      <c r="AH376" s="3">
        <f t="shared" ca="1" si="177"/>
        <v>9.6197750335718824E-5</v>
      </c>
      <c r="AI376" s="3">
        <f t="shared" ca="1" si="178"/>
        <v>1.376417394998007E-2</v>
      </c>
      <c r="AJ376" s="3">
        <f t="shared" ca="1" si="179"/>
        <v>4.7050379257317966E-4</v>
      </c>
      <c r="AK376" s="3">
        <f t="shared" ca="1" si="180"/>
        <v>0.26906758628111938</v>
      </c>
      <c r="AL376" s="3">
        <f t="shared" ca="1" si="181"/>
        <v>6.9280287717054609E-5</v>
      </c>
      <c r="AM376" s="3">
        <f t="shared" ca="1" si="182"/>
        <v>0.19433558421383362</v>
      </c>
      <c r="AN376" s="3">
        <f t="shared" ca="1" si="183"/>
        <v>2.3405979084874295</v>
      </c>
      <c r="AP376" s="3">
        <f t="shared" ca="1" si="184"/>
        <v>8.6961142393022968</v>
      </c>
      <c r="AQ376" s="3">
        <f t="shared" ca="1" si="191"/>
        <v>0.40062543951898361</v>
      </c>
      <c r="AR376" s="3">
        <f t="shared" ca="1" si="185"/>
        <v>2.1077774655858786E-4</v>
      </c>
      <c r="AS376" s="3">
        <f t="shared" ca="1" si="186"/>
        <v>0.1942625883224659</v>
      </c>
      <c r="AT376" s="3">
        <f t="shared" ca="1" si="187"/>
        <v>0.70819646167960937</v>
      </c>
      <c r="AU376" s="3">
        <f t="shared" ca="1" si="188"/>
        <v>5.3444391146505732E-2</v>
      </c>
      <c r="AV376" s="10">
        <f t="shared" ca="1" si="192"/>
        <v>0.70819646167960937</v>
      </c>
      <c r="AW376" s="10">
        <f t="shared" ca="1" si="193"/>
        <v>0.70819646167960937</v>
      </c>
      <c r="AY376" s="3">
        <f t="shared" ca="1" si="199"/>
        <v>8.6989218613720123</v>
      </c>
      <c r="AZ376" s="3">
        <f t="shared" ca="1" si="194"/>
        <v>0.40075635426329753</v>
      </c>
      <c r="BA376" s="3">
        <f t="shared" ca="1" si="189"/>
        <v>1.8855738457868224E-4</v>
      </c>
      <c r="BB376" s="3">
        <f t="shared" ca="1" si="195"/>
        <v>0.19414702682925494</v>
      </c>
      <c r="BC376" s="3">
        <f t="shared" ca="1" si="196"/>
        <v>0.70790550957351717</v>
      </c>
      <c r="BD376" s="3">
        <f t="shared" ca="1" si="190"/>
        <v>5.3179160358675433E-2</v>
      </c>
      <c r="BE376" s="3">
        <f t="shared" ca="1" si="197"/>
        <v>0.70790550957351717</v>
      </c>
      <c r="BF376" s="3">
        <f t="shared" ca="1" si="198"/>
        <v>0.70790550957351717</v>
      </c>
    </row>
    <row r="377" spans="1:58" ht="15" x14ac:dyDescent="0.25">
      <c r="A377" s="72">
        <v>311</v>
      </c>
      <c r="B377" s="72">
        <v>1498730283.3329999</v>
      </c>
      <c r="C377" s="73">
        <v>3.7274154893063999E-4</v>
      </c>
      <c r="D377" s="73">
        <v>-1.4882910166764201E-5</v>
      </c>
      <c r="E377" s="73">
        <v>1.31309218982047E-2</v>
      </c>
      <c r="F377" s="73">
        <v>3.9568878419699602E-4</v>
      </c>
      <c r="G377" s="73">
        <v>0.24199672006047299</v>
      </c>
      <c r="H377" s="73">
        <v>3.1863719746815597E-5</v>
      </c>
      <c r="I377" s="73">
        <v>0.17490456528697601</v>
      </c>
      <c r="J377" s="73">
        <v>2.10587639456595</v>
      </c>
      <c r="K377" s="73"/>
      <c r="L377" s="73"/>
      <c r="M377" s="73"/>
      <c r="O377" s="13">
        <f t="shared" ca="1" si="160"/>
        <v>1.080543196590784E-4</v>
      </c>
      <c r="P377" s="13">
        <f t="shared" ca="1" si="161"/>
        <v>-2.6170385551604374E-5</v>
      </c>
      <c r="Q377" s="13">
        <f t="shared" ca="1" si="162"/>
        <v>1.2290182280232015E-2</v>
      </c>
      <c r="R377" s="13">
        <f t="shared" ca="1" si="163"/>
        <v>3.8591250530631489E-4</v>
      </c>
      <c r="S377" s="13">
        <f t="shared" ca="1" si="164"/>
        <v>0.24086164142723163</v>
      </c>
      <c r="T377" s="13">
        <f t="shared" ca="1" si="165"/>
        <v>3.1513898235791507E-5</v>
      </c>
      <c r="U377" s="13">
        <f t="shared" ca="1" si="166"/>
        <v>0.17425072129218749</v>
      </c>
      <c r="V377" s="13">
        <f t="shared" ca="1" si="167"/>
        <v>2.0987376136434959</v>
      </c>
      <c r="X377" s="3">
        <f t="shared" ca="1" si="168"/>
        <v>1.080543196590784E-4</v>
      </c>
      <c r="Y377" s="3">
        <f t="shared" ca="1" si="169"/>
        <v>-2.6170385551604374E-5</v>
      </c>
      <c r="Z377" s="3">
        <f t="shared" ca="1" si="170"/>
        <v>1.2289941175328415E-2</v>
      </c>
      <c r="AA377" s="3">
        <f t="shared" ca="1" si="171"/>
        <v>3.8007667070784687E-4</v>
      </c>
      <c r="AB377" s="3">
        <f t="shared" ca="1" si="172"/>
        <v>0.24081920148454136</v>
      </c>
      <c r="AC377" s="3">
        <f t="shared" ca="1" si="173"/>
        <v>3.1513898235791507E-5</v>
      </c>
      <c r="AD377" s="3">
        <f t="shared" ca="1" si="174"/>
        <v>0.1741880477163941</v>
      </c>
      <c r="AE377" s="3">
        <f t="shared" ca="1" si="175"/>
        <v>2.098712182164419</v>
      </c>
      <c r="AG377" s="3">
        <f t="shared" ca="1" si="176"/>
        <v>1.080543196590784E-4</v>
      </c>
      <c r="AH377" s="3">
        <f t="shared" ca="1" si="177"/>
        <v>-2.6170385551604374E-5</v>
      </c>
      <c r="AI377" s="3">
        <f t="shared" ca="1" si="178"/>
        <v>1.2289941175328415E-2</v>
      </c>
      <c r="AJ377" s="3">
        <f t="shared" ca="1" si="179"/>
        <v>3.8007667070784687E-4</v>
      </c>
      <c r="AK377" s="3">
        <f t="shared" ca="1" si="180"/>
        <v>0.24081920148454136</v>
      </c>
      <c r="AL377" s="3">
        <f t="shared" ca="1" si="181"/>
        <v>3.1513898235791507E-5</v>
      </c>
      <c r="AM377" s="3">
        <f t="shared" ca="1" si="182"/>
        <v>0.1741880477163941</v>
      </c>
      <c r="AN377" s="3">
        <f t="shared" ca="1" si="183"/>
        <v>2.098712182164419</v>
      </c>
      <c r="AP377" s="3">
        <f t="shared" ca="1" si="184"/>
        <v>8.7134572412916143</v>
      </c>
      <c r="AQ377" s="3">
        <f t="shared" ca="1" si="191"/>
        <v>0.40143412302822756</v>
      </c>
      <c r="AR377" s="3">
        <f t="shared" ca="1" si="185"/>
        <v>1.5491844813326672E-4</v>
      </c>
      <c r="AS377" s="3">
        <f t="shared" ca="1" si="186"/>
        <v>0.17409580284405424</v>
      </c>
      <c r="AT377" s="3">
        <f t="shared" ca="1" si="187"/>
        <v>0.70853522780405176</v>
      </c>
      <c r="AU377" s="3">
        <f t="shared" ca="1" si="188"/>
        <v>5.3135567298893023E-2</v>
      </c>
      <c r="AV377" s="10">
        <f t="shared" ca="1" si="192"/>
        <v>0.70853522780405176</v>
      </c>
      <c r="AW377" s="10">
        <f t="shared" ca="1" si="193"/>
        <v>0.70853522780405176</v>
      </c>
      <c r="AY377" s="3">
        <f t="shared" ca="1" si="199"/>
        <v>8.7148872233891996</v>
      </c>
      <c r="AZ377" s="3">
        <f t="shared" ca="1" si="194"/>
        <v>0.40150080226057433</v>
      </c>
      <c r="BA377" s="3">
        <f t="shared" ca="1" si="189"/>
        <v>1.5260108820972865E-4</v>
      </c>
      <c r="BB377" s="3">
        <f t="shared" ca="1" si="195"/>
        <v>0.17403544662818438</v>
      </c>
      <c r="BC377" s="3">
        <f t="shared" ca="1" si="196"/>
        <v>0.70835587285698753</v>
      </c>
      <c r="BD377" s="3">
        <f t="shared" ca="1" si="190"/>
        <v>5.3152813224244144E-2</v>
      </c>
      <c r="BE377" s="3">
        <f t="shared" ca="1" si="197"/>
        <v>0.70835587285698753</v>
      </c>
      <c r="BF377" s="3">
        <f t="shared" ca="1" si="198"/>
        <v>0.70835587285698753</v>
      </c>
    </row>
    <row r="378" spans="1:58" ht="15" x14ac:dyDescent="0.25">
      <c r="A378" s="72">
        <v>312</v>
      </c>
      <c r="B378" s="72">
        <v>1498730283.859</v>
      </c>
      <c r="C378" s="73">
        <v>3.45618178575916E-4</v>
      </c>
      <c r="D378" s="73">
        <v>2.8109580018049E-5</v>
      </c>
      <c r="E378" s="73">
        <v>1.31015186674428E-2</v>
      </c>
      <c r="F378" s="73">
        <v>5.2470910752038002E-4</v>
      </c>
      <c r="G378" s="73">
        <v>0.24124622041952801</v>
      </c>
      <c r="H378" s="73">
        <v>8.0031389547085405E-5</v>
      </c>
      <c r="I378" s="73">
        <v>0.174384869714795</v>
      </c>
      <c r="J378" s="73">
        <v>2.0967429588617601</v>
      </c>
      <c r="K378" s="73"/>
      <c r="L378" s="73"/>
      <c r="M378" s="73"/>
      <c r="O378" s="13">
        <f t="shared" ca="1" si="160"/>
        <v>8.0930949304354417E-5</v>
      </c>
      <c r="P378" s="13">
        <f t="shared" ca="1" si="161"/>
        <v>1.6822104633208825E-5</v>
      </c>
      <c r="Q378" s="13">
        <f t="shared" ca="1" si="162"/>
        <v>1.2260779049470115E-2</v>
      </c>
      <c r="R378" s="13">
        <f t="shared" ca="1" si="163"/>
        <v>5.1493282862969888E-4</v>
      </c>
      <c r="S378" s="13">
        <f t="shared" ca="1" si="164"/>
        <v>0.24011114178628665</v>
      </c>
      <c r="T378" s="13">
        <f t="shared" ca="1" si="165"/>
        <v>7.9681568036061315E-5</v>
      </c>
      <c r="U378" s="13">
        <f t="shared" ca="1" si="166"/>
        <v>0.17373102572000648</v>
      </c>
      <c r="V378" s="13">
        <f t="shared" ca="1" si="167"/>
        <v>2.089604177939306</v>
      </c>
      <c r="X378" s="3">
        <f t="shared" ca="1" si="168"/>
        <v>8.0930949304354417E-5</v>
      </c>
      <c r="Y378" s="3">
        <f t="shared" ca="1" si="169"/>
        <v>1.6822104633208825E-5</v>
      </c>
      <c r="Z378" s="3">
        <f t="shared" ca="1" si="170"/>
        <v>1.2260169425848302E-2</v>
      </c>
      <c r="AA378" s="3">
        <f t="shared" ca="1" si="171"/>
        <v>5.0017716596537955E-4</v>
      </c>
      <c r="AB378" s="3">
        <f t="shared" ca="1" si="172"/>
        <v>0.24000383417376536</v>
      </c>
      <c r="AC378" s="3">
        <f t="shared" ca="1" si="173"/>
        <v>7.9681568036061315E-5</v>
      </c>
      <c r="AD378" s="3">
        <f t="shared" ca="1" si="174"/>
        <v>0.17357255821604109</v>
      </c>
      <c r="AE378" s="3">
        <f t="shared" ca="1" si="175"/>
        <v>2.0895398755126382</v>
      </c>
      <c r="AG378" s="3">
        <f t="shared" ca="1" si="176"/>
        <v>8.0930949304354417E-5</v>
      </c>
      <c r="AH378" s="3">
        <f t="shared" ca="1" si="177"/>
        <v>1.6822104633208825E-5</v>
      </c>
      <c r="AI378" s="3">
        <f t="shared" ca="1" si="178"/>
        <v>1.2246619309795001E-2</v>
      </c>
      <c r="AJ378" s="3">
        <f t="shared" ca="1" si="179"/>
        <v>4.9269475544609274E-4</v>
      </c>
      <c r="AK378" s="3">
        <f t="shared" ca="1" si="180"/>
        <v>0.24000383417376536</v>
      </c>
      <c r="AL378" s="3">
        <f t="shared" ca="1" si="181"/>
        <v>7.9681568036061315E-5</v>
      </c>
      <c r="AM378" s="3">
        <f t="shared" ca="1" si="182"/>
        <v>0.17357255821604109</v>
      </c>
      <c r="AN378" s="3">
        <f t="shared" ca="1" si="183"/>
        <v>2.0895398755126382</v>
      </c>
      <c r="AP378" s="3">
        <f t="shared" ca="1" si="184"/>
        <v>8.7026539559716856</v>
      </c>
      <c r="AQ378" s="3">
        <f t="shared" ca="1" si="191"/>
        <v>0.40093037641641793</v>
      </c>
      <c r="AR378" s="3">
        <f t="shared" ca="1" si="185"/>
        <v>2.06452212811676E-4</v>
      </c>
      <c r="AS378" s="3">
        <f t="shared" ca="1" si="186"/>
        <v>0.1735245735071948</v>
      </c>
      <c r="AT378" s="3">
        <f t="shared" ca="1" si="187"/>
        <v>0.70886052469753258</v>
      </c>
      <c r="AU378" s="3">
        <f t="shared" ca="1" si="188"/>
        <v>5.3106670689957614E-2</v>
      </c>
      <c r="AV378" s="10">
        <f t="shared" ca="1" si="192"/>
        <v>0.70886052469753258</v>
      </c>
      <c r="AW378" s="10">
        <f t="shared" ca="1" si="193"/>
        <v>0.70886052469753258</v>
      </c>
      <c r="AY378" s="3">
        <f t="shared" ca="1" si="199"/>
        <v>8.7062770588897713</v>
      </c>
      <c r="AZ378" s="3">
        <f t="shared" ca="1" si="194"/>
        <v>0.40109931731154996</v>
      </c>
      <c r="BA378" s="3">
        <f t="shared" ca="1" si="189"/>
        <v>1.9761953005240887E-4</v>
      </c>
      <c r="BB378" s="3">
        <f t="shared" ca="1" si="195"/>
        <v>0.17337493868598869</v>
      </c>
      <c r="BC378" s="3">
        <f t="shared" ca="1" si="196"/>
        <v>0.70841741023259708</v>
      </c>
      <c r="BD378" s="3">
        <f t="shared" ca="1" si="190"/>
        <v>5.309166339557489E-2</v>
      </c>
      <c r="BE378" s="3">
        <f t="shared" ca="1" si="197"/>
        <v>0.70841741023259708</v>
      </c>
      <c r="BF378" s="3">
        <f t="shared" ca="1" si="198"/>
        <v>0.70841741023259708</v>
      </c>
    </row>
    <row r="379" spans="1:58" ht="15" x14ac:dyDescent="0.25">
      <c r="A379" s="72">
        <v>313</v>
      </c>
      <c r="B379" s="72">
        <v>1498730284.3859999</v>
      </c>
      <c r="C379" s="73">
        <v>4.2461109806944702E-4</v>
      </c>
      <c r="D379" s="73">
        <v>-6.8514875685325603E-6</v>
      </c>
      <c r="E379" s="73">
        <v>1.1867354248534299E-2</v>
      </c>
      <c r="F379" s="73">
        <v>2.9310333641159299E-4</v>
      </c>
      <c r="G379" s="73">
        <v>0.217132346973373</v>
      </c>
      <c r="H379" s="73">
        <v>-3.4440820138748502E-5</v>
      </c>
      <c r="I379" s="73">
        <v>0.156959684315474</v>
      </c>
      <c r="J379" s="73">
        <v>1.8856041943926101</v>
      </c>
      <c r="K379" s="73"/>
      <c r="L379" s="73"/>
      <c r="M379" s="73"/>
      <c r="O379" s="13">
        <f t="shared" ca="1" si="160"/>
        <v>1.5992386879788543E-4</v>
      </c>
      <c r="P379" s="13">
        <f t="shared" ca="1" si="161"/>
        <v>-1.8138962953372733E-5</v>
      </c>
      <c r="Q379" s="13">
        <f t="shared" ca="1" si="162"/>
        <v>1.1026614630561614E-2</v>
      </c>
      <c r="R379" s="13">
        <f t="shared" ca="1" si="163"/>
        <v>2.8332705752091185E-4</v>
      </c>
      <c r="S379" s="13">
        <f t="shared" ca="1" si="164"/>
        <v>0.21599726834013164</v>
      </c>
      <c r="T379" s="13">
        <f t="shared" ca="1" si="165"/>
        <v>-3.4790641649772591E-5</v>
      </c>
      <c r="U379" s="13">
        <f t="shared" ca="1" si="166"/>
        <v>0.15630584032068548</v>
      </c>
      <c r="V379" s="13">
        <f t="shared" ca="1" si="167"/>
        <v>1.8784654134701559</v>
      </c>
      <c r="X379" s="3">
        <f t="shared" ca="1" si="168"/>
        <v>1.5992386879788543E-4</v>
      </c>
      <c r="Y379" s="3">
        <f t="shared" ca="1" si="169"/>
        <v>-1.8138962953372733E-5</v>
      </c>
      <c r="Z379" s="3">
        <f t="shared" ca="1" si="170"/>
        <v>1.1026614630561614E-2</v>
      </c>
      <c r="AA379" s="3">
        <f t="shared" ca="1" si="171"/>
        <v>2.8332705752091185E-4</v>
      </c>
      <c r="AB379" s="3">
        <f t="shared" ca="1" si="172"/>
        <v>0.21599726834013164</v>
      </c>
      <c r="AC379" s="3">
        <f t="shared" ca="1" si="173"/>
        <v>-3.4790641649772591E-5</v>
      </c>
      <c r="AD379" s="3">
        <f t="shared" ca="1" si="174"/>
        <v>0.15630584032068548</v>
      </c>
      <c r="AE379" s="3">
        <f t="shared" ca="1" si="175"/>
        <v>1.8784654134701559</v>
      </c>
      <c r="AG379" s="3">
        <f t="shared" ca="1" si="176"/>
        <v>1.5992386879788543E-4</v>
      </c>
      <c r="AH379" s="3">
        <f t="shared" ca="1" si="177"/>
        <v>-1.8138962953372733E-5</v>
      </c>
      <c r="AI379" s="3">
        <f t="shared" ca="1" si="178"/>
        <v>1.1026614630561614E-2</v>
      </c>
      <c r="AJ379" s="3">
        <f t="shared" ca="1" si="179"/>
        <v>2.8332705752091185E-4</v>
      </c>
      <c r="AK379" s="3">
        <f t="shared" ca="1" si="180"/>
        <v>0.21599726834013164</v>
      </c>
      <c r="AL379" s="3">
        <f t="shared" ca="1" si="181"/>
        <v>-3.4790641649772591E-5</v>
      </c>
      <c r="AM379" s="3">
        <f t="shared" ca="1" si="182"/>
        <v>0.15630584032068548</v>
      </c>
      <c r="AN379" s="3">
        <f t="shared" ca="1" si="183"/>
        <v>1.8784654134701559</v>
      </c>
      <c r="AP379" s="3">
        <f t="shared" ca="1" si="184"/>
        <v>8.6967091200066946</v>
      </c>
      <c r="AQ379" s="3">
        <f t="shared" ca="1" si="191"/>
        <v>0.40065317777335746</v>
      </c>
      <c r="AR379" s="3">
        <f t="shared" ca="1" si="185"/>
        <v>1.1351588594492818E-4</v>
      </c>
      <c r="AS379" s="3">
        <f t="shared" ca="1" si="186"/>
        <v>0.15619232443474054</v>
      </c>
      <c r="AT379" s="3">
        <f t="shared" ca="1" si="187"/>
        <v>0.70953365519531086</v>
      </c>
      <c r="AU379" s="3">
        <f t="shared" ca="1" si="188"/>
        <v>5.3055888273334385E-2</v>
      </c>
      <c r="AV379" s="10" t="str">
        <f t="shared" ca="1" si="192"/>
        <v>rejected</v>
      </c>
      <c r="AW379" s="10" t="e">
        <f t="shared" ca="1" si="193"/>
        <v>#N/A</v>
      </c>
      <c r="AY379" s="3">
        <f t="shared" ca="1" si="199"/>
        <v>8.6967091200066946</v>
      </c>
      <c r="AZ379" s="3">
        <f t="shared" ca="1" si="194"/>
        <v>0.40065317777335746</v>
      </c>
      <c r="BA379" s="3">
        <f t="shared" ca="1" si="189"/>
        <v>1.1351588594492818E-4</v>
      </c>
      <c r="BB379" s="3">
        <f t="shared" ca="1" si="195"/>
        <v>0.15619232443474054</v>
      </c>
      <c r="BC379" s="3">
        <f t="shared" ca="1" si="196"/>
        <v>0.70953365519531086</v>
      </c>
      <c r="BD379" s="3">
        <f t="shared" ca="1" si="190"/>
        <v>5.3055888273334385E-2</v>
      </c>
      <c r="BE379" s="3" t="str">
        <f t="shared" ca="1" si="197"/>
        <v>rejected</v>
      </c>
      <c r="BF379" s="3" t="e">
        <f t="shared" ca="1" si="198"/>
        <v>#N/A</v>
      </c>
    </row>
    <row r="380" spans="1:58" ht="15" x14ac:dyDescent="0.25">
      <c r="A380" s="72">
        <v>314</v>
      </c>
      <c r="B380" s="72">
        <v>1498730284.9130001</v>
      </c>
      <c r="C380" s="73">
        <v>2.6544199663092898E-4</v>
      </c>
      <c r="D380" s="73">
        <v>2.0314100121065399E-5</v>
      </c>
      <c r="E380" s="73">
        <v>1.41448919711137E-2</v>
      </c>
      <c r="F380" s="73">
        <v>7.60416562667228E-4</v>
      </c>
      <c r="G380" s="73">
        <v>0.26230623411029103</v>
      </c>
      <c r="H380" s="73">
        <v>4.4246108024822699E-5</v>
      </c>
      <c r="I380" s="73">
        <v>0.18917618857203899</v>
      </c>
      <c r="J380" s="73">
        <v>2.2704750169069001</v>
      </c>
      <c r="K380" s="73"/>
      <c r="L380" s="73"/>
      <c r="M380" s="73"/>
      <c r="O380" s="13">
        <f t="shared" ca="1" si="160"/>
        <v>7.5476735936740036E-7</v>
      </c>
      <c r="P380" s="13">
        <f t="shared" ca="1" si="161"/>
        <v>9.0266247362252253E-6</v>
      </c>
      <c r="Q380" s="13">
        <f t="shared" ca="1" si="162"/>
        <v>1.3304152353141014E-2</v>
      </c>
      <c r="R380" s="13">
        <f t="shared" ca="1" si="163"/>
        <v>7.5064028377654687E-4</v>
      </c>
      <c r="S380" s="13">
        <f t="shared" ca="1" si="164"/>
        <v>0.26117115547704967</v>
      </c>
      <c r="T380" s="13">
        <f t="shared" ca="1" si="165"/>
        <v>4.3896286513798609E-5</v>
      </c>
      <c r="U380" s="13">
        <f t="shared" ca="1" si="166"/>
        <v>0.18852234457725048</v>
      </c>
      <c r="V380" s="13">
        <f t="shared" ca="1" si="167"/>
        <v>2.263336235984446</v>
      </c>
      <c r="X380" s="3">
        <f t="shared" ca="1" si="168"/>
        <v>7.5476735936740036E-7</v>
      </c>
      <c r="Y380" s="3">
        <f t="shared" ca="1" si="169"/>
        <v>9.0266247362252253E-6</v>
      </c>
      <c r="Z380" s="3">
        <f t="shared" ca="1" si="170"/>
        <v>1.3303816513701251E-2</v>
      </c>
      <c r="AA380" s="3">
        <f t="shared" ca="1" si="171"/>
        <v>7.4251144279137969E-4</v>
      </c>
      <c r="AB380" s="3">
        <f t="shared" ca="1" si="172"/>
        <v>0.26111204010293687</v>
      </c>
      <c r="AC380" s="3">
        <f t="shared" ca="1" si="173"/>
        <v>4.3896286513798609E-5</v>
      </c>
      <c r="AD380" s="3">
        <f t="shared" ca="1" si="174"/>
        <v>0.18843504540469852</v>
      </c>
      <c r="AE380" s="3">
        <f t="shared" ca="1" si="175"/>
        <v>2.2633008120110718</v>
      </c>
      <c r="AG380" s="3">
        <f t="shared" ca="1" si="176"/>
        <v>7.5476735936740036E-7</v>
      </c>
      <c r="AH380" s="3">
        <f t="shared" ca="1" si="177"/>
        <v>9.0266247362252253E-6</v>
      </c>
      <c r="AI380" s="3">
        <f t="shared" ca="1" si="178"/>
        <v>1.3296545615355749E-2</v>
      </c>
      <c r="AJ380" s="3">
        <f t="shared" ca="1" si="179"/>
        <v>7.38496433174411E-4</v>
      </c>
      <c r="AK380" s="3">
        <f t="shared" ca="1" si="180"/>
        <v>0.26111204010293687</v>
      </c>
      <c r="AL380" s="3">
        <f t="shared" ca="1" si="181"/>
        <v>4.3896286513798609E-5</v>
      </c>
      <c r="AM380" s="3">
        <f t="shared" ca="1" si="182"/>
        <v>0.18843504540469852</v>
      </c>
      <c r="AN380" s="3">
        <f t="shared" ca="1" si="183"/>
        <v>2.2633008120110718</v>
      </c>
      <c r="AP380" s="3">
        <f t="shared" ca="1" si="184"/>
        <v>8.6661033905152518</v>
      </c>
      <c r="AQ380" s="3">
        <f t="shared" ca="1" si="191"/>
        <v>0.39922611564728794</v>
      </c>
      <c r="AR380" s="3">
        <f t="shared" ca="1" si="185"/>
        <v>2.9967520474048873E-4</v>
      </c>
      <c r="AS380" s="3">
        <f t="shared" ca="1" si="186"/>
        <v>0.18822266937250998</v>
      </c>
      <c r="AT380" s="3">
        <f t="shared" ca="1" si="187"/>
        <v>0.70840126723788444</v>
      </c>
      <c r="AU380" s="3">
        <f t="shared" ca="1" si="188"/>
        <v>5.2751519575756141E-2</v>
      </c>
      <c r="AV380" s="10">
        <f t="shared" ca="1" si="192"/>
        <v>0.70840126723788444</v>
      </c>
      <c r="AW380" s="10">
        <f t="shared" ca="1" si="193"/>
        <v>0.70840126723788444</v>
      </c>
      <c r="AY380" s="3">
        <f t="shared" ca="1" si="199"/>
        <v>8.6679297175221119</v>
      </c>
      <c r="AZ380" s="3">
        <f t="shared" ca="1" si="194"/>
        <v>0.39931127060753557</v>
      </c>
      <c r="BA380" s="3">
        <f t="shared" ca="1" si="189"/>
        <v>2.9488994907000705E-4</v>
      </c>
      <c r="BB380" s="3">
        <f t="shared" ca="1" si="195"/>
        <v>0.18814015545562851</v>
      </c>
      <c r="BC380" s="3">
        <f t="shared" ca="1" si="196"/>
        <v>0.70817587155776029</v>
      </c>
      <c r="BD380" s="3">
        <f t="shared" ca="1" si="190"/>
        <v>5.2744666206051068E-2</v>
      </c>
      <c r="BE380" s="3">
        <f t="shared" ca="1" si="197"/>
        <v>0.70817587155776029</v>
      </c>
      <c r="BF380" s="3">
        <f t="shared" ca="1" si="198"/>
        <v>0.70817587155776029</v>
      </c>
    </row>
    <row r="381" spans="1:58" ht="15" x14ac:dyDescent="0.25">
      <c r="A381" s="72">
        <v>315</v>
      </c>
      <c r="B381" s="72">
        <v>1498730285.4389999</v>
      </c>
      <c r="C381" s="73">
        <v>3.6465204559041001E-4</v>
      </c>
      <c r="D381" s="73">
        <v>1.6770720415151999E-5</v>
      </c>
      <c r="E381" s="73">
        <v>1.37727035949244E-2</v>
      </c>
      <c r="F381" s="73">
        <v>4.9780866135049897E-4</v>
      </c>
      <c r="G381" s="73">
        <v>0.25170651404336097</v>
      </c>
      <c r="H381" s="73">
        <v>6.3957143172940095E-5</v>
      </c>
      <c r="I381" s="73">
        <v>0.18224507418196301</v>
      </c>
      <c r="J381" s="73">
        <v>2.1900226147314998</v>
      </c>
      <c r="K381" s="73"/>
      <c r="L381" s="73"/>
      <c r="M381" s="73"/>
      <c r="O381" s="13">
        <f t="shared" ca="1" si="160"/>
        <v>9.9964816318848422E-5</v>
      </c>
      <c r="P381" s="13">
        <f t="shared" ca="1" si="161"/>
        <v>5.4832450303118262E-6</v>
      </c>
      <c r="Q381" s="13">
        <f t="shared" ca="1" si="162"/>
        <v>1.2931963976951715E-2</v>
      </c>
      <c r="R381" s="13">
        <f t="shared" ca="1" si="163"/>
        <v>4.8803238245981784E-4</v>
      </c>
      <c r="S381" s="13">
        <f t="shared" ca="1" si="164"/>
        <v>0.25057143541011961</v>
      </c>
      <c r="T381" s="13">
        <f t="shared" ca="1" si="165"/>
        <v>6.3607321661916005E-5</v>
      </c>
      <c r="U381" s="13">
        <f t="shared" ca="1" si="166"/>
        <v>0.18159123018717449</v>
      </c>
      <c r="V381" s="13">
        <f t="shared" ca="1" si="167"/>
        <v>2.1828838338090457</v>
      </c>
      <c r="X381" s="3">
        <f t="shared" ca="1" si="168"/>
        <v>9.9964816318848422E-5</v>
      </c>
      <c r="Y381" s="3">
        <f t="shared" ca="1" si="169"/>
        <v>5.4832450303118262E-6</v>
      </c>
      <c r="Z381" s="3">
        <f t="shared" ca="1" si="170"/>
        <v>1.2931477333343148E-2</v>
      </c>
      <c r="AA381" s="3">
        <f t="shared" ca="1" si="171"/>
        <v>4.7625339511610341E-4</v>
      </c>
      <c r="AB381" s="3">
        <f t="shared" ca="1" si="172"/>
        <v>0.25048577507492986</v>
      </c>
      <c r="AC381" s="3">
        <f t="shared" ca="1" si="173"/>
        <v>6.3607321661916005E-5</v>
      </c>
      <c r="AD381" s="3">
        <f t="shared" ca="1" si="174"/>
        <v>0.18146473049915221</v>
      </c>
      <c r="AE381" s="3">
        <f t="shared" ca="1" si="175"/>
        <v>2.1828325031784179</v>
      </c>
      <c r="AG381" s="3">
        <f t="shared" ca="1" si="176"/>
        <v>9.9964816318848422E-5</v>
      </c>
      <c r="AH381" s="3">
        <f t="shared" ca="1" si="177"/>
        <v>5.4832450303118262E-6</v>
      </c>
      <c r="AI381" s="3">
        <f t="shared" ca="1" si="178"/>
        <v>1.2927060608555767E-2</v>
      </c>
      <c r="AJ381" s="3">
        <f t="shared" ca="1" si="179"/>
        <v>4.7381446781246279E-4</v>
      </c>
      <c r="AK381" s="3">
        <f t="shared" ca="1" si="180"/>
        <v>0.25048577507492986</v>
      </c>
      <c r="AL381" s="3">
        <f t="shared" ca="1" si="181"/>
        <v>6.3607321661916005E-5</v>
      </c>
      <c r="AM381" s="3">
        <f t="shared" ca="1" si="182"/>
        <v>0.18146473049915221</v>
      </c>
      <c r="AN381" s="3">
        <f t="shared" ca="1" si="183"/>
        <v>2.1828325031784179</v>
      </c>
      <c r="AP381" s="3">
        <f t="shared" ca="1" si="184"/>
        <v>8.7116228162090312</v>
      </c>
      <c r="AQ381" s="3">
        <f t="shared" ca="1" si="191"/>
        <v>0.40134858504939219</v>
      </c>
      <c r="AR381" s="3">
        <f t="shared" ca="1" si="185"/>
        <v>1.9587110615853169E-4</v>
      </c>
      <c r="AS381" s="3">
        <f t="shared" ca="1" si="186"/>
        <v>0.18139535908101595</v>
      </c>
      <c r="AT381" s="3">
        <f t="shared" ca="1" si="187"/>
        <v>0.70971085550824597</v>
      </c>
      <c r="AU381" s="3">
        <f t="shared" ca="1" si="188"/>
        <v>5.3732122696702536E-2</v>
      </c>
      <c r="AV381" s="10" t="str">
        <f t="shared" ca="1" si="192"/>
        <v>rejected</v>
      </c>
      <c r="AW381" s="10" t="e">
        <f t="shared" ca="1" si="193"/>
        <v>#N/A</v>
      </c>
      <c r="AY381" s="3">
        <f t="shared" ca="1" si="199"/>
        <v>8.7143970651644764</v>
      </c>
      <c r="AZ381" s="3">
        <f t="shared" ca="1" si="194"/>
        <v>0.40147794645308954</v>
      </c>
      <c r="BA381" s="3">
        <f t="shared" ca="1" si="189"/>
        <v>1.9022605953711104E-4</v>
      </c>
      <c r="BB381" s="3">
        <f t="shared" ca="1" si="195"/>
        <v>0.1812745044396151</v>
      </c>
      <c r="BC381" s="3">
        <f t="shared" ca="1" si="196"/>
        <v>0.70936680069795377</v>
      </c>
      <c r="BD381" s="3">
        <f t="shared" ca="1" si="190"/>
        <v>5.3747625897413748E-2</v>
      </c>
      <c r="BE381" s="3">
        <f t="shared" ca="1" si="197"/>
        <v>0.70936680069795377</v>
      </c>
      <c r="BF381" s="3">
        <f t="shared" ca="1" si="198"/>
        <v>0.70936680069795377</v>
      </c>
    </row>
    <row r="382" spans="1:58" ht="15" x14ac:dyDescent="0.25">
      <c r="A382" s="72">
        <v>316</v>
      </c>
      <c r="B382" s="72">
        <v>1498730285.9660001</v>
      </c>
      <c r="C382" s="73">
        <v>2.28092086116398E-4</v>
      </c>
      <c r="D382" s="73">
        <v>-1.33929314974459E-4</v>
      </c>
      <c r="E382" s="73">
        <v>1.17263064832461E-2</v>
      </c>
      <c r="F382" s="73">
        <v>3.4022944954406701E-4</v>
      </c>
      <c r="G382" s="73">
        <v>0.21559971268087399</v>
      </c>
      <c r="H382" s="73">
        <v>-2.5585457727582799E-5</v>
      </c>
      <c r="I382" s="73">
        <v>0.15563156282468699</v>
      </c>
      <c r="J382" s="73">
        <v>1.8754817630348899</v>
      </c>
      <c r="K382" s="73"/>
      <c r="L382" s="73"/>
      <c r="M382" s="73"/>
      <c r="O382" s="13">
        <f t="shared" ca="1" si="160"/>
        <v>-3.6595143155163584E-5</v>
      </c>
      <c r="P382" s="13">
        <f t="shared" ca="1" si="161"/>
        <v>-1.4521679035929918E-4</v>
      </c>
      <c r="Q382" s="13">
        <f t="shared" ca="1" si="162"/>
        <v>1.0885566865273415E-2</v>
      </c>
      <c r="R382" s="13">
        <f t="shared" ca="1" si="163"/>
        <v>3.3045317065338587E-4</v>
      </c>
      <c r="S382" s="13">
        <f t="shared" ca="1" si="164"/>
        <v>0.21446463404763264</v>
      </c>
      <c r="T382" s="13">
        <f t="shared" ca="1" si="165"/>
        <v>-2.5935279238606886E-5</v>
      </c>
      <c r="U382" s="13">
        <f t="shared" ca="1" si="166"/>
        <v>0.15497771882989847</v>
      </c>
      <c r="V382" s="13">
        <f t="shared" ca="1" si="167"/>
        <v>1.8683429821124358</v>
      </c>
      <c r="X382" s="3">
        <f t="shared" ca="1" si="168"/>
        <v>-3.6595143155163584E-5</v>
      </c>
      <c r="Y382" s="3">
        <f t="shared" ca="1" si="169"/>
        <v>-1.4521679035929918E-4</v>
      </c>
      <c r="Z382" s="3">
        <f t="shared" ca="1" si="170"/>
        <v>1.0885566865273415E-2</v>
      </c>
      <c r="AA382" s="3">
        <f t="shared" ca="1" si="171"/>
        <v>3.3045317065338587E-4</v>
      </c>
      <c r="AB382" s="3">
        <f t="shared" ca="1" si="172"/>
        <v>0.21446463404763264</v>
      </c>
      <c r="AC382" s="3">
        <f t="shared" ca="1" si="173"/>
        <v>-2.5935279238606886E-5</v>
      </c>
      <c r="AD382" s="3">
        <f t="shared" ca="1" si="174"/>
        <v>0.15497771882989847</v>
      </c>
      <c r="AE382" s="3">
        <f t="shared" ca="1" si="175"/>
        <v>1.8683429821124358</v>
      </c>
      <c r="AG382" s="3">
        <f t="shared" ca="1" si="176"/>
        <v>-3.6595143155163584E-5</v>
      </c>
      <c r="AH382" s="3">
        <f t="shared" ca="1" si="177"/>
        <v>-1.4521679035929918E-4</v>
      </c>
      <c r="AI382" s="3">
        <f t="shared" ca="1" si="178"/>
        <v>1.0885566865273415E-2</v>
      </c>
      <c r="AJ382" s="3">
        <f t="shared" ca="1" si="179"/>
        <v>3.3045317065338587E-4</v>
      </c>
      <c r="AK382" s="3">
        <f t="shared" ca="1" si="180"/>
        <v>0.21446463404763264</v>
      </c>
      <c r="AL382" s="3">
        <f t="shared" ca="1" si="181"/>
        <v>-2.5935279238606886E-5</v>
      </c>
      <c r="AM382" s="3">
        <f t="shared" ca="1" si="182"/>
        <v>0.15497771882989847</v>
      </c>
      <c r="AN382" s="3">
        <f t="shared" ca="1" si="183"/>
        <v>1.8683429821124358</v>
      </c>
      <c r="AP382" s="3">
        <f t="shared" ca="1" si="184"/>
        <v>8.7116600385379925</v>
      </c>
      <c r="AQ382" s="3">
        <f t="shared" ca="1" si="191"/>
        <v>0.40135032069879756</v>
      </c>
      <c r="AR382" s="3">
        <f t="shared" ca="1" si="185"/>
        <v>1.3262748601767089E-4</v>
      </c>
      <c r="AS382" s="3">
        <f t="shared" ca="1" si="186"/>
        <v>0.1548450913438808</v>
      </c>
      <c r="AT382" s="3">
        <f t="shared" ca="1" si="187"/>
        <v>0.70782787185054041</v>
      </c>
      <c r="AU382" s="3">
        <f t="shared" ca="1" si="188"/>
        <v>5.2844322616774894E-2</v>
      </c>
      <c r="AV382" s="10" t="str">
        <f t="shared" ca="1" si="192"/>
        <v>rejected</v>
      </c>
      <c r="AW382" s="10" t="e">
        <f t="shared" ca="1" si="193"/>
        <v>#N/A</v>
      </c>
      <c r="AY382" s="3">
        <f t="shared" ca="1" si="199"/>
        <v>8.7116600385379925</v>
      </c>
      <c r="AZ382" s="3">
        <f t="shared" ca="1" si="194"/>
        <v>0.40135032069879756</v>
      </c>
      <c r="BA382" s="3">
        <f t="shared" ca="1" si="189"/>
        <v>1.3262748601767089E-4</v>
      </c>
      <c r="BB382" s="3">
        <f t="shared" ca="1" si="195"/>
        <v>0.1548450913438808</v>
      </c>
      <c r="BC382" s="3">
        <f t="shared" ca="1" si="196"/>
        <v>0.70782787185054041</v>
      </c>
      <c r="BD382" s="3">
        <f t="shared" ca="1" si="190"/>
        <v>5.2844322616774894E-2</v>
      </c>
      <c r="BE382" s="3" t="str">
        <f t="shared" ca="1" si="197"/>
        <v>rejected</v>
      </c>
      <c r="BF382" s="3" t="e">
        <f t="shared" ca="1" si="198"/>
        <v>#N/A</v>
      </c>
    </row>
    <row r="383" spans="1:58" ht="15" x14ac:dyDescent="0.25">
      <c r="A383" s="72">
        <v>317</v>
      </c>
      <c r="B383" s="72">
        <v>1498730286.493</v>
      </c>
      <c r="C383" s="73">
        <v>3.5703845524958402E-4</v>
      </c>
      <c r="D383" s="73">
        <v>-5.9066100473514298E-6</v>
      </c>
      <c r="E383" s="73">
        <v>1.2276648567938E-2</v>
      </c>
      <c r="F383" s="73">
        <v>3.5522458821696701E-4</v>
      </c>
      <c r="G383" s="73">
        <v>0.22745493132876399</v>
      </c>
      <c r="H383" s="73">
        <v>-3.1380901028909E-7</v>
      </c>
      <c r="I383" s="73">
        <v>0.163964273711007</v>
      </c>
      <c r="J383" s="73">
        <v>1.9703328786437899</v>
      </c>
      <c r="K383" s="73"/>
      <c r="L383" s="73"/>
      <c r="M383" s="73"/>
      <c r="O383" s="13">
        <f t="shared" ca="1" si="160"/>
        <v>9.2351225978022438E-5</v>
      </c>
      <c r="P383" s="13">
        <f t="shared" ca="1" si="161"/>
        <v>-1.7194085432191603E-5</v>
      </c>
      <c r="Q383" s="13">
        <f t="shared" ca="1" si="162"/>
        <v>1.1435908949965315E-2</v>
      </c>
      <c r="R383" s="13">
        <f t="shared" ca="1" si="163"/>
        <v>3.4544830932628588E-4</v>
      </c>
      <c r="S383" s="13">
        <f t="shared" ca="1" si="164"/>
        <v>0.22631985269552263</v>
      </c>
      <c r="T383" s="13">
        <f t="shared" ca="1" si="165"/>
        <v>-6.6363052131317662E-7</v>
      </c>
      <c r="U383" s="13">
        <f t="shared" ca="1" si="166"/>
        <v>0.16331042971621848</v>
      </c>
      <c r="V383" s="13">
        <f t="shared" ca="1" si="167"/>
        <v>1.9631940977213358</v>
      </c>
      <c r="X383" s="3">
        <f t="shared" ca="1" si="168"/>
        <v>9.2351225978022438E-5</v>
      </c>
      <c r="Y383" s="3">
        <f t="shared" ca="1" si="169"/>
        <v>-1.7194085432191603E-5</v>
      </c>
      <c r="Z383" s="3">
        <f t="shared" ca="1" si="170"/>
        <v>1.1435908949965315E-2</v>
      </c>
      <c r="AA383" s="3">
        <f t="shared" ca="1" si="171"/>
        <v>3.4544830932628588E-4</v>
      </c>
      <c r="AB383" s="3">
        <f t="shared" ca="1" si="172"/>
        <v>0.22631985269552263</v>
      </c>
      <c r="AC383" s="3">
        <f t="shared" ca="1" si="173"/>
        <v>-6.6363052131317662E-7</v>
      </c>
      <c r="AD383" s="3">
        <f t="shared" ca="1" si="174"/>
        <v>0.16331042971621848</v>
      </c>
      <c r="AE383" s="3">
        <f t="shared" ca="1" si="175"/>
        <v>1.9631940977213358</v>
      </c>
      <c r="AG383" s="3">
        <f t="shared" ca="1" si="176"/>
        <v>9.2351225978022438E-5</v>
      </c>
      <c r="AH383" s="3">
        <f t="shared" ca="1" si="177"/>
        <v>-1.7194085432191603E-5</v>
      </c>
      <c r="AI383" s="3">
        <f t="shared" ca="1" si="178"/>
        <v>1.1435908949965315E-2</v>
      </c>
      <c r="AJ383" s="3">
        <f t="shared" ca="1" si="179"/>
        <v>3.4544830932628588E-4</v>
      </c>
      <c r="AK383" s="3">
        <f t="shared" ca="1" si="180"/>
        <v>0.22631985269552263</v>
      </c>
      <c r="AL383" s="3">
        <f t="shared" ca="1" si="181"/>
        <v>-6.6363052131317662E-7</v>
      </c>
      <c r="AM383" s="3">
        <f t="shared" ca="1" si="182"/>
        <v>0.16331042971621848</v>
      </c>
      <c r="AN383" s="3">
        <f t="shared" ca="1" si="183"/>
        <v>1.9631940977213358</v>
      </c>
      <c r="AP383" s="3">
        <f t="shared" ca="1" si="184"/>
        <v>8.6744228327264832</v>
      </c>
      <c r="AQ383" s="3">
        <f t="shared" ca="1" si="191"/>
        <v>0.3996140226244464</v>
      </c>
      <c r="AR383" s="3">
        <f t="shared" ca="1" si="185"/>
        <v>1.3804598849869116E-4</v>
      </c>
      <c r="AS383" s="3">
        <f t="shared" ca="1" si="186"/>
        <v>0.16317238372771978</v>
      </c>
      <c r="AT383" s="3">
        <f t="shared" ca="1" si="187"/>
        <v>0.70834814271591651</v>
      </c>
      <c r="AU383" s="3">
        <f t="shared" ca="1" si="188"/>
        <v>5.2377820556484433E-2</v>
      </c>
      <c r="AV383" s="10">
        <f t="shared" ca="1" si="192"/>
        <v>0.70834814271591651</v>
      </c>
      <c r="AW383" s="10">
        <f t="shared" ca="1" si="193"/>
        <v>0.70834814271591651</v>
      </c>
      <c r="AY383" s="3">
        <f t="shared" ca="1" si="199"/>
        <v>8.6744228327264832</v>
      </c>
      <c r="AZ383" s="3">
        <f t="shared" ca="1" si="194"/>
        <v>0.3996140226244464</v>
      </c>
      <c r="BA383" s="3">
        <f t="shared" ca="1" si="189"/>
        <v>1.3804598849869116E-4</v>
      </c>
      <c r="BB383" s="3">
        <f t="shared" ca="1" si="195"/>
        <v>0.16317238372771978</v>
      </c>
      <c r="BC383" s="3">
        <f t="shared" ca="1" si="196"/>
        <v>0.70834814271591651</v>
      </c>
      <c r="BD383" s="3">
        <f t="shared" ca="1" si="190"/>
        <v>5.2377820556484433E-2</v>
      </c>
      <c r="BE383" s="3">
        <f t="shared" ca="1" si="197"/>
        <v>0.70834814271591651</v>
      </c>
      <c r="BF383" s="3">
        <f t="shared" ca="1" si="198"/>
        <v>0.70834814271591651</v>
      </c>
    </row>
    <row r="384" spans="1:58" ht="15" x14ac:dyDescent="0.25">
      <c r="A384" s="72">
        <v>318</v>
      </c>
      <c r="B384" s="72">
        <v>1498730287.02</v>
      </c>
      <c r="C384" s="73">
        <v>2.44982636944762E-4</v>
      </c>
      <c r="D384" s="73">
        <v>-5.4802840158205703E-5</v>
      </c>
      <c r="E384" s="73">
        <v>1.29070450482875E-2</v>
      </c>
      <c r="F384" s="73">
        <v>4.6590995609194002E-4</v>
      </c>
      <c r="G384" s="73">
        <v>0.237288440010063</v>
      </c>
      <c r="H384" s="73">
        <v>3.41085036781622E-5</v>
      </c>
      <c r="I384" s="73">
        <v>0.17143232086596499</v>
      </c>
      <c r="J384" s="73">
        <v>2.0614502825825198</v>
      </c>
      <c r="K384" s="73"/>
      <c r="L384" s="73"/>
      <c r="M384" s="73"/>
      <c r="O384" s="13">
        <f t="shared" ca="1" si="160"/>
        <v>-1.9704592326799588E-5</v>
      </c>
      <c r="P384" s="13">
        <f t="shared" ca="1" si="161"/>
        <v>-6.6090315543045874E-5</v>
      </c>
      <c r="Q384" s="13">
        <f t="shared" ca="1" si="162"/>
        <v>1.2066305430314814E-2</v>
      </c>
      <c r="R384" s="13">
        <f t="shared" ca="1" si="163"/>
        <v>4.5613367720125889E-4</v>
      </c>
      <c r="S384" s="13">
        <f t="shared" ca="1" si="164"/>
        <v>0.23615336137682164</v>
      </c>
      <c r="T384" s="13">
        <f t="shared" ca="1" si="165"/>
        <v>3.375868216713811E-5</v>
      </c>
      <c r="U384" s="13">
        <f t="shared" ca="1" si="166"/>
        <v>0.17077847687117648</v>
      </c>
      <c r="V384" s="13">
        <f t="shared" ca="1" si="167"/>
        <v>2.0543115016600657</v>
      </c>
      <c r="X384" s="3">
        <f t="shared" ca="1" si="168"/>
        <v>-1.9704592326799588E-5</v>
      </c>
      <c r="Y384" s="3">
        <f t="shared" ca="1" si="169"/>
        <v>-6.6090315543045874E-5</v>
      </c>
      <c r="Z384" s="3">
        <f t="shared" ca="1" si="170"/>
        <v>1.2066047151134351E-2</v>
      </c>
      <c r="AA384" s="3">
        <f t="shared" ca="1" si="171"/>
        <v>4.4988214703778589E-4</v>
      </c>
      <c r="AB384" s="3">
        <f t="shared" ca="1" si="172"/>
        <v>0.23610789837107882</v>
      </c>
      <c r="AC384" s="3">
        <f t="shared" ca="1" si="173"/>
        <v>3.375868216713811E-5</v>
      </c>
      <c r="AD384" s="3">
        <f t="shared" ca="1" si="174"/>
        <v>0.17071133895920959</v>
      </c>
      <c r="AE384" s="3">
        <f t="shared" ca="1" si="175"/>
        <v>2.0542842586572241</v>
      </c>
      <c r="AG384" s="3">
        <f t="shared" ca="1" si="176"/>
        <v>-1.9704592326799588E-5</v>
      </c>
      <c r="AH384" s="3">
        <f t="shared" ca="1" si="177"/>
        <v>-6.6090315543045874E-5</v>
      </c>
      <c r="AI384" s="3">
        <f t="shared" ca="1" si="178"/>
        <v>1.2066047151134351E-2</v>
      </c>
      <c r="AJ384" s="3">
        <f t="shared" ca="1" si="179"/>
        <v>4.4988214703778589E-4</v>
      </c>
      <c r="AK384" s="3">
        <f t="shared" ca="1" si="180"/>
        <v>0.23610789837107882</v>
      </c>
      <c r="AL384" s="3">
        <f t="shared" ca="1" si="181"/>
        <v>3.375868216713811E-5</v>
      </c>
      <c r="AM384" s="3">
        <f t="shared" ca="1" si="182"/>
        <v>0.17071133895920959</v>
      </c>
      <c r="AN384" s="3">
        <f t="shared" ca="1" si="183"/>
        <v>2.0542842586572241</v>
      </c>
      <c r="AP384" s="3">
        <f t="shared" ca="1" si="184"/>
        <v>8.6990567895498767</v>
      </c>
      <c r="AQ384" s="3">
        <f t="shared" ca="1" si="191"/>
        <v>0.40076264575257453</v>
      </c>
      <c r="AR384" s="3">
        <f t="shared" ca="1" si="185"/>
        <v>1.8280133929202729E-4</v>
      </c>
      <c r="AS384" s="3">
        <f t="shared" ca="1" si="186"/>
        <v>0.17059567553188446</v>
      </c>
      <c r="AT384" s="3">
        <f t="shared" ca="1" si="187"/>
        <v>0.70872283362367661</v>
      </c>
      <c r="AU384" s="3">
        <f t="shared" ca="1" si="188"/>
        <v>5.3117763600812815E-2</v>
      </c>
      <c r="AV384" s="10">
        <f t="shared" ca="1" si="192"/>
        <v>0.70872283362367661</v>
      </c>
      <c r="AW384" s="10">
        <f t="shared" ca="1" si="193"/>
        <v>0.70872283362367661</v>
      </c>
      <c r="AY384" s="3">
        <f t="shared" ca="1" si="199"/>
        <v>8.7006164250744789</v>
      </c>
      <c r="AZ384" s="3">
        <f t="shared" ca="1" si="194"/>
        <v>0.4008353691964498</v>
      </c>
      <c r="BA384" s="3">
        <f t="shared" ca="1" si="189"/>
        <v>1.8032867650278242E-4</v>
      </c>
      <c r="BB384" s="3">
        <f t="shared" ca="1" si="195"/>
        <v>0.17053101028270681</v>
      </c>
      <c r="BC384" s="3">
        <f t="shared" ca="1" si="196"/>
        <v>0.70852663366354141</v>
      </c>
      <c r="BD384" s="3">
        <f t="shared" ca="1" si="190"/>
        <v>5.3136600801233932E-2</v>
      </c>
      <c r="BE384" s="3">
        <f t="shared" ca="1" si="197"/>
        <v>0.70852663366354141</v>
      </c>
      <c r="BF384" s="3">
        <f t="shared" ca="1" si="198"/>
        <v>0.70852663366354141</v>
      </c>
    </row>
    <row r="385" spans="1:58" ht="15" x14ac:dyDescent="0.25">
      <c r="A385" s="72">
        <v>319</v>
      </c>
      <c r="B385" s="72">
        <v>1498730287.5469999</v>
      </c>
      <c r="C385" s="73">
        <v>3.6393826903025902E-4</v>
      </c>
      <c r="D385" s="73">
        <v>-4.7255118806148797E-6</v>
      </c>
      <c r="E385" s="73">
        <v>1.2987047016567801E-2</v>
      </c>
      <c r="F385" s="73">
        <v>4.2663309900605102E-4</v>
      </c>
      <c r="G385" s="73">
        <v>0.24032494193658999</v>
      </c>
      <c r="H385" s="73">
        <v>-1.7036331017864799E-5</v>
      </c>
      <c r="I385" s="73">
        <v>0.17343299906274801</v>
      </c>
      <c r="J385" s="73">
        <v>2.0852083655384299</v>
      </c>
      <c r="K385" s="73"/>
      <c r="L385" s="73"/>
      <c r="M385" s="73"/>
      <c r="O385" s="13">
        <f t="shared" ca="1" si="160"/>
        <v>9.9251039758697435E-5</v>
      </c>
      <c r="P385" s="13">
        <f t="shared" ca="1" si="161"/>
        <v>-1.6012987265455052E-5</v>
      </c>
      <c r="Q385" s="13">
        <f t="shared" ca="1" si="162"/>
        <v>1.2146307398595116E-2</v>
      </c>
      <c r="R385" s="13">
        <f t="shared" ca="1" si="163"/>
        <v>4.1685682011536988E-4</v>
      </c>
      <c r="S385" s="13">
        <f t="shared" ca="1" si="164"/>
        <v>0.23918986330334863</v>
      </c>
      <c r="T385" s="13">
        <f t="shared" ca="1" si="165"/>
        <v>-1.7386152528888885E-5</v>
      </c>
      <c r="U385" s="13">
        <f t="shared" ca="1" si="166"/>
        <v>0.17277915506795949</v>
      </c>
      <c r="V385" s="13">
        <f t="shared" ca="1" si="167"/>
        <v>2.0780695846159758</v>
      </c>
      <c r="X385" s="3">
        <f t="shared" ca="1" si="168"/>
        <v>9.9251039758697435E-5</v>
      </c>
      <c r="Y385" s="3">
        <f t="shared" ca="1" si="169"/>
        <v>-1.6012987265455052E-5</v>
      </c>
      <c r="Z385" s="3">
        <f t="shared" ca="1" si="170"/>
        <v>1.2146307398595116E-2</v>
      </c>
      <c r="AA385" s="3">
        <f t="shared" ca="1" si="171"/>
        <v>4.1685682011536988E-4</v>
      </c>
      <c r="AB385" s="3">
        <f t="shared" ca="1" si="172"/>
        <v>0.23918986330334863</v>
      </c>
      <c r="AC385" s="3">
        <f t="shared" ca="1" si="173"/>
        <v>-1.7386152528888885E-5</v>
      </c>
      <c r="AD385" s="3">
        <f t="shared" ca="1" si="174"/>
        <v>0.17277915506795949</v>
      </c>
      <c r="AE385" s="3">
        <f t="shared" ca="1" si="175"/>
        <v>2.0780695846159758</v>
      </c>
      <c r="AG385" s="3">
        <f t="shared" ca="1" si="176"/>
        <v>9.9251039758697435E-5</v>
      </c>
      <c r="AH385" s="3">
        <f t="shared" ca="1" si="177"/>
        <v>-1.6012987265455052E-5</v>
      </c>
      <c r="AI385" s="3">
        <f t="shared" ca="1" si="178"/>
        <v>1.2146307398595116E-2</v>
      </c>
      <c r="AJ385" s="3">
        <f t="shared" ca="1" si="179"/>
        <v>4.1685682011536988E-4</v>
      </c>
      <c r="AK385" s="3">
        <f t="shared" ca="1" si="180"/>
        <v>0.23918986330334863</v>
      </c>
      <c r="AL385" s="3">
        <f t="shared" ca="1" si="181"/>
        <v>-1.7386152528888885E-5</v>
      </c>
      <c r="AM385" s="3">
        <f t="shared" ca="1" si="182"/>
        <v>0.17277915506795949</v>
      </c>
      <c r="AN385" s="3">
        <f t="shared" ca="1" si="183"/>
        <v>2.0780695846159758</v>
      </c>
      <c r="AP385" s="3">
        <f t="shared" ca="1" si="184"/>
        <v>8.6879500490390686</v>
      </c>
      <c r="AQ385" s="3">
        <f t="shared" ca="1" si="191"/>
        <v>0.40024475982821672</v>
      </c>
      <c r="AR385" s="3">
        <f t="shared" ca="1" si="185"/>
        <v>1.6684475784983037E-4</v>
      </c>
      <c r="AS385" s="3">
        <f t="shared" ca="1" si="186"/>
        <v>0.17261231031010965</v>
      </c>
      <c r="AT385" s="3">
        <f t="shared" ca="1" si="187"/>
        <v>0.70845285147634218</v>
      </c>
      <c r="AU385" s="3">
        <f t="shared" ca="1" si="188"/>
        <v>5.2722178276682928E-2</v>
      </c>
      <c r="AV385" s="10">
        <f t="shared" ca="1" si="192"/>
        <v>0.70845285147634218</v>
      </c>
      <c r="AW385" s="10">
        <f t="shared" ca="1" si="193"/>
        <v>0.70845285147634218</v>
      </c>
      <c r="AY385" s="3">
        <f t="shared" ca="1" si="199"/>
        <v>8.6879500490390686</v>
      </c>
      <c r="AZ385" s="3">
        <f t="shared" ca="1" si="194"/>
        <v>0.40024475982821672</v>
      </c>
      <c r="BA385" s="3">
        <f t="shared" ca="1" si="189"/>
        <v>1.6684475784983037E-4</v>
      </c>
      <c r="BB385" s="3">
        <f t="shared" ca="1" si="195"/>
        <v>0.17261231031010965</v>
      </c>
      <c r="BC385" s="3">
        <f t="shared" ca="1" si="196"/>
        <v>0.70845285147634218</v>
      </c>
      <c r="BD385" s="3">
        <f t="shared" ca="1" si="190"/>
        <v>5.2722178276682928E-2</v>
      </c>
      <c r="BE385" s="3">
        <f t="shared" ca="1" si="197"/>
        <v>0.70845285147634218</v>
      </c>
      <c r="BF385" s="3">
        <f t="shared" ca="1" si="198"/>
        <v>0.70845285147634218</v>
      </c>
    </row>
    <row r="386" spans="1:58" ht="15" x14ac:dyDescent="0.25">
      <c r="A386" s="72">
        <v>320</v>
      </c>
      <c r="B386" s="72">
        <v>1498730288.0739999</v>
      </c>
      <c r="C386" s="73">
        <v>3.7607253994126902E-4</v>
      </c>
      <c r="D386" s="73">
        <v>1.18825122059194E-4</v>
      </c>
      <c r="E386" s="73">
        <v>1.2949213971862701E-2</v>
      </c>
      <c r="F386" s="73">
        <v>4.8066893190016003E-4</v>
      </c>
      <c r="G386" s="73">
        <v>0.23710883074621</v>
      </c>
      <c r="H386" s="73">
        <v>8.6816448653993802E-5</v>
      </c>
      <c r="I386" s="73">
        <v>0.17125621348858699</v>
      </c>
      <c r="J386" s="73">
        <v>2.06054234208825</v>
      </c>
      <c r="K386" s="73"/>
      <c r="L386" s="73"/>
      <c r="M386" s="73"/>
      <c r="O386" s="13">
        <f t="shared" ca="1" si="160"/>
        <v>1.1138531066970744E-4</v>
      </c>
      <c r="P386" s="13">
        <f t="shared" ca="1" si="161"/>
        <v>1.0753764667435382E-4</v>
      </c>
      <c r="Q386" s="13">
        <f t="shared" ca="1" si="162"/>
        <v>1.2108474353890016E-2</v>
      </c>
      <c r="R386" s="13">
        <f t="shared" ca="1" si="163"/>
        <v>4.7089265300947889E-4</v>
      </c>
      <c r="S386" s="13">
        <f t="shared" ca="1" si="164"/>
        <v>0.23597375211296864</v>
      </c>
      <c r="T386" s="13">
        <f t="shared" ca="1" si="165"/>
        <v>8.6466627142969712E-5</v>
      </c>
      <c r="U386" s="13">
        <f t="shared" ca="1" si="166"/>
        <v>0.17060236949379848</v>
      </c>
      <c r="V386" s="13">
        <f t="shared" ca="1" si="167"/>
        <v>2.0534035611657959</v>
      </c>
      <c r="X386" s="3">
        <f t="shared" ca="1" si="168"/>
        <v>1.1138531066970744E-4</v>
      </c>
      <c r="Y386" s="3">
        <f t="shared" ca="1" si="169"/>
        <v>1.0753764667435382E-4</v>
      </c>
      <c r="Z386" s="3">
        <f t="shared" ca="1" si="170"/>
        <v>1.2107812819488722E-2</v>
      </c>
      <c r="AA386" s="3">
        <f t="shared" ca="1" si="171"/>
        <v>4.5488051352364793E-4</v>
      </c>
      <c r="AB386" s="3">
        <f t="shared" ca="1" si="172"/>
        <v>0.23585730702346841</v>
      </c>
      <c r="AC386" s="3">
        <f t="shared" ca="1" si="173"/>
        <v>8.6466627142969712E-5</v>
      </c>
      <c r="AD386" s="3">
        <f t="shared" ca="1" si="174"/>
        <v>0.17043040813664431</v>
      </c>
      <c r="AE386" s="3">
        <f t="shared" ca="1" si="175"/>
        <v>2.053333783247413</v>
      </c>
      <c r="AG386" s="3">
        <f t="shared" ca="1" si="176"/>
        <v>1.1138531066970744E-4</v>
      </c>
      <c r="AH386" s="3">
        <f t="shared" ca="1" si="177"/>
        <v>1.0753764667435382E-4</v>
      </c>
      <c r="AI386" s="3">
        <f t="shared" ca="1" si="178"/>
        <v>1.2021191815499732E-2</v>
      </c>
      <c r="AJ386" s="3">
        <f t="shared" ca="1" si="179"/>
        <v>4.0704816220732832E-4</v>
      </c>
      <c r="AK386" s="3">
        <f t="shared" ca="1" si="180"/>
        <v>0.23585730702346841</v>
      </c>
      <c r="AL386" s="3">
        <f t="shared" ca="1" si="181"/>
        <v>8.6466627142969712E-5</v>
      </c>
      <c r="AM386" s="3">
        <f t="shared" ca="1" si="182"/>
        <v>0.17043040813664431</v>
      </c>
      <c r="AN386" s="3">
        <f t="shared" ca="1" si="183"/>
        <v>2.053333783247413</v>
      </c>
      <c r="AP386" s="3">
        <f t="shared" ca="1" si="184"/>
        <v>8.7018303636701173</v>
      </c>
      <c r="AQ386" s="3">
        <f t="shared" ca="1" si="191"/>
        <v>0.400891973425197</v>
      </c>
      <c r="AR386" s="3">
        <f t="shared" ca="1" si="185"/>
        <v>1.8877708493639654E-4</v>
      </c>
      <c r="AS386" s="3">
        <f t="shared" ca="1" si="186"/>
        <v>0.17041359240886209</v>
      </c>
      <c r="AT386" s="3">
        <f t="shared" ca="1" si="187"/>
        <v>0.70839151645954623</v>
      </c>
      <c r="AU386" s="3">
        <f t="shared" ca="1" si="188"/>
        <v>5.3361372687276441E-2</v>
      </c>
      <c r="AV386" s="10">
        <f t="shared" ca="1" si="192"/>
        <v>0.70839151645954623</v>
      </c>
      <c r="AW386" s="10">
        <f t="shared" ca="1" si="193"/>
        <v>0.70839151645954623</v>
      </c>
      <c r="AY386" s="3">
        <f t="shared" ca="1" si="199"/>
        <v>8.7058306955192233</v>
      </c>
      <c r="AZ386" s="3">
        <f t="shared" ca="1" si="194"/>
        <v>0.40107850388284844</v>
      </c>
      <c r="BA386" s="3">
        <f t="shared" ca="1" si="189"/>
        <v>1.6325826790637826E-4</v>
      </c>
      <c r="BB386" s="3">
        <f t="shared" ca="1" si="195"/>
        <v>0.17026714986873792</v>
      </c>
      <c r="BC386" s="3">
        <f t="shared" ca="1" si="196"/>
        <v>0.70796832808597165</v>
      </c>
      <c r="BD386" s="3">
        <f t="shared" ca="1" si="190"/>
        <v>5.3027811220728353E-2</v>
      </c>
      <c r="BE386" s="3">
        <f t="shared" ca="1" si="197"/>
        <v>0.70796832808597165</v>
      </c>
      <c r="BF386" s="3">
        <f t="shared" ca="1" si="198"/>
        <v>0.70796832808597165</v>
      </c>
    </row>
    <row r="387" spans="1:58" ht="15" x14ac:dyDescent="0.25">
      <c r="A387" s="72">
        <v>321</v>
      </c>
      <c r="B387" s="72">
        <v>1498730288.6010001</v>
      </c>
      <c r="C387" s="73">
        <v>2.9113573977114699E-4</v>
      </c>
      <c r="D387" s="73">
        <v>-8.9774587008769295E-6</v>
      </c>
      <c r="E387" s="73">
        <v>1.5215758703544999E-2</v>
      </c>
      <c r="F387" s="73">
        <v>5.0233169455640801E-4</v>
      </c>
      <c r="G387" s="73">
        <v>0.28044580316718298</v>
      </c>
      <c r="H387" s="73">
        <v>3.51292720527474E-6</v>
      </c>
      <c r="I387" s="73">
        <v>0.20219202776984499</v>
      </c>
      <c r="J387" s="73">
        <v>2.4285288051121499</v>
      </c>
      <c r="K387" s="73"/>
      <c r="L387" s="73"/>
      <c r="M387" s="73"/>
      <c r="O387" s="13">
        <f t="shared" ref="O387:O450" ca="1" si="200">C387-AVERAGE(OFFSET(C$67,$J$2,0,$J$3))</f>
        <v>2.6448510499585409E-5</v>
      </c>
      <c r="P387" s="13">
        <f t="shared" ref="P387:P450" ca="1" si="201">D387-AVERAGE(OFFSET(D$67,$J$2,0,$J$3))</f>
        <v>-2.0264934085717101E-5</v>
      </c>
      <c r="Q387" s="13">
        <f t="shared" ref="Q387:Q450" ca="1" si="202">E387-AVERAGE(OFFSET(E$67,$J$2,0,$J$3))</f>
        <v>1.4375019085572314E-2</v>
      </c>
      <c r="R387" s="13">
        <f t="shared" ref="R387:R450" ca="1" si="203">F387-AVERAGE(OFFSET(F$67,$J$2,0,$J$3))</f>
        <v>4.9255541566572687E-4</v>
      </c>
      <c r="S387" s="13">
        <f t="shared" ref="S387:S450" ca="1" si="204">G387-AVERAGE(OFFSET(G$67,$J$2,0,$J$3))</f>
        <v>0.27931072453394162</v>
      </c>
      <c r="T387" s="13">
        <f t="shared" ref="T387:T450" ca="1" si="205">H387-AVERAGE(OFFSET(H$67,$J$2,0,$J$3))</f>
        <v>3.1631056942506535E-6</v>
      </c>
      <c r="U387" s="13">
        <f t="shared" ref="U387:U450" ca="1" si="206">I387-AVERAGE(OFFSET(I$67,$J$2,0,$J$3))</f>
        <v>0.20153818377505647</v>
      </c>
      <c r="V387" s="13">
        <f t="shared" ref="V387:V450" ca="1" si="207">J387-AVERAGE(OFFSET(J$67,$J$2,0,$J$3))</f>
        <v>2.4213900241896957</v>
      </c>
      <c r="X387" s="3">
        <f t="shared" ref="X387:X450" ca="1" si="208">O387</f>
        <v>2.6448510499585409E-5</v>
      </c>
      <c r="Y387" s="3">
        <f t="shared" ref="Y387:Y450" ca="1" si="209">P387</f>
        <v>-2.0264934085717101E-5</v>
      </c>
      <c r="Z387" s="3">
        <f t="shared" ref="Z387:Z450" ca="1" si="210">IF($T387&gt;0,Q387-($B$14/$B$18*$T387), Q387)</f>
        <v>1.4374994885446777E-2</v>
      </c>
      <c r="AA387" s="3">
        <f t="shared" ref="AA387:AA450" ca="1" si="211">IF($T387&gt;0,R387-($B$15/$B$18*$T387), R387)</f>
        <v>4.9196966262714682E-4</v>
      </c>
      <c r="AB387" s="3">
        <f t="shared" ref="AB387:AB450" ca="1" si="212">IF($T387&gt;0,S387-($B$17/$B$18*$T387), S387)</f>
        <v>0.27930646476184418</v>
      </c>
      <c r="AC387" s="3">
        <f t="shared" ref="AC387:AC450" ca="1" si="213">T387</f>
        <v>3.1631056942506535E-6</v>
      </c>
      <c r="AD387" s="3">
        <f t="shared" ref="AD387:AD450" ca="1" si="214">IF($T387&gt;0,U387-($B$19/$B$18*$T387), U387)</f>
        <v>0.20153189311742384</v>
      </c>
      <c r="AE387" s="3">
        <f t="shared" ref="AE387:AE450" ca="1" si="215">IF($T387&gt;0,V387-($B$20/$B$18*$T387), V387)</f>
        <v>2.4213874715871686</v>
      </c>
      <c r="AG387" s="3">
        <f t="shared" ref="AG387:AG450" ca="1" si="216">X387</f>
        <v>2.6448510499585409E-5</v>
      </c>
      <c r="AH387" s="3">
        <f t="shared" ref="AH387:AH450" ca="1" si="217">Y387</f>
        <v>-2.0264934085717101E-5</v>
      </c>
      <c r="AI387" s="3">
        <f t="shared" ref="AI387:AI450" ca="1" si="218">IF($Y387&gt;0,Z387-($B$25/$B$23*$Y387),Z387)</f>
        <v>1.4374994885446777E-2</v>
      </c>
      <c r="AJ387" s="3">
        <f t="shared" ref="AJ387:AJ450" ca="1" si="219">IF($Y387&gt;0,AA387-($B$26/$B$23*$Y387),AA387)</f>
        <v>4.9196966262714682E-4</v>
      </c>
      <c r="AK387" s="3">
        <f t="shared" ref="AK387:AK450" ca="1" si="220">AB387</f>
        <v>0.27930646476184418</v>
      </c>
      <c r="AL387" s="3">
        <f t="shared" ref="AL387:AL450" ca="1" si="221">AC387</f>
        <v>3.1631056942506535E-6</v>
      </c>
      <c r="AM387" s="3">
        <f t="shared" ref="AM387:AM450" ca="1" si="222">AD387</f>
        <v>0.20153189311742384</v>
      </c>
      <c r="AN387" s="3">
        <f t="shared" ref="AN387:AN450" ca="1" si="223">AE387</f>
        <v>2.4213874715871686</v>
      </c>
      <c r="AP387" s="3">
        <f t="shared" ref="AP387:AP450" ca="1" si="224">IF(AND(S387&gt;0,V387&gt;0),V387/S387, #N/A)</f>
        <v>8.6691623754513234</v>
      </c>
      <c r="AQ387" s="3">
        <f t="shared" ca="1" si="191"/>
        <v>0.39936874506923919</v>
      </c>
      <c r="AR387" s="3">
        <f t="shared" ref="AR387:AR450" ca="1" si="225">AQ387*R387</f>
        <v>1.9671123823147881E-4</v>
      </c>
      <c r="AS387" s="3">
        <f t="shared" ref="AS387:AS450" ca="1" si="226">U387-AR387</f>
        <v>0.20134147253682499</v>
      </c>
      <c r="AT387" s="3">
        <f t="shared" ref="AT387:AT450" ca="1" si="227">(AS387/S387)/((AP387/$B$10)^$B$12)</f>
        <v>0.70843670480229393</v>
      </c>
      <c r="AU387" s="3">
        <f t="shared" ref="AU387:AU450" ca="1" si="228">(Q387/S387)/((AP387/$B$10)^$B$13)</f>
        <v>5.3315149222762925E-2</v>
      </c>
      <c r="AV387" s="10">
        <f t="shared" ca="1" si="192"/>
        <v>0.70843670480229393</v>
      </c>
      <c r="AW387" s="10">
        <f t="shared" ca="1" si="193"/>
        <v>0.70843670480229393</v>
      </c>
      <c r="AY387" s="3">
        <f t="shared" ca="1" si="199"/>
        <v>8.6692854519203824</v>
      </c>
      <c r="AZ387" s="3">
        <f t="shared" ca="1" si="194"/>
        <v>0.39937448369335282</v>
      </c>
      <c r="BA387" s="3">
        <f t="shared" ref="BA387:BA450" ca="1" si="229">AZ387*AJ387</f>
        <v>1.9648013000450972E-4</v>
      </c>
      <c r="BB387" s="3">
        <f t="shared" ca="1" si="195"/>
        <v>0.20133541298741933</v>
      </c>
      <c r="BC387" s="3">
        <f t="shared" ca="1" si="196"/>
        <v>0.70842112312849725</v>
      </c>
      <c r="BD387" s="3">
        <f t="shared" ref="BD387:BD450" ca="1" si="230">(AI387/AK387)/((AY387/$B$10)^$B$13)</f>
        <v>5.3316647115478892E-2</v>
      </c>
      <c r="BE387" s="3">
        <f t="shared" ca="1" si="197"/>
        <v>0.70842112312849725</v>
      </c>
      <c r="BF387" s="3">
        <f t="shared" ca="1" si="198"/>
        <v>0.70842112312849725</v>
      </c>
    </row>
    <row r="388" spans="1:58" ht="15" x14ac:dyDescent="0.25">
      <c r="A388" s="72">
        <v>322</v>
      </c>
      <c r="B388" s="72">
        <v>1498730289.128</v>
      </c>
      <c r="C388" s="73">
        <v>2.8851875421249799E-4</v>
      </c>
      <c r="D388" s="73">
        <v>-5.9066100473514298E-6</v>
      </c>
      <c r="E388" s="73">
        <v>1.3892329259869E-2</v>
      </c>
      <c r="F388" s="73">
        <v>5.4351604441328497E-4</v>
      </c>
      <c r="G388" s="73">
        <v>0.25559521198795399</v>
      </c>
      <c r="H388" s="73">
        <v>-2.65772976428529E-5</v>
      </c>
      <c r="I388" s="73">
        <v>0.18475683714077501</v>
      </c>
      <c r="J388" s="73">
        <v>2.2260445760479799</v>
      </c>
      <c r="K388" s="73"/>
      <c r="L388" s="73"/>
      <c r="M388" s="73"/>
      <c r="O388" s="13">
        <f t="shared" ca="1" si="200"/>
        <v>2.3831524940936405E-5</v>
      </c>
      <c r="P388" s="13">
        <f t="shared" ca="1" si="201"/>
        <v>-1.7194085432191603E-5</v>
      </c>
      <c r="Q388" s="13">
        <f t="shared" ca="1" si="202"/>
        <v>1.3051589641896314E-2</v>
      </c>
      <c r="R388" s="13">
        <f t="shared" ca="1" si="203"/>
        <v>5.3373976552260384E-4</v>
      </c>
      <c r="S388" s="13">
        <f t="shared" ca="1" si="204"/>
        <v>0.25446013335471263</v>
      </c>
      <c r="T388" s="13">
        <f t="shared" ca="1" si="205"/>
        <v>-2.6927119153876986E-5</v>
      </c>
      <c r="U388" s="13">
        <f t="shared" ca="1" si="206"/>
        <v>0.18410299314598649</v>
      </c>
      <c r="V388" s="13">
        <f t="shared" ca="1" si="207"/>
        <v>2.2189057951255258</v>
      </c>
      <c r="X388" s="3">
        <f t="shared" ca="1" si="208"/>
        <v>2.3831524940936405E-5</v>
      </c>
      <c r="Y388" s="3">
        <f t="shared" ca="1" si="209"/>
        <v>-1.7194085432191603E-5</v>
      </c>
      <c r="Z388" s="3">
        <f t="shared" ca="1" si="210"/>
        <v>1.3051589641896314E-2</v>
      </c>
      <c r="AA388" s="3">
        <f t="shared" ca="1" si="211"/>
        <v>5.3373976552260384E-4</v>
      </c>
      <c r="AB388" s="3">
        <f t="shared" ca="1" si="212"/>
        <v>0.25446013335471263</v>
      </c>
      <c r="AC388" s="3">
        <f t="shared" ca="1" si="213"/>
        <v>-2.6927119153876986E-5</v>
      </c>
      <c r="AD388" s="3">
        <f t="shared" ca="1" si="214"/>
        <v>0.18410299314598649</v>
      </c>
      <c r="AE388" s="3">
        <f t="shared" ca="1" si="215"/>
        <v>2.2189057951255258</v>
      </c>
      <c r="AG388" s="3">
        <f t="shared" ca="1" si="216"/>
        <v>2.3831524940936405E-5</v>
      </c>
      <c r="AH388" s="3">
        <f t="shared" ca="1" si="217"/>
        <v>-1.7194085432191603E-5</v>
      </c>
      <c r="AI388" s="3">
        <f t="shared" ca="1" si="218"/>
        <v>1.3051589641896314E-2</v>
      </c>
      <c r="AJ388" s="3">
        <f t="shared" ca="1" si="219"/>
        <v>5.3373976552260384E-4</v>
      </c>
      <c r="AK388" s="3">
        <f t="shared" ca="1" si="220"/>
        <v>0.25446013335471263</v>
      </c>
      <c r="AL388" s="3">
        <f t="shared" ca="1" si="221"/>
        <v>-2.6927119153876986E-5</v>
      </c>
      <c r="AM388" s="3">
        <f t="shared" ca="1" si="222"/>
        <v>0.18410299314598649</v>
      </c>
      <c r="AN388" s="3">
        <f t="shared" ca="1" si="223"/>
        <v>2.2189057951255258</v>
      </c>
      <c r="AP388" s="3">
        <f t="shared" ca="1" si="224"/>
        <v>8.7200527873355043</v>
      </c>
      <c r="AQ388" s="3">
        <f t="shared" ref="AQ388:AQ451" ca="1" si="231">$B$8*((AP388/$B$10)^$B$11)</f>
        <v>0.40174167060414717</v>
      </c>
      <c r="AR388" s="3">
        <f t="shared" ca="1" si="225"/>
        <v>2.1442550506891667E-4</v>
      </c>
      <c r="AS388" s="3">
        <f t="shared" ca="1" si="226"/>
        <v>0.18388856764091757</v>
      </c>
      <c r="AT388" s="3">
        <f t="shared" ca="1" si="227"/>
        <v>0.70812557908113627</v>
      </c>
      <c r="AU388" s="3">
        <f t="shared" ca="1" si="228"/>
        <v>5.3453303351870991E-2</v>
      </c>
      <c r="AV388" s="10">
        <f t="shared" ref="AV388:AV451" ca="1" si="232">IF(AND(AT388&lt;$M$3,AT388&gt;$M$4),AT388,"rejected")</f>
        <v>0.70812557908113627</v>
      </c>
      <c r="AW388" s="10">
        <f t="shared" ref="AW388:AW451" ca="1" si="233">IF(AND(AT388&lt;$M$3,AT388&gt;$M$4),AT388,#N/A)</f>
        <v>0.70812557908113627</v>
      </c>
      <c r="AY388" s="3">
        <f t="shared" ca="1" si="199"/>
        <v>8.7200527873355043</v>
      </c>
      <c r="AZ388" s="3">
        <f t="shared" ref="AZ388:AZ451" ca="1" si="234">$B$8*((AY388/$B$10)^$B$11)</f>
        <v>0.40174167060414717</v>
      </c>
      <c r="BA388" s="3">
        <f t="shared" ca="1" si="229"/>
        <v>2.1442550506891667E-4</v>
      </c>
      <c r="BB388" s="3">
        <f t="shared" ref="BB388:BB451" ca="1" si="235">AM388-BA388</f>
        <v>0.18388856764091757</v>
      </c>
      <c r="BC388" s="3">
        <f t="shared" ref="BC388:BC451" ca="1" si="236">(BB388/AK388)/((AY388/$B$10)^$B$12)</f>
        <v>0.70812557908113627</v>
      </c>
      <c r="BD388" s="3">
        <f t="shared" ca="1" si="230"/>
        <v>5.3453303351870991E-2</v>
      </c>
      <c r="BE388" s="3">
        <f t="shared" ref="BE388:BE451" ca="1" si="237">IF(AND(BC388&lt;$P$3,BC388&gt;$P$4),BC388,"rejected")</f>
        <v>0.70812557908113627</v>
      </c>
      <c r="BF388" s="3">
        <f t="shared" ref="BF388:BF451" ca="1" si="238">IF(AND(BC388&lt;$P$3,BC388&gt;$P$4),BC388,#N/A)</f>
        <v>0.70812557908113627</v>
      </c>
    </row>
    <row r="389" spans="1:58" ht="15" x14ac:dyDescent="0.25">
      <c r="A389" s="72">
        <v>323</v>
      </c>
      <c r="B389" s="72">
        <v>1498730289.655</v>
      </c>
      <c r="C389" s="73">
        <v>2.7210327396394099E-4</v>
      </c>
      <c r="D389" s="73">
        <v>1.5589596658531999E-5</v>
      </c>
      <c r="E389" s="73">
        <v>1.25316986274515E-2</v>
      </c>
      <c r="F389" s="73">
        <v>3.86405676691107E-4</v>
      </c>
      <c r="G389" s="73">
        <v>0.22956742541418099</v>
      </c>
      <c r="H389" s="73">
        <v>-1.5548424278391301E-5</v>
      </c>
      <c r="I389" s="73">
        <v>0.16592350100477801</v>
      </c>
      <c r="J389" s="73">
        <v>1.9963075258113501</v>
      </c>
      <c r="K389" s="73"/>
      <c r="L389" s="73"/>
      <c r="M389" s="73"/>
      <c r="O389" s="13">
        <f t="shared" ca="1" si="200"/>
        <v>7.416044692379407E-6</v>
      </c>
      <c r="P389" s="13">
        <f t="shared" ca="1" si="201"/>
        <v>4.3021212736918254E-6</v>
      </c>
      <c r="Q389" s="13">
        <f t="shared" ca="1" si="202"/>
        <v>1.1690959009478814E-2</v>
      </c>
      <c r="R389" s="13">
        <f t="shared" ca="1" si="203"/>
        <v>3.7662939780042586E-4</v>
      </c>
      <c r="S389" s="13">
        <f t="shared" ca="1" si="204"/>
        <v>0.22843234678093963</v>
      </c>
      <c r="T389" s="13">
        <f t="shared" ca="1" si="205"/>
        <v>-1.5898245789415387E-5</v>
      </c>
      <c r="U389" s="13">
        <f t="shared" ca="1" si="206"/>
        <v>0.1652696570099895</v>
      </c>
      <c r="V389" s="13">
        <f t="shared" ca="1" si="207"/>
        <v>1.9891687448888959</v>
      </c>
      <c r="X389" s="3">
        <f t="shared" ca="1" si="208"/>
        <v>7.416044692379407E-6</v>
      </c>
      <c r="Y389" s="3">
        <f t="shared" ca="1" si="209"/>
        <v>4.3021212736918254E-6</v>
      </c>
      <c r="Z389" s="3">
        <f t="shared" ca="1" si="210"/>
        <v>1.1690959009478814E-2</v>
      </c>
      <c r="AA389" s="3">
        <f t="shared" ca="1" si="211"/>
        <v>3.7662939780042586E-4</v>
      </c>
      <c r="AB389" s="3">
        <f t="shared" ca="1" si="212"/>
        <v>0.22843234678093963</v>
      </c>
      <c r="AC389" s="3">
        <f t="shared" ca="1" si="213"/>
        <v>-1.5898245789415387E-5</v>
      </c>
      <c r="AD389" s="3">
        <f t="shared" ca="1" si="214"/>
        <v>0.1652696570099895</v>
      </c>
      <c r="AE389" s="3">
        <f t="shared" ca="1" si="215"/>
        <v>1.9891687448888959</v>
      </c>
      <c r="AG389" s="3">
        <f t="shared" ca="1" si="216"/>
        <v>7.416044692379407E-6</v>
      </c>
      <c r="AH389" s="3">
        <f t="shared" ca="1" si="217"/>
        <v>4.3021212736918254E-6</v>
      </c>
      <c r="AI389" s="3">
        <f t="shared" ca="1" si="218"/>
        <v>1.1687493673612407E-2</v>
      </c>
      <c r="AJ389" s="3">
        <f t="shared" ca="1" si="219"/>
        <v>3.7471583001711935E-4</v>
      </c>
      <c r="AK389" s="3">
        <f t="shared" ca="1" si="220"/>
        <v>0.22843234678093963</v>
      </c>
      <c r="AL389" s="3">
        <f t="shared" ca="1" si="221"/>
        <v>-1.5898245789415387E-5</v>
      </c>
      <c r="AM389" s="3">
        <f t="shared" ca="1" si="222"/>
        <v>0.1652696570099895</v>
      </c>
      <c r="AN389" s="3">
        <f t="shared" ca="1" si="223"/>
        <v>1.9891687448888959</v>
      </c>
      <c r="AP389" s="3">
        <f t="shared" ca="1" si="224"/>
        <v>8.7079118737787802</v>
      </c>
      <c r="AQ389" s="3">
        <f t="shared" ca="1" si="231"/>
        <v>0.40117554702639979</v>
      </c>
      <c r="AR389" s="3">
        <f t="shared" ca="1" si="225"/>
        <v>1.5109450468880938E-4</v>
      </c>
      <c r="AS389" s="3">
        <f t="shared" ca="1" si="226"/>
        <v>0.16511856250530069</v>
      </c>
      <c r="AT389" s="3">
        <f t="shared" ca="1" si="227"/>
        <v>0.70879120347589797</v>
      </c>
      <c r="AU389" s="3">
        <f t="shared" ca="1" si="228"/>
        <v>5.3260380910663603E-2</v>
      </c>
      <c r="AV389" s="10">
        <f t="shared" ca="1" si="232"/>
        <v>0.70879120347589797</v>
      </c>
      <c r="AW389" s="10">
        <f t="shared" ca="1" si="233"/>
        <v>0.70879120347589797</v>
      </c>
      <c r="AY389" s="3">
        <f t="shared" ref="AY389:AY452" ca="1" si="239">IF(AND(AN389&gt;0, AK389&gt;0),AN389/AK389, #N/A)</f>
        <v>8.7079118737787802</v>
      </c>
      <c r="AZ389" s="3">
        <f t="shared" ca="1" si="234"/>
        <v>0.40117554702639979</v>
      </c>
      <c r="BA389" s="3">
        <f t="shared" ca="1" si="229"/>
        <v>1.5032682808656928E-4</v>
      </c>
      <c r="BB389" s="3">
        <f t="shared" ca="1" si="235"/>
        <v>0.16511933018190292</v>
      </c>
      <c r="BC389" s="3">
        <f t="shared" ca="1" si="236"/>
        <v>0.70879449881964685</v>
      </c>
      <c r="BD389" s="3">
        <f t="shared" ca="1" si="230"/>
        <v>5.3244593915937284E-2</v>
      </c>
      <c r="BE389" s="3">
        <f t="shared" ca="1" si="237"/>
        <v>0.70879449881964685</v>
      </c>
      <c r="BF389" s="3">
        <f t="shared" ca="1" si="238"/>
        <v>0.70879449881964685</v>
      </c>
    </row>
    <row r="390" spans="1:58" ht="15" x14ac:dyDescent="0.25">
      <c r="A390" s="72">
        <v>324</v>
      </c>
      <c r="B390" s="72">
        <v>1498730290.181</v>
      </c>
      <c r="C390" s="73">
        <v>1.7908731618784501E-4</v>
      </c>
      <c r="D390" s="73">
        <v>5.5512359047851502E-5</v>
      </c>
      <c r="E390" s="73">
        <v>1.1782626950846699E-2</v>
      </c>
      <c r="F390" s="73">
        <v>3.0857378495611403E-4</v>
      </c>
      <c r="G390" s="73">
        <v>0.21614472879416199</v>
      </c>
      <c r="H390" s="73">
        <v>8.6627188578011197E-6</v>
      </c>
      <c r="I390" s="73">
        <v>0.15601350452983601</v>
      </c>
      <c r="J390" s="73">
        <v>1.8768459239395101</v>
      </c>
      <c r="K390" s="73"/>
      <c r="L390" s="73"/>
      <c r="M390" s="73"/>
      <c r="O390" s="13">
        <f t="shared" ca="1" si="200"/>
        <v>-8.5599913083716578E-5</v>
      </c>
      <c r="P390" s="13">
        <f t="shared" ca="1" si="201"/>
        <v>4.422488366301133E-5</v>
      </c>
      <c r="Q390" s="13">
        <f t="shared" ca="1" si="202"/>
        <v>1.0941887332874014E-2</v>
      </c>
      <c r="R390" s="13">
        <f t="shared" ca="1" si="203"/>
        <v>2.9879750606543289E-4</v>
      </c>
      <c r="S390" s="13">
        <f t="shared" ca="1" si="204"/>
        <v>0.21500965016092063</v>
      </c>
      <c r="T390" s="13">
        <f t="shared" ca="1" si="205"/>
        <v>8.3128973467770333E-6</v>
      </c>
      <c r="U390" s="13">
        <f t="shared" ca="1" si="206"/>
        <v>0.15535966053504749</v>
      </c>
      <c r="V390" s="13">
        <f t="shared" ca="1" si="207"/>
        <v>1.869707143017056</v>
      </c>
      <c r="X390" s="3">
        <f t="shared" ca="1" si="208"/>
        <v>-8.5599913083716578E-5</v>
      </c>
      <c r="Y390" s="3">
        <f t="shared" ca="1" si="209"/>
        <v>4.422488366301133E-5</v>
      </c>
      <c r="Z390" s="3">
        <f t="shared" ca="1" si="210"/>
        <v>1.0941823732988706E-2</v>
      </c>
      <c r="AA390" s="3">
        <f t="shared" ca="1" si="211"/>
        <v>2.9725809975057917E-4</v>
      </c>
      <c r="AB390" s="3">
        <f t="shared" ca="1" si="212"/>
        <v>0.21499845513565441</v>
      </c>
      <c r="AC390" s="3">
        <f t="shared" ca="1" si="213"/>
        <v>8.3128973467770333E-6</v>
      </c>
      <c r="AD390" s="3">
        <f t="shared" ca="1" si="214"/>
        <v>0.15534312817849713</v>
      </c>
      <c r="AE390" s="3">
        <f t="shared" ca="1" si="215"/>
        <v>1.8697004345713613</v>
      </c>
      <c r="AG390" s="3">
        <f t="shared" ca="1" si="216"/>
        <v>-8.5599913083716578E-5</v>
      </c>
      <c r="AH390" s="3">
        <f t="shared" ca="1" si="217"/>
        <v>4.422488366301133E-5</v>
      </c>
      <c r="AI390" s="3">
        <f t="shared" ca="1" si="218"/>
        <v>1.0906200823778252E-2</v>
      </c>
      <c r="AJ390" s="3">
        <f t="shared" ca="1" si="219"/>
        <v>2.7758703349879178E-4</v>
      </c>
      <c r="AK390" s="3">
        <f t="shared" ca="1" si="220"/>
        <v>0.21499845513565441</v>
      </c>
      <c r="AL390" s="3">
        <f t="shared" ca="1" si="221"/>
        <v>8.3128973467770333E-6</v>
      </c>
      <c r="AM390" s="3">
        <f t="shared" ca="1" si="222"/>
        <v>0.15534312817849713</v>
      </c>
      <c r="AN390" s="3">
        <f t="shared" ca="1" si="223"/>
        <v>1.8697004345713613</v>
      </c>
      <c r="AP390" s="3">
        <f t="shared" ca="1" si="224"/>
        <v>8.6959219812585289</v>
      </c>
      <c r="AQ390" s="3">
        <f t="shared" ca="1" si="231"/>
        <v>0.40061647486513513</v>
      </c>
      <c r="AR390" s="3">
        <f t="shared" ca="1" si="225"/>
        <v>1.1970320357842756E-4</v>
      </c>
      <c r="AS390" s="3">
        <f t="shared" ca="1" si="226"/>
        <v>0.15523995733146906</v>
      </c>
      <c r="AT390" s="3">
        <f t="shared" ca="1" si="227"/>
        <v>0.70847891388879947</v>
      </c>
      <c r="AU390" s="3">
        <f t="shared" ca="1" si="228"/>
        <v>5.2885146823263583E-2</v>
      </c>
      <c r="AV390" s="10">
        <f t="shared" ca="1" si="232"/>
        <v>0.70847891388879947</v>
      </c>
      <c r="AW390" s="10">
        <f t="shared" ca="1" si="233"/>
        <v>0.70847891388879947</v>
      </c>
      <c r="AY390" s="3">
        <f t="shared" ca="1" si="239"/>
        <v>8.6963435778720548</v>
      </c>
      <c r="AZ390" s="3">
        <f t="shared" ca="1" si="234"/>
        <v>0.40063613317557234</v>
      </c>
      <c r="BA390" s="3">
        <f t="shared" ca="1" si="229"/>
        <v>1.11211395720634E-4</v>
      </c>
      <c r="BB390" s="3">
        <f t="shared" ca="1" si="235"/>
        <v>0.15523191678277651</v>
      </c>
      <c r="BC390" s="3">
        <f t="shared" ca="1" si="236"/>
        <v>0.70846181039839251</v>
      </c>
      <c r="BD390" s="3">
        <f t="shared" ca="1" si="230"/>
        <v>5.2718024063087489E-2</v>
      </c>
      <c r="BE390" s="3">
        <f t="shared" ca="1" si="237"/>
        <v>0.70846181039839251</v>
      </c>
      <c r="BF390" s="3">
        <f t="shared" ca="1" si="238"/>
        <v>0.70846181039839251</v>
      </c>
    </row>
    <row r="391" spans="1:58" ht="15" x14ac:dyDescent="0.25">
      <c r="A391" s="72">
        <v>325</v>
      </c>
      <c r="B391" s="72">
        <v>1498730290.7079999</v>
      </c>
      <c r="C391" s="73">
        <v>3.0350703707370598E-4</v>
      </c>
      <c r="D391" s="73">
        <v>-4.7354683851314798E-7</v>
      </c>
      <c r="E391" s="73">
        <v>1.22032041543743E-2</v>
      </c>
      <c r="F391" s="73">
        <v>3.2428248558812701E-4</v>
      </c>
      <c r="G391" s="73">
        <v>0.22505185561503399</v>
      </c>
      <c r="H391" s="73">
        <v>-4.3248169525449502E-5</v>
      </c>
      <c r="I391" s="73">
        <v>0.162485993772858</v>
      </c>
      <c r="J391" s="73">
        <v>1.9534340588782899</v>
      </c>
      <c r="K391" s="73"/>
      <c r="L391" s="73"/>
      <c r="M391" s="73"/>
      <c r="O391" s="13">
        <f t="shared" ca="1" si="200"/>
        <v>3.8819807802144399E-5</v>
      </c>
      <c r="P391" s="13">
        <f t="shared" ca="1" si="201"/>
        <v>-1.1761022223353322E-5</v>
      </c>
      <c r="Q391" s="13">
        <f t="shared" ca="1" si="202"/>
        <v>1.1362464536401615E-2</v>
      </c>
      <c r="R391" s="13">
        <f t="shared" ca="1" si="203"/>
        <v>3.1450620669744588E-4</v>
      </c>
      <c r="S391" s="13">
        <f t="shared" ca="1" si="204"/>
        <v>0.22391677698179263</v>
      </c>
      <c r="T391" s="13">
        <f t="shared" ca="1" si="205"/>
        <v>-4.3597991036473591E-5</v>
      </c>
      <c r="U391" s="13">
        <f t="shared" ca="1" si="206"/>
        <v>0.16183214977806948</v>
      </c>
      <c r="V391" s="13">
        <f t="shared" ca="1" si="207"/>
        <v>1.9462952779558358</v>
      </c>
      <c r="X391" s="3">
        <f t="shared" ca="1" si="208"/>
        <v>3.8819807802144399E-5</v>
      </c>
      <c r="Y391" s="3">
        <f t="shared" ca="1" si="209"/>
        <v>-1.1761022223353322E-5</v>
      </c>
      <c r="Z391" s="3">
        <f t="shared" ca="1" si="210"/>
        <v>1.1362464536401615E-2</v>
      </c>
      <c r="AA391" s="3">
        <f t="shared" ca="1" si="211"/>
        <v>3.1450620669744588E-4</v>
      </c>
      <c r="AB391" s="3">
        <f t="shared" ca="1" si="212"/>
        <v>0.22391677698179263</v>
      </c>
      <c r="AC391" s="3">
        <f t="shared" ca="1" si="213"/>
        <v>-4.3597991036473591E-5</v>
      </c>
      <c r="AD391" s="3">
        <f t="shared" ca="1" si="214"/>
        <v>0.16183214977806948</v>
      </c>
      <c r="AE391" s="3">
        <f t="shared" ca="1" si="215"/>
        <v>1.9462952779558358</v>
      </c>
      <c r="AG391" s="3">
        <f t="shared" ca="1" si="216"/>
        <v>3.8819807802144399E-5</v>
      </c>
      <c r="AH391" s="3">
        <f t="shared" ca="1" si="217"/>
        <v>-1.1761022223353322E-5</v>
      </c>
      <c r="AI391" s="3">
        <f t="shared" ca="1" si="218"/>
        <v>1.1362464536401615E-2</v>
      </c>
      <c r="AJ391" s="3">
        <f t="shared" ca="1" si="219"/>
        <v>3.1450620669744588E-4</v>
      </c>
      <c r="AK391" s="3">
        <f t="shared" ca="1" si="220"/>
        <v>0.22391677698179263</v>
      </c>
      <c r="AL391" s="3">
        <f t="shared" ca="1" si="221"/>
        <v>-4.3597991036473591E-5</v>
      </c>
      <c r="AM391" s="3">
        <f t="shared" ca="1" si="222"/>
        <v>0.16183214977806948</v>
      </c>
      <c r="AN391" s="3">
        <f t="shared" ca="1" si="223"/>
        <v>1.9462952779558358</v>
      </c>
      <c r="AP391" s="3">
        <f t="shared" ca="1" si="224"/>
        <v>8.6920475731664144</v>
      </c>
      <c r="AQ391" s="3">
        <f t="shared" ca="1" si="231"/>
        <v>0.40043581855439525</v>
      </c>
      <c r="AR391" s="3">
        <f t="shared" ca="1" si="225"/>
        <v>1.2593955031932956E-4</v>
      </c>
      <c r="AS391" s="3">
        <f t="shared" ca="1" si="226"/>
        <v>0.16170621022775014</v>
      </c>
      <c r="AT391" s="3">
        <f t="shared" ca="1" si="227"/>
        <v>0.70879214686075509</v>
      </c>
      <c r="AU391" s="3">
        <f t="shared" ca="1" si="228"/>
        <v>5.2709305606153389E-2</v>
      </c>
      <c r="AV391" s="10">
        <f t="shared" ca="1" si="232"/>
        <v>0.70879214686075509</v>
      </c>
      <c r="AW391" s="10">
        <f t="shared" ca="1" si="233"/>
        <v>0.70879214686075509</v>
      </c>
      <c r="AY391" s="3">
        <f t="shared" ca="1" si="239"/>
        <v>8.6920475731664144</v>
      </c>
      <c r="AZ391" s="3">
        <f t="shared" ca="1" si="234"/>
        <v>0.40043581855439525</v>
      </c>
      <c r="BA391" s="3">
        <f t="shared" ca="1" si="229"/>
        <v>1.2593955031932956E-4</v>
      </c>
      <c r="BB391" s="3">
        <f t="shared" ca="1" si="235"/>
        <v>0.16170621022775014</v>
      </c>
      <c r="BC391" s="3">
        <f t="shared" ca="1" si="236"/>
        <v>0.70879214686075509</v>
      </c>
      <c r="BD391" s="3">
        <f t="shared" ca="1" si="230"/>
        <v>5.2709305606153389E-2</v>
      </c>
      <c r="BE391" s="3">
        <f t="shared" ca="1" si="237"/>
        <v>0.70879214686075509</v>
      </c>
      <c r="BF391" s="3">
        <f t="shared" ca="1" si="238"/>
        <v>0.70879214686075509</v>
      </c>
    </row>
    <row r="392" spans="1:58" ht="15" x14ac:dyDescent="0.25">
      <c r="A392" s="72">
        <v>326</v>
      </c>
      <c r="B392" s="72">
        <v>1498730291.2349999</v>
      </c>
      <c r="C392" s="73">
        <v>3.6132109267385801E-4</v>
      </c>
      <c r="D392" s="73">
        <v>-1.4882910166764201E-5</v>
      </c>
      <c r="E392" s="73">
        <v>1.17648158654357E-2</v>
      </c>
      <c r="F392" s="73">
        <v>4.0497197798035399E-4</v>
      </c>
      <c r="G392" s="73">
        <v>0.216460470348422</v>
      </c>
      <c r="H392" s="73">
        <v>-1.0494098165789601E-5</v>
      </c>
      <c r="I392" s="73">
        <v>0.156334336843513</v>
      </c>
      <c r="J392" s="73">
        <v>1.8823496442929799</v>
      </c>
      <c r="K392" s="73"/>
      <c r="L392" s="73"/>
      <c r="M392" s="73"/>
      <c r="O392" s="13">
        <f t="shared" ca="1" si="200"/>
        <v>9.663386340229643E-5</v>
      </c>
      <c r="P392" s="13">
        <f t="shared" ca="1" si="201"/>
        <v>-2.6170385551604374E-5</v>
      </c>
      <c r="Q392" s="13">
        <f t="shared" ca="1" si="202"/>
        <v>1.0924076247463015E-2</v>
      </c>
      <c r="R392" s="13">
        <f t="shared" ca="1" si="203"/>
        <v>3.9519569908967286E-4</v>
      </c>
      <c r="S392" s="13">
        <f t="shared" ca="1" si="204"/>
        <v>0.21532539171518064</v>
      </c>
      <c r="T392" s="13">
        <f t="shared" ca="1" si="205"/>
        <v>-1.0843919676813687E-5</v>
      </c>
      <c r="U392" s="13">
        <f t="shared" ca="1" si="206"/>
        <v>0.15568049284872448</v>
      </c>
      <c r="V392" s="13">
        <f t="shared" ca="1" si="207"/>
        <v>1.8752108633705258</v>
      </c>
      <c r="X392" s="3">
        <f t="shared" ca="1" si="208"/>
        <v>9.663386340229643E-5</v>
      </c>
      <c r="Y392" s="3">
        <f t="shared" ca="1" si="209"/>
        <v>-2.6170385551604374E-5</v>
      </c>
      <c r="Z392" s="3">
        <f t="shared" ca="1" si="210"/>
        <v>1.0924076247463015E-2</v>
      </c>
      <c r="AA392" s="3">
        <f t="shared" ca="1" si="211"/>
        <v>3.9519569908967286E-4</v>
      </c>
      <c r="AB392" s="3">
        <f t="shared" ca="1" si="212"/>
        <v>0.21532539171518064</v>
      </c>
      <c r="AC392" s="3">
        <f t="shared" ca="1" si="213"/>
        <v>-1.0843919676813687E-5</v>
      </c>
      <c r="AD392" s="3">
        <f t="shared" ca="1" si="214"/>
        <v>0.15568049284872448</v>
      </c>
      <c r="AE392" s="3">
        <f t="shared" ca="1" si="215"/>
        <v>1.8752108633705258</v>
      </c>
      <c r="AG392" s="3">
        <f t="shared" ca="1" si="216"/>
        <v>9.663386340229643E-5</v>
      </c>
      <c r="AH392" s="3">
        <f t="shared" ca="1" si="217"/>
        <v>-2.6170385551604374E-5</v>
      </c>
      <c r="AI392" s="3">
        <f t="shared" ca="1" si="218"/>
        <v>1.0924076247463015E-2</v>
      </c>
      <c r="AJ392" s="3">
        <f t="shared" ca="1" si="219"/>
        <v>3.9519569908967286E-4</v>
      </c>
      <c r="AK392" s="3">
        <f t="shared" ca="1" si="220"/>
        <v>0.21532539171518064</v>
      </c>
      <c r="AL392" s="3">
        <f t="shared" ca="1" si="221"/>
        <v>-1.0843919676813687E-5</v>
      </c>
      <c r="AM392" s="3">
        <f t="shared" ca="1" si="222"/>
        <v>0.15568049284872448</v>
      </c>
      <c r="AN392" s="3">
        <f t="shared" ca="1" si="223"/>
        <v>1.8752108633705258</v>
      </c>
      <c r="AP392" s="3">
        <f t="shared" ca="1" si="224"/>
        <v>8.7087307652547583</v>
      </c>
      <c r="AQ392" s="3">
        <f t="shared" ca="1" si="231"/>
        <v>0.4012137311479177</v>
      </c>
      <c r="AR392" s="3">
        <f t="shared" ca="1" si="225"/>
        <v>1.585579409653774E-4</v>
      </c>
      <c r="AS392" s="3">
        <f t="shared" ca="1" si="226"/>
        <v>0.15552193490775912</v>
      </c>
      <c r="AT392" s="3">
        <f t="shared" ca="1" si="227"/>
        <v>0.70819989829739904</v>
      </c>
      <c r="AU392" s="3">
        <f t="shared" ca="1" si="228"/>
        <v>5.2801103281541445E-2</v>
      </c>
      <c r="AV392" s="10">
        <f t="shared" ca="1" si="232"/>
        <v>0.70819989829739904</v>
      </c>
      <c r="AW392" s="10">
        <f t="shared" ca="1" si="233"/>
        <v>0.70819989829739904</v>
      </c>
      <c r="AY392" s="3">
        <f t="shared" ca="1" si="239"/>
        <v>8.7087307652547583</v>
      </c>
      <c r="AZ392" s="3">
        <f t="shared" ca="1" si="234"/>
        <v>0.4012137311479177</v>
      </c>
      <c r="BA392" s="3">
        <f t="shared" ca="1" si="229"/>
        <v>1.585579409653774E-4</v>
      </c>
      <c r="BB392" s="3">
        <f t="shared" ca="1" si="235"/>
        <v>0.15552193490775912</v>
      </c>
      <c r="BC392" s="3">
        <f t="shared" ca="1" si="236"/>
        <v>0.70819989829739904</v>
      </c>
      <c r="BD392" s="3">
        <f t="shared" ca="1" si="230"/>
        <v>5.2801103281541445E-2</v>
      </c>
      <c r="BE392" s="3">
        <f t="shared" ca="1" si="237"/>
        <v>0.70819989829739904</v>
      </c>
      <c r="BF392" s="3">
        <f t="shared" ca="1" si="238"/>
        <v>0.70819989829739904</v>
      </c>
    </row>
    <row r="393" spans="1:58" ht="15" x14ac:dyDescent="0.25">
      <c r="A393" s="72">
        <v>327</v>
      </c>
      <c r="B393" s="72">
        <v>1498730291.7620001</v>
      </c>
      <c r="C393" s="73">
        <v>2.8851875421249799E-4</v>
      </c>
      <c r="D393" s="73">
        <v>-4.5590691183799E-5</v>
      </c>
      <c r="E393" s="73">
        <v>1.12984696800916E-2</v>
      </c>
      <c r="F393" s="73">
        <v>3.53082411766427E-4</v>
      </c>
      <c r="G393" s="73">
        <v>0.204572660350235</v>
      </c>
      <c r="H393" s="73">
        <v>1.9302467912645201E-6</v>
      </c>
      <c r="I393" s="73">
        <v>0.147744674626201</v>
      </c>
      <c r="J393" s="73">
        <v>1.77594111581943</v>
      </c>
      <c r="K393" s="73"/>
      <c r="L393" s="73"/>
      <c r="M393" s="73"/>
      <c r="O393" s="13">
        <f t="shared" ca="1" si="200"/>
        <v>2.3831524940936405E-5</v>
      </c>
      <c r="P393" s="13">
        <f t="shared" ca="1" si="201"/>
        <v>-5.6878166568639171E-5</v>
      </c>
      <c r="Q393" s="13">
        <f t="shared" ca="1" si="202"/>
        <v>1.0457730062118914E-2</v>
      </c>
      <c r="R393" s="13">
        <f t="shared" ca="1" si="203"/>
        <v>3.4330613287574587E-4</v>
      </c>
      <c r="S393" s="13">
        <f t="shared" ca="1" si="204"/>
        <v>0.20343758171699364</v>
      </c>
      <c r="T393" s="13">
        <f t="shared" ca="1" si="205"/>
        <v>1.5804252802404334E-6</v>
      </c>
      <c r="U393" s="13">
        <f t="shared" ca="1" si="206"/>
        <v>0.14709083063141248</v>
      </c>
      <c r="V393" s="13">
        <f t="shared" ca="1" si="207"/>
        <v>1.7688023348969759</v>
      </c>
      <c r="X393" s="3">
        <f t="shared" ca="1" si="208"/>
        <v>2.3831524940936405E-5</v>
      </c>
      <c r="Y393" s="3">
        <f t="shared" ca="1" si="209"/>
        <v>-5.6878166568639171E-5</v>
      </c>
      <c r="Z393" s="3">
        <f t="shared" ca="1" si="210"/>
        <v>1.0457717970682876E-2</v>
      </c>
      <c r="AA393" s="3">
        <f t="shared" ca="1" si="211"/>
        <v>3.430134651625448E-4</v>
      </c>
      <c r="AB393" s="3">
        <f t="shared" ca="1" si="212"/>
        <v>0.20343545334944552</v>
      </c>
      <c r="AC393" s="3">
        <f t="shared" ca="1" si="213"/>
        <v>1.5804252802404334E-6</v>
      </c>
      <c r="AD393" s="3">
        <f t="shared" ca="1" si="214"/>
        <v>0.14708768754505591</v>
      </c>
      <c r="AE393" s="3">
        <f t="shared" ca="1" si="215"/>
        <v>1.7688010595056503</v>
      </c>
      <c r="AG393" s="3">
        <f t="shared" ca="1" si="216"/>
        <v>2.3831524940936405E-5</v>
      </c>
      <c r="AH393" s="3">
        <f t="shared" ca="1" si="217"/>
        <v>-5.6878166568639171E-5</v>
      </c>
      <c r="AI393" s="3">
        <f t="shared" ca="1" si="218"/>
        <v>1.0457717970682876E-2</v>
      </c>
      <c r="AJ393" s="3">
        <f t="shared" ca="1" si="219"/>
        <v>3.430134651625448E-4</v>
      </c>
      <c r="AK393" s="3">
        <f t="shared" ca="1" si="220"/>
        <v>0.20343545334944552</v>
      </c>
      <c r="AL393" s="3">
        <f t="shared" ca="1" si="221"/>
        <v>1.5804252802404334E-6</v>
      </c>
      <c r="AM393" s="3">
        <f t="shared" ca="1" si="222"/>
        <v>0.14708768754505591</v>
      </c>
      <c r="AN393" s="3">
        <f t="shared" ca="1" si="223"/>
        <v>1.7688010595056503</v>
      </c>
      <c r="AP393" s="3">
        <f t="shared" ca="1" si="224"/>
        <v>8.6945701967574234</v>
      </c>
      <c r="AQ393" s="3">
        <f t="shared" ca="1" si="231"/>
        <v>0.40055344360338224</v>
      </c>
      <c r="AR393" s="3">
        <f t="shared" ca="1" si="225"/>
        <v>1.3751245373354033E-4</v>
      </c>
      <c r="AS393" s="3">
        <f t="shared" ca="1" si="226"/>
        <v>0.14695331817767895</v>
      </c>
      <c r="AT393" s="3">
        <f t="shared" ca="1" si="227"/>
        <v>0.70886507537871735</v>
      </c>
      <c r="AU393" s="3">
        <f t="shared" ca="1" si="228"/>
        <v>5.3411722614434429E-2</v>
      </c>
      <c r="AV393" s="10">
        <f t="shared" ca="1" si="232"/>
        <v>0.70886507537871735</v>
      </c>
      <c r="AW393" s="10">
        <f t="shared" ca="1" si="233"/>
        <v>0.70886507537871735</v>
      </c>
      <c r="AY393" s="3">
        <f t="shared" ca="1" si="239"/>
        <v>8.6946548911872412</v>
      </c>
      <c r="AZ393" s="3">
        <f t="shared" ca="1" si="234"/>
        <v>0.4005573927476821</v>
      </c>
      <c r="BA393" s="3">
        <f t="shared" ca="1" si="229"/>
        <v>1.3739657928285681E-4</v>
      </c>
      <c r="BB393" s="3">
        <f t="shared" ca="1" si="235"/>
        <v>0.14695029096577306</v>
      </c>
      <c r="BC393" s="3">
        <f t="shared" ca="1" si="236"/>
        <v>0.70885441166537699</v>
      </c>
      <c r="BD393" s="3">
        <f t="shared" ca="1" si="230"/>
        <v>5.3412752047663034E-2</v>
      </c>
      <c r="BE393" s="3">
        <f t="shared" ca="1" si="237"/>
        <v>0.70885441166537699</v>
      </c>
      <c r="BF393" s="3">
        <f t="shared" ca="1" si="238"/>
        <v>0.70885441166537699</v>
      </c>
    </row>
    <row r="394" spans="1:58" ht="15" x14ac:dyDescent="0.25">
      <c r="A394" s="72">
        <v>328</v>
      </c>
      <c r="B394" s="72">
        <v>1498730292.289</v>
      </c>
      <c r="C394" s="73">
        <v>3.0255539337835401E-4</v>
      </c>
      <c r="D394" s="73">
        <v>2.1259003513172599E-5</v>
      </c>
      <c r="E394" s="73">
        <v>1.1753503582245899E-2</v>
      </c>
      <c r="F394" s="73">
        <v>2.8524920039840198E-4</v>
      </c>
      <c r="G394" s="73">
        <v>0.21527283805703201</v>
      </c>
      <c r="H394" s="73">
        <v>-6.4873622775817204E-5</v>
      </c>
      <c r="I394" s="73">
        <v>0.155285369159159</v>
      </c>
      <c r="J394" s="73">
        <v>1.8673873768976701</v>
      </c>
      <c r="K394" s="73"/>
      <c r="L394" s="73"/>
      <c r="M394" s="73"/>
      <c r="O394" s="13">
        <f t="shared" ca="1" si="200"/>
        <v>3.7868164106792429E-5</v>
      </c>
      <c r="P394" s="13">
        <f t="shared" ca="1" si="201"/>
        <v>9.9715281283324263E-6</v>
      </c>
      <c r="Q394" s="13">
        <f t="shared" ca="1" si="202"/>
        <v>1.0912763964273214E-2</v>
      </c>
      <c r="R394" s="13">
        <f t="shared" ca="1" si="203"/>
        <v>2.7547292150772085E-4</v>
      </c>
      <c r="S394" s="13">
        <f t="shared" ca="1" si="204"/>
        <v>0.21413775942379065</v>
      </c>
      <c r="T394" s="13">
        <f t="shared" ca="1" si="205"/>
        <v>-6.5223444286841294E-5</v>
      </c>
      <c r="U394" s="13">
        <f t="shared" ca="1" si="206"/>
        <v>0.15463152516437048</v>
      </c>
      <c r="V394" s="13">
        <f t="shared" ca="1" si="207"/>
        <v>1.860248595975216</v>
      </c>
      <c r="X394" s="3">
        <f t="shared" ca="1" si="208"/>
        <v>3.7868164106792429E-5</v>
      </c>
      <c r="Y394" s="3">
        <f t="shared" ca="1" si="209"/>
        <v>9.9715281283324263E-6</v>
      </c>
      <c r="Z394" s="3">
        <f t="shared" ca="1" si="210"/>
        <v>1.0912763964273214E-2</v>
      </c>
      <c r="AA394" s="3">
        <f t="shared" ca="1" si="211"/>
        <v>2.7547292150772085E-4</v>
      </c>
      <c r="AB394" s="3">
        <f t="shared" ca="1" si="212"/>
        <v>0.21413775942379065</v>
      </c>
      <c r="AC394" s="3">
        <f t="shared" ca="1" si="213"/>
        <v>-6.5223444286841294E-5</v>
      </c>
      <c r="AD394" s="3">
        <f t="shared" ca="1" si="214"/>
        <v>0.15463152516437048</v>
      </c>
      <c r="AE394" s="3">
        <f t="shared" ca="1" si="215"/>
        <v>1.860248595975216</v>
      </c>
      <c r="AG394" s="3">
        <f t="shared" ca="1" si="216"/>
        <v>3.7868164106792429E-5</v>
      </c>
      <c r="AH394" s="3">
        <f t="shared" ca="1" si="217"/>
        <v>9.9715281283324263E-6</v>
      </c>
      <c r="AI394" s="3">
        <f t="shared" ca="1" si="218"/>
        <v>1.0904731951257379E-2</v>
      </c>
      <c r="AJ394" s="3">
        <f t="shared" ca="1" si="219"/>
        <v>2.7103762232324736E-4</v>
      </c>
      <c r="AK394" s="3">
        <f t="shared" ca="1" si="220"/>
        <v>0.21413775942379065</v>
      </c>
      <c r="AL394" s="3">
        <f t="shared" ca="1" si="221"/>
        <v>-6.5223444286841294E-5</v>
      </c>
      <c r="AM394" s="3">
        <f t="shared" ca="1" si="222"/>
        <v>0.15463152516437048</v>
      </c>
      <c r="AN394" s="3">
        <f t="shared" ca="1" si="223"/>
        <v>1.860248595975216</v>
      </c>
      <c r="AP394" s="3">
        <f t="shared" ca="1" si="224"/>
        <v>8.6871582152574955</v>
      </c>
      <c r="AQ394" s="3">
        <f t="shared" ca="1" si="231"/>
        <v>0.400207838450162</v>
      </c>
      <c r="AR394" s="3">
        <f t="shared" ca="1" si="225"/>
        <v>1.1024642246815611E-4</v>
      </c>
      <c r="AS394" s="3">
        <f t="shared" ca="1" si="226"/>
        <v>0.15452127874190233</v>
      </c>
      <c r="AT394" s="3">
        <f t="shared" ca="1" si="227"/>
        <v>0.70842997944949515</v>
      </c>
      <c r="AU394" s="3">
        <f t="shared" ca="1" si="228"/>
        <v>5.2904528845043312E-2</v>
      </c>
      <c r="AV394" s="10">
        <f t="shared" ca="1" si="232"/>
        <v>0.70842997944949515</v>
      </c>
      <c r="AW394" s="10">
        <f t="shared" ca="1" si="233"/>
        <v>0.70842997944949515</v>
      </c>
      <c r="AY394" s="3">
        <f t="shared" ca="1" si="239"/>
        <v>8.6871582152574955</v>
      </c>
      <c r="AZ394" s="3">
        <f t="shared" ca="1" si="234"/>
        <v>0.400207838450162</v>
      </c>
      <c r="BA394" s="3">
        <f t="shared" ca="1" si="229"/>
        <v>1.084713809686582E-4</v>
      </c>
      <c r="BB394" s="3">
        <f t="shared" ca="1" si="235"/>
        <v>0.15452305378340184</v>
      </c>
      <c r="BC394" s="3">
        <f t="shared" ca="1" si="236"/>
        <v>0.70843811743944229</v>
      </c>
      <c r="BD394" s="3">
        <f t="shared" ca="1" si="230"/>
        <v>5.2865590051381944E-2</v>
      </c>
      <c r="BE394" s="3">
        <f t="shared" ca="1" si="237"/>
        <v>0.70843811743944229</v>
      </c>
      <c r="BF394" s="3">
        <f t="shared" ca="1" si="238"/>
        <v>0.70843811743944229</v>
      </c>
    </row>
    <row r="395" spans="1:58" ht="15" x14ac:dyDescent="0.25">
      <c r="A395" s="72">
        <v>329</v>
      </c>
      <c r="B395" s="72">
        <v>1498730292.816</v>
      </c>
      <c r="C395" s="73">
        <v>2.7281698488515498E-4</v>
      </c>
      <c r="D395" s="73">
        <v>-3.0945560325549701E-5</v>
      </c>
      <c r="E395" s="73">
        <v>1.2127838876006001E-2</v>
      </c>
      <c r="F395" s="73">
        <v>3.89023980329121E-4</v>
      </c>
      <c r="G395" s="73">
        <v>0.22263328210539199</v>
      </c>
      <c r="H395" s="73">
        <v>3.1958235940558697E-5</v>
      </c>
      <c r="I395" s="73">
        <v>0.16074995164105399</v>
      </c>
      <c r="J395" s="73">
        <v>1.93309974243592</v>
      </c>
      <c r="K395" s="73"/>
      <c r="L395" s="73"/>
      <c r="M395" s="73"/>
      <c r="O395" s="13">
        <f t="shared" ca="1" si="200"/>
        <v>8.1297556135933994E-6</v>
      </c>
      <c r="P395" s="13">
        <f t="shared" ca="1" si="201"/>
        <v>-4.2233035710389873E-5</v>
      </c>
      <c r="Q395" s="13">
        <f t="shared" ca="1" si="202"/>
        <v>1.1287099258033315E-2</v>
      </c>
      <c r="R395" s="13">
        <f t="shared" ca="1" si="203"/>
        <v>3.7924770143843987E-4</v>
      </c>
      <c r="S395" s="13">
        <f t="shared" ca="1" si="204"/>
        <v>0.22149820347215063</v>
      </c>
      <c r="T395" s="13">
        <f t="shared" ca="1" si="205"/>
        <v>3.1608414429534608E-5</v>
      </c>
      <c r="U395" s="13">
        <f t="shared" ca="1" si="206"/>
        <v>0.16009610764626547</v>
      </c>
      <c r="V395" s="13">
        <f t="shared" ca="1" si="207"/>
        <v>1.9259609615134659</v>
      </c>
      <c r="X395" s="3">
        <f t="shared" ca="1" si="208"/>
        <v>8.1297556135933994E-6</v>
      </c>
      <c r="Y395" s="3">
        <f t="shared" ca="1" si="209"/>
        <v>-4.2233035710389873E-5</v>
      </c>
      <c r="Z395" s="3">
        <f t="shared" ca="1" si="210"/>
        <v>1.1286857430010106E-2</v>
      </c>
      <c r="AA395" s="3">
        <f t="shared" ca="1" si="211"/>
        <v>3.7339436405851861E-4</v>
      </c>
      <c r="AB395" s="3">
        <f t="shared" ca="1" si="212"/>
        <v>0.22145563624397457</v>
      </c>
      <c r="AC395" s="3">
        <f t="shared" ca="1" si="213"/>
        <v>3.1608414429534608E-5</v>
      </c>
      <c r="AD395" s="3">
        <f t="shared" ca="1" si="214"/>
        <v>0.16003324610045999</v>
      </c>
      <c r="AE395" s="3">
        <f t="shared" ca="1" si="215"/>
        <v>1.9259354537605309</v>
      </c>
      <c r="AG395" s="3">
        <f t="shared" ca="1" si="216"/>
        <v>8.1297556135933994E-6</v>
      </c>
      <c r="AH395" s="3">
        <f t="shared" ca="1" si="217"/>
        <v>-4.2233035710389873E-5</v>
      </c>
      <c r="AI395" s="3">
        <f t="shared" ca="1" si="218"/>
        <v>1.1286857430010106E-2</v>
      </c>
      <c r="AJ395" s="3">
        <f t="shared" ca="1" si="219"/>
        <v>3.7339436405851861E-4</v>
      </c>
      <c r="AK395" s="3">
        <f t="shared" ca="1" si="220"/>
        <v>0.22145563624397457</v>
      </c>
      <c r="AL395" s="3">
        <f t="shared" ca="1" si="221"/>
        <v>3.1608414429534608E-5</v>
      </c>
      <c r="AM395" s="3">
        <f t="shared" ca="1" si="222"/>
        <v>0.16003324610045999</v>
      </c>
      <c r="AN395" s="3">
        <f t="shared" ca="1" si="223"/>
        <v>1.9259354537605309</v>
      </c>
      <c r="AP395" s="3">
        <f t="shared" ca="1" si="224"/>
        <v>8.6951538717812689</v>
      </c>
      <c r="AQ395" s="3">
        <f t="shared" ca="1" si="231"/>
        <v>0.40058065929750208</v>
      </c>
      <c r="AR395" s="3">
        <f t="shared" ca="1" si="225"/>
        <v>1.5191929427927248E-4</v>
      </c>
      <c r="AS395" s="3">
        <f t="shared" ca="1" si="226"/>
        <v>0.15994418835198621</v>
      </c>
      <c r="AT395" s="3">
        <f t="shared" ca="1" si="227"/>
        <v>0.70859640154288162</v>
      </c>
      <c r="AU395" s="3">
        <f t="shared" ca="1" si="228"/>
        <v>5.295077362856021E-2</v>
      </c>
      <c r="AV395" s="10">
        <f t="shared" ca="1" si="232"/>
        <v>0.70859640154288162</v>
      </c>
      <c r="AW395" s="10">
        <f t="shared" ca="1" si="233"/>
        <v>0.70859640154288162</v>
      </c>
      <c r="AY395" s="3">
        <f t="shared" ca="1" si="239"/>
        <v>8.6967100337819119</v>
      </c>
      <c r="AZ395" s="3">
        <f t="shared" ca="1" si="234"/>
        <v>0.40065322038112694</v>
      </c>
      <c r="BA395" s="3">
        <f t="shared" ca="1" si="229"/>
        <v>1.496016544322084E-4</v>
      </c>
      <c r="BB395" s="3">
        <f t="shared" ca="1" si="235"/>
        <v>0.15988364444602779</v>
      </c>
      <c r="BC395" s="3">
        <f t="shared" ca="1" si="236"/>
        <v>0.70840048369307618</v>
      </c>
      <c r="BD395" s="3">
        <f t="shared" ca="1" si="230"/>
        <v>5.2969515447167215E-2</v>
      </c>
      <c r="BE395" s="3">
        <f t="shared" ca="1" si="237"/>
        <v>0.70840048369307618</v>
      </c>
      <c r="BF395" s="3">
        <f t="shared" ca="1" si="238"/>
        <v>0.70840048369307618</v>
      </c>
    </row>
    <row r="396" spans="1:58" ht="15" x14ac:dyDescent="0.25">
      <c r="A396" s="72">
        <v>330</v>
      </c>
      <c r="B396" s="72">
        <v>1498730293.3429999</v>
      </c>
      <c r="C396" s="73">
        <v>4.2532491799748801E-4</v>
      </c>
      <c r="D396" s="73">
        <v>6.7560372106029702E-5</v>
      </c>
      <c r="E396" s="73">
        <v>1.1692852648246099E-2</v>
      </c>
      <c r="F396" s="73">
        <v>4.2925150809640199E-4</v>
      </c>
      <c r="G396" s="73">
        <v>0.21591345311430801</v>
      </c>
      <c r="H396" s="73">
        <v>4.3869555722361603E-6</v>
      </c>
      <c r="I396" s="73">
        <v>0.156010171565857</v>
      </c>
      <c r="J396" s="73">
        <v>1.87526988245474</v>
      </c>
      <c r="K396" s="73"/>
      <c r="L396" s="73"/>
      <c r="M396" s="73"/>
      <c r="O396" s="13">
        <f t="shared" ca="1" si="200"/>
        <v>1.6063768872592643E-4</v>
      </c>
      <c r="P396" s="13">
        <f t="shared" ca="1" si="201"/>
        <v>5.627289672118953E-5</v>
      </c>
      <c r="Q396" s="13">
        <f t="shared" ca="1" si="202"/>
        <v>1.0852113030273414E-2</v>
      </c>
      <c r="R396" s="13">
        <f t="shared" ca="1" si="203"/>
        <v>4.1947522920572085E-4</v>
      </c>
      <c r="S396" s="13">
        <f t="shared" ca="1" si="204"/>
        <v>0.21477837448106665</v>
      </c>
      <c r="T396" s="13">
        <f t="shared" ca="1" si="205"/>
        <v>4.0371340612120738E-6</v>
      </c>
      <c r="U396" s="13">
        <f t="shared" ca="1" si="206"/>
        <v>0.15535632757106849</v>
      </c>
      <c r="V396" s="13">
        <f t="shared" ca="1" si="207"/>
        <v>1.8681311015322859</v>
      </c>
      <c r="X396" s="3">
        <f t="shared" ca="1" si="208"/>
        <v>1.6063768872592643E-4</v>
      </c>
      <c r="Y396" s="3">
        <f t="shared" ca="1" si="209"/>
        <v>5.627289672118953E-5</v>
      </c>
      <c r="Z396" s="3">
        <f t="shared" ca="1" si="210"/>
        <v>1.0852082143176827E-2</v>
      </c>
      <c r="AA396" s="3">
        <f t="shared" ca="1" si="211"/>
        <v>4.1872762107242057E-4</v>
      </c>
      <c r="AB396" s="3">
        <f t="shared" ca="1" si="212"/>
        <v>0.21477293765008787</v>
      </c>
      <c r="AC396" s="3">
        <f t="shared" ca="1" si="213"/>
        <v>4.0371340612120738E-6</v>
      </c>
      <c r="AD396" s="3">
        <f t="shared" ca="1" si="214"/>
        <v>0.15534829868090452</v>
      </c>
      <c r="AE396" s="3">
        <f t="shared" ca="1" si="215"/>
        <v>1.868127843595434</v>
      </c>
      <c r="AG396" s="3">
        <f t="shared" ca="1" si="216"/>
        <v>1.6063768872592643E-4</v>
      </c>
      <c r="AH396" s="3">
        <f t="shared" ca="1" si="217"/>
        <v>5.627289672118953E-5</v>
      </c>
      <c r="AI396" s="3">
        <f t="shared" ca="1" si="218"/>
        <v>1.0806754623353756E-2</v>
      </c>
      <c r="AJ396" s="3">
        <f t="shared" ca="1" si="219"/>
        <v>3.9369764274579954E-4</v>
      </c>
      <c r="AK396" s="3">
        <f t="shared" ca="1" si="220"/>
        <v>0.21477293765008787</v>
      </c>
      <c r="AL396" s="3">
        <f t="shared" ca="1" si="221"/>
        <v>4.0371340612120738E-6</v>
      </c>
      <c r="AM396" s="3">
        <f t="shared" ca="1" si="222"/>
        <v>0.15534829868090452</v>
      </c>
      <c r="AN396" s="3">
        <f t="shared" ca="1" si="223"/>
        <v>1.868127843595434</v>
      </c>
      <c r="AP396" s="3">
        <f t="shared" ca="1" si="224"/>
        <v>8.6979478546010096</v>
      </c>
      <c r="AQ396" s="3">
        <f t="shared" ca="1" si="231"/>
        <v>0.40071093789056622</v>
      </c>
      <c r="AR396" s="3">
        <f t="shared" ca="1" si="225"/>
        <v>1.6808831251688465E-4</v>
      </c>
      <c r="AS396" s="3">
        <f t="shared" ca="1" si="226"/>
        <v>0.1551882392585516</v>
      </c>
      <c r="AT396" s="3">
        <f t="shared" ca="1" si="227"/>
        <v>0.70892236145827014</v>
      </c>
      <c r="AU396" s="3">
        <f t="shared" ca="1" si="228"/>
        <v>5.2520240105825428E-2</v>
      </c>
      <c r="AV396" s="10">
        <f t="shared" ca="1" si="232"/>
        <v>0.70892236145827014</v>
      </c>
      <c r="AW396" s="10">
        <f t="shared" ca="1" si="233"/>
        <v>0.70892236145827014</v>
      </c>
      <c r="AY396" s="3">
        <f t="shared" ca="1" si="239"/>
        <v>8.6981528680257814</v>
      </c>
      <c r="AZ396" s="3">
        <f t="shared" ca="1" si="234"/>
        <v>0.40072049733245063</v>
      </c>
      <c r="BA396" s="3">
        <f t="shared" ca="1" si="229"/>
        <v>1.5776271519971026E-4</v>
      </c>
      <c r="BB396" s="3">
        <f t="shared" ca="1" si="235"/>
        <v>0.15519053596570481</v>
      </c>
      <c r="BC396" s="3">
        <f t="shared" ca="1" si="236"/>
        <v>0.70894238430820733</v>
      </c>
      <c r="BD396" s="3">
        <f t="shared" ca="1" si="230"/>
        <v>5.2303307476802834E-2</v>
      </c>
      <c r="BE396" s="3">
        <f t="shared" ca="1" si="237"/>
        <v>0.70894238430820733</v>
      </c>
      <c r="BF396" s="3">
        <f t="shared" ca="1" si="238"/>
        <v>0.70894238430820733</v>
      </c>
    </row>
    <row r="397" spans="1:58" ht="15" x14ac:dyDescent="0.25">
      <c r="A397" s="72">
        <v>331</v>
      </c>
      <c r="B397" s="72">
        <v>1498730293.8699999</v>
      </c>
      <c r="C397" s="73">
        <v>3.1397517758028102E-4</v>
      </c>
      <c r="D397" s="73">
        <v>4.9370291045424099E-5</v>
      </c>
      <c r="E397" s="73">
        <v>1.2009625427241001E-2</v>
      </c>
      <c r="F397" s="73">
        <v>3.8235922093275303E-4</v>
      </c>
      <c r="G397" s="73">
        <v>0.21989645081088999</v>
      </c>
      <c r="H397" s="73">
        <v>2.7894120931678999E-5</v>
      </c>
      <c r="I397" s="73">
        <v>0.15867395397244299</v>
      </c>
      <c r="J397" s="73">
        <v>1.9066736735947301</v>
      </c>
      <c r="K397" s="73"/>
      <c r="L397" s="73"/>
      <c r="M397" s="73"/>
      <c r="O397" s="13">
        <f t="shared" ca="1" si="200"/>
        <v>4.9287948308719437E-5</v>
      </c>
      <c r="P397" s="13">
        <f t="shared" ca="1" si="201"/>
        <v>3.8082815660583928E-5</v>
      </c>
      <c r="Q397" s="13">
        <f t="shared" ca="1" si="202"/>
        <v>1.1168885809268315E-2</v>
      </c>
      <c r="R397" s="13">
        <f t="shared" ca="1" si="203"/>
        <v>3.7258294204207189E-4</v>
      </c>
      <c r="S397" s="13">
        <f t="shared" ca="1" si="204"/>
        <v>0.21876137217764863</v>
      </c>
      <c r="T397" s="13">
        <f t="shared" ca="1" si="205"/>
        <v>2.7544299420654912E-5</v>
      </c>
      <c r="U397" s="13">
        <f t="shared" ca="1" si="206"/>
        <v>0.15802010997765448</v>
      </c>
      <c r="V397" s="13">
        <f t="shared" ca="1" si="207"/>
        <v>1.8995348926722759</v>
      </c>
      <c r="X397" s="3">
        <f t="shared" ca="1" si="208"/>
        <v>4.9287948308719437E-5</v>
      </c>
      <c r="Y397" s="3">
        <f t="shared" ca="1" si="209"/>
        <v>3.8082815660583928E-5</v>
      </c>
      <c r="Z397" s="3">
        <f t="shared" ca="1" si="210"/>
        <v>1.1168675074766134E-2</v>
      </c>
      <c r="AA397" s="3">
        <f t="shared" ca="1" si="211"/>
        <v>3.6748220920518478E-4</v>
      </c>
      <c r="AB397" s="3">
        <f t="shared" ca="1" si="212"/>
        <v>0.21872427811584422</v>
      </c>
      <c r="AC397" s="3">
        <f t="shared" ca="1" si="213"/>
        <v>2.7544299420654912E-5</v>
      </c>
      <c r="AD397" s="3">
        <f t="shared" ca="1" si="214"/>
        <v>0.15796533098063861</v>
      </c>
      <c r="AE397" s="3">
        <f t="shared" ca="1" si="215"/>
        <v>1.8995126646296148</v>
      </c>
      <c r="AG397" s="3">
        <f t="shared" ca="1" si="216"/>
        <v>4.9287948308719437E-5</v>
      </c>
      <c r="AH397" s="3">
        <f t="shared" ca="1" si="217"/>
        <v>3.8082815660583928E-5</v>
      </c>
      <c r="AI397" s="3">
        <f t="shared" ca="1" si="218"/>
        <v>1.1137999568752534E-2</v>
      </c>
      <c r="AJ397" s="3">
        <f t="shared" ca="1" si="219"/>
        <v>3.5054311230168047E-4</v>
      </c>
      <c r="AK397" s="3">
        <f t="shared" ca="1" si="220"/>
        <v>0.21872427811584422</v>
      </c>
      <c r="AL397" s="3">
        <f t="shared" ca="1" si="221"/>
        <v>2.7544299420654912E-5</v>
      </c>
      <c r="AM397" s="3">
        <f t="shared" ca="1" si="222"/>
        <v>0.15796533098063861</v>
      </c>
      <c r="AN397" s="3">
        <f t="shared" ca="1" si="223"/>
        <v>1.8995126646296148</v>
      </c>
      <c r="AP397" s="3">
        <f t="shared" ca="1" si="224"/>
        <v>8.6831366697120949</v>
      </c>
      <c r="AQ397" s="3">
        <f t="shared" ca="1" si="231"/>
        <v>0.40002032371168927</v>
      </c>
      <c r="AR397" s="3">
        <f t="shared" ca="1" si="225"/>
        <v>1.4904074908512316E-4</v>
      </c>
      <c r="AS397" s="3">
        <f t="shared" ca="1" si="226"/>
        <v>0.15787106922856936</v>
      </c>
      <c r="AT397" s="3">
        <f t="shared" ca="1" si="227"/>
        <v>0.70865535550734005</v>
      </c>
      <c r="AU397" s="3">
        <f t="shared" ca="1" si="228"/>
        <v>5.2976685779254802E-2</v>
      </c>
      <c r="AV397" s="10">
        <f t="shared" ca="1" si="232"/>
        <v>0.70865535550734005</v>
      </c>
      <c r="AW397" s="10">
        <f t="shared" ca="1" si="233"/>
        <v>0.70865535550734005</v>
      </c>
      <c r="AY397" s="3">
        <f t="shared" ca="1" si="239"/>
        <v>8.6845076412759479</v>
      </c>
      <c r="AZ397" s="3">
        <f t="shared" ca="1" si="234"/>
        <v>0.40008424861209074</v>
      </c>
      <c r="BA397" s="3">
        <f t="shared" ca="1" si="229"/>
        <v>1.4024677769136157E-4</v>
      </c>
      <c r="BB397" s="3">
        <f t="shared" ca="1" si="235"/>
        <v>0.15782508420294725</v>
      </c>
      <c r="BC397" s="3">
        <f t="shared" ca="1" si="236"/>
        <v>0.70851275174459105</v>
      </c>
      <c r="BD397" s="3">
        <f t="shared" ca="1" si="230"/>
        <v>5.2847681308522576E-2</v>
      </c>
      <c r="BE397" s="3">
        <f t="shared" ca="1" si="237"/>
        <v>0.70851275174459105</v>
      </c>
      <c r="BF397" s="3">
        <f t="shared" ca="1" si="238"/>
        <v>0.70851275174459105</v>
      </c>
    </row>
    <row r="398" spans="1:58" ht="15" x14ac:dyDescent="0.25">
      <c r="A398" s="72">
        <v>332</v>
      </c>
      <c r="B398" s="72">
        <v>1498730294.3970001</v>
      </c>
      <c r="C398" s="73">
        <v>3.2039886358498201E-4</v>
      </c>
      <c r="D398" s="73">
        <v>-4.4892920784146004E-6</v>
      </c>
      <c r="E398" s="73">
        <v>1.2046941825499599E-2</v>
      </c>
      <c r="F398" s="73">
        <v>3.8688173138760201E-4</v>
      </c>
      <c r="G398" s="73">
        <v>0.220343267512529</v>
      </c>
      <c r="H398" s="73">
        <v>-7.9432189556162993E-6</v>
      </c>
      <c r="I398" s="73">
        <v>0.15910994239291501</v>
      </c>
      <c r="J398" s="73">
        <v>1.9137435344357201</v>
      </c>
      <c r="K398" s="73"/>
      <c r="L398" s="73"/>
      <c r="M398" s="73"/>
      <c r="O398" s="13">
        <f t="shared" ca="1" si="200"/>
        <v>5.5711634313420429E-5</v>
      </c>
      <c r="P398" s="13">
        <f t="shared" ca="1" si="201"/>
        <v>-1.5776767463254774E-5</v>
      </c>
      <c r="Q398" s="13">
        <f t="shared" ca="1" si="202"/>
        <v>1.1206202207526914E-2</v>
      </c>
      <c r="R398" s="13">
        <f t="shared" ca="1" si="203"/>
        <v>3.7710545249692088E-4</v>
      </c>
      <c r="S398" s="13">
        <f t="shared" ca="1" si="204"/>
        <v>0.21920818887928764</v>
      </c>
      <c r="T398" s="13">
        <f t="shared" ca="1" si="205"/>
        <v>-8.2930404666403858E-6</v>
      </c>
      <c r="U398" s="13">
        <f t="shared" ca="1" si="206"/>
        <v>0.15845609839812649</v>
      </c>
      <c r="V398" s="13">
        <f t="shared" ca="1" si="207"/>
        <v>1.906604753513266</v>
      </c>
      <c r="X398" s="3">
        <f t="shared" ca="1" si="208"/>
        <v>5.5711634313420429E-5</v>
      </c>
      <c r="Y398" s="3">
        <f t="shared" ca="1" si="209"/>
        <v>-1.5776767463254774E-5</v>
      </c>
      <c r="Z398" s="3">
        <f t="shared" ca="1" si="210"/>
        <v>1.1206202207526914E-2</v>
      </c>
      <c r="AA398" s="3">
        <f t="shared" ca="1" si="211"/>
        <v>3.7710545249692088E-4</v>
      </c>
      <c r="AB398" s="3">
        <f t="shared" ca="1" si="212"/>
        <v>0.21920818887928764</v>
      </c>
      <c r="AC398" s="3">
        <f t="shared" ca="1" si="213"/>
        <v>-8.2930404666403858E-6</v>
      </c>
      <c r="AD398" s="3">
        <f t="shared" ca="1" si="214"/>
        <v>0.15845609839812649</v>
      </c>
      <c r="AE398" s="3">
        <f t="shared" ca="1" si="215"/>
        <v>1.906604753513266</v>
      </c>
      <c r="AG398" s="3">
        <f t="shared" ca="1" si="216"/>
        <v>5.5711634313420429E-5</v>
      </c>
      <c r="AH398" s="3">
        <f t="shared" ca="1" si="217"/>
        <v>-1.5776767463254774E-5</v>
      </c>
      <c r="AI398" s="3">
        <f t="shared" ca="1" si="218"/>
        <v>1.1206202207526914E-2</v>
      </c>
      <c r="AJ398" s="3">
        <f t="shared" ca="1" si="219"/>
        <v>3.7710545249692088E-4</v>
      </c>
      <c r="AK398" s="3">
        <f t="shared" ca="1" si="220"/>
        <v>0.21920818887928764</v>
      </c>
      <c r="AL398" s="3">
        <f t="shared" ca="1" si="221"/>
        <v>-8.2930404666403858E-6</v>
      </c>
      <c r="AM398" s="3">
        <f t="shared" ca="1" si="222"/>
        <v>0.15845609839812649</v>
      </c>
      <c r="AN398" s="3">
        <f t="shared" ca="1" si="223"/>
        <v>1.906604753513266</v>
      </c>
      <c r="AP398" s="3">
        <f t="shared" ca="1" si="224"/>
        <v>8.6976894579571784</v>
      </c>
      <c r="AQ398" s="3">
        <f t="shared" ca="1" si="231"/>
        <v>0.40069888928006925</v>
      </c>
      <c r="AR398" s="3">
        <f t="shared" ca="1" si="225"/>
        <v>1.5110573595697411E-4</v>
      </c>
      <c r="AS398" s="3">
        <f t="shared" ca="1" si="226"/>
        <v>0.15830499266216952</v>
      </c>
      <c r="AT398" s="3">
        <f t="shared" ca="1" si="227"/>
        <v>0.70855694046656015</v>
      </c>
      <c r="AU398" s="3">
        <f t="shared" ca="1" si="228"/>
        <v>5.3136313952324349E-2</v>
      </c>
      <c r="AV398" s="10">
        <f t="shared" ca="1" si="232"/>
        <v>0.70855694046656015</v>
      </c>
      <c r="AW398" s="10">
        <f t="shared" ca="1" si="233"/>
        <v>0.70855694046656015</v>
      </c>
      <c r="AY398" s="3">
        <f t="shared" ca="1" si="239"/>
        <v>8.6976894579571784</v>
      </c>
      <c r="AZ398" s="3">
        <f t="shared" ca="1" si="234"/>
        <v>0.40069888928006925</v>
      </c>
      <c r="BA398" s="3">
        <f t="shared" ca="1" si="229"/>
        <v>1.5110573595697411E-4</v>
      </c>
      <c r="BB398" s="3">
        <f t="shared" ca="1" si="235"/>
        <v>0.15830499266216952</v>
      </c>
      <c r="BC398" s="3">
        <f t="shared" ca="1" si="236"/>
        <v>0.70855694046656015</v>
      </c>
      <c r="BD398" s="3">
        <f t="shared" ca="1" si="230"/>
        <v>5.3136313952324349E-2</v>
      </c>
      <c r="BE398" s="3">
        <f t="shared" ca="1" si="237"/>
        <v>0.70855694046656015</v>
      </c>
      <c r="BF398" s="3">
        <f t="shared" ca="1" si="238"/>
        <v>0.70855694046656015</v>
      </c>
    </row>
    <row r="399" spans="1:58" ht="15" x14ac:dyDescent="0.25">
      <c r="A399" s="72">
        <v>333</v>
      </c>
      <c r="B399" s="72">
        <v>1498730294.924</v>
      </c>
      <c r="C399" s="73">
        <v>2.6068396859886398E-4</v>
      </c>
      <c r="D399" s="73">
        <v>4.9606523726923902E-5</v>
      </c>
      <c r="E399" s="73">
        <v>1.19499220547195E-2</v>
      </c>
      <c r="F399" s="73">
        <v>3.67125652161752E-4</v>
      </c>
      <c r="G399" s="73">
        <v>0.21775523897133001</v>
      </c>
      <c r="H399" s="73">
        <v>-2.2940502786949499E-5</v>
      </c>
      <c r="I399" s="73">
        <v>0.15716232159561599</v>
      </c>
      <c r="J399" s="73">
        <v>1.8899753607854</v>
      </c>
      <c r="K399" s="73"/>
      <c r="L399" s="73"/>
      <c r="M399" s="73"/>
      <c r="O399" s="13">
        <f t="shared" ca="1" si="200"/>
        <v>-4.0032606726976019E-6</v>
      </c>
      <c r="P399" s="13">
        <f t="shared" ca="1" si="201"/>
        <v>3.8319048342083731E-5</v>
      </c>
      <c r="Q399" s="13">
        <f t="shared" ca="1" si="202"/>
        <v>1.1109182436746814E-2</v>
      </c>
      <c r="R399" s="13">
        <f t="shared" ca="1" si="203"/>
        <v>3.5734937327107087E-4</v>
      </c>
      <c r="S399" s="13">
        <f t="shared" ca="1" si="204"/>
        <v>0.21662016033808865</v>
      </c>
      <c r="T399" s="13">
        <f t="shared" ca="1" si="205"/>
        <v>-2.3290324297973586E-5</v>
      </c>
      <c r="U399" s="13">
        <f t="shared" ca="1" si="206"/>
        <v>0.15650847760082748</v>
      </c>
      <c r="V399" s="13">
        <f t="shared" ca="1" si="207"/>
        <v>1.8828365798629458</v>
      </c>
      <c r="X399" s="3">
        <f t="shared" ca="1" si="208"/>
        <v>-4.0032606726976019E-6</v>
      </c>
      <c r="Y399" s="3">
        <f t="shared" ca="1" si="209"/>
        <v>3.8319048342083731E-5</v>
      </c>
      <c r="Z399" s="3">
        <f t="shared" ca="1" si="210"/>
        <v>1.1109182436746814E-2</v>
      </c>
      <c r="AA399" s="3">
        <f t="shared" ca="1" si="211"/>
        <v>3.5734937327107087E-4</v>
      </c>
      <c r="AB399" s="3">
        <f t="shared" ca="1" si="212"/>
        <v>0.21662016033808865</v>
      </c>
      <c r="AC399" s="3">
        <f t="shared" ca="1" si="213"/>
        <v>-2.3290324297973586E-5</v>
      </c>
      <c r="AD399" s="3">
        <f t="shared" ca="1" si="214"/>
        <v>0.15650847760082748</v>
      </c>
      <c r="AE399" s="3">
        <f t="shared" ca="1" si="215"/>
        <v>1.8828365798629458</v>
      </c>
      <c r="AG399" s="3">
        <f t="shared" ca="1" si="216"/>
        <v>-4.0032606726976019E-6</v>
      </c>
      <c r="AH399" s="3">
        <f t="shared" ca="1" si="217"/>
        <v>3.8319048342083731E-5</v>
      </c>
      <c r="AI399" s="3">
        <f t="shared" ca="1" si="218"/>
        <v>1.1078316646561306E-2</v>
      </c>
      <c r="AJ399" s="3">
        <f t="shared" ca="1" si="219"/>
        <v>3.4030520093618658E-4</v>
      </c>
      <c r="AK399" s="3">
        <f t="shared" ca="1" si="220"/>
        <v>0.21662016033808865</v>
      </c>
      <c r="AL399" s="3">
        <f t="shared" ca="1" si="221"/>
        <v>-2.3290324297973586E-5</v>
      </c>
      <c r="AM399" s="3">
        <f t="shared" ca="1" si="222"/>
        <v>0.15650847760082748</v>
      </c>
      <c r="AN399" s="3">
        <f t="shared" ca="1" si="223"/>
        <v>1.8828365798629458</v>
      </c>
      <c r="AP399" s="3">
        <f t="shared" ca="1" si="224"/>
        <v>8.6918806491709706</v>
      </c>
      <c r="AQ399" s="3">
        <f t="shared" ca="1" si="231"/>
        <v>0.40042803522660481</v>
      </c>
      <c r="AR399" s="3">
        <f t="shared" ca="1" si="225"/>
        <v>1.4309270742839353E-4</v>
      </c>
      <c r="AS399" s="3">
        <f t="shared" ca="1" si="226"/>
        <v>0.15636538489339907</v>
      </c>
      <c r="AT399" s="3">
        <f t="shared" ca="1" si="227"/>
        <v>0.70847540443890322</v>
      </c>
      <c r="AU399" s="3">
        <f t="shared" ca="1" si="228"/>
        <v>5.3269188410238019E-2</v>
      </c>
      <c r="AV399" s="10">
        <f t="shared" ca="1" si="232"/>
        <v>0.70847540443890322</v>
      </c>
      <c r="AW399" s="10">
        <f t="shared" ca="1" si="233"/>
        <v>0.70847540443890322</v>
      </c>
      <c r="AY399" s="3">
        <f t="shared" ca="1" si="239"/>
        <v>8.6918806491709706</v>
      </c>
      <c r="AZ399" s="3">
        <f t="shared" ca="1" si="234"/>
        <v>0.40042803522660481</v>
      </c>
      <c r="BA399" s="3">
        <f t="shared" ca="1" si="229"/>
        <v>1.3626774298827215E-4</v>
      </c>
      <c r="BB399" s="3">
        <f t="shared" ca="1" si="235"/>
        <v>0.1563722098578392</v>
      </c>
      <c r="BC399" s="3">
        <f t="shared" ca="1" si="236"/>
        <v>0.70850632764767663</v>
      </c>
      <c r="BD399" s="3">
        <f t="shared" ca="1" si="230"/>
        <v>5.3121185116369693E-2</v>
      </c>
      <c r="BE399" s="3">
        <f t="shared" ca="1" si="237"/>
        <v>0.70850632764767663</v>
      </c>
      <c r="BF399" s="3">
        <f t="shared" ca="1" si="238"/>
        <v>0.70850632764767663</v>
      </c>
    </row>
    <row r="400" spans="1:58" ht="15" x14ac:dyDescent="0.25">
      <c r="A400" s="72">
        <v>334</v>
      </c>
      <c r="B400" s="72">
        <v>1498730295.451</v>
      </c>
      <c r="C400" s="73">
        <v>3.4085976850798999E-4</v>
      </c>
      <c r="D400" s="73">
        <v>6.1181994028088705E-5</v>
      </c>
      <c r="E400" s="73">
        <v>1.19655697751335E-2</v>
      </c>
      <c r="F400" s="73">
        <v>4.6257731431609099E-4</v>
      </c>
      <c r="G400" s="73">
        <v>0.218575645483748</v>
      </c>
      <c r="H400" s="73">
        <v>-3.2664366559538699E-6</v>
      </c>
      <c r="I400" s="73">
        <v>0.157810453450132</v>
      </c>
      <c r="J400" s="73">
        <v>1.8967104903135401</v>
      </c>
      <c r="K400" s="73"/>
      <c r="L400" s="73"/>
      <c r="M400" s="73"/>
      <c r="O400" s="13">
        <f t="shared" ca="1" si="200"/>
        <v>7.6172539236428406E-5</v>
      </c>
      <c r="P400" s="13">
        <f t="shared" ca="1" si="201"/>
        <v>4.9894518643248534E-5</v>
      </c>
      <c r="Q400" s="13">
        <f t="shared" ca="1" si="202"/>
        <v>1.1124830157160814E-2</v>
      </c>
      <c r="R400" s="13">
        <f t="shared" ca="1" si="203"/>
        <v>4.5280103542540986E-4</v>
      </c>
      <c r="S400" s="13">
        <f t="shared" ca="1" si="204"/>
        <v>0.21744056685050664</v>
      </c>
      <c r="T400" s="13">
        <f t="shared" ca="1" si="205"/>
        <v>-3.6162581669779564E-6</v>
      </c>
      <c r="U400" s="13">
        <f t="shared" ca="1" si="206"/>
        <v>0.15715660945534349</v>
      </c>
      <c r="V400" s="13">
        <f t="shared" ca="1" si="207"/>
        <v>1.889571709391086</v>
      </c>
      <c r="X400" s="3">
        <f t="shared" ca="1" si="208"/>
        <v>7.6172539236428406E-5</v>
      </c>
      <c r="Y400" s="3">
        <f t="shared" ca="1" si="209"/>
        <v>4.9894518643248534E-5</v>
      </c>
      <c r="Z400" s="3">
        <f t="shared" ca="1" si="210"/>
        <v>1.1124830157160814E-2</v>
      </c>
      <c r="AA400" s="3">
        <f t="shared" ca="1" si="211"/>
        <v>4.5280103542540986E-4</v>
      </c>
      <c r="AB400" s="3">
        <f t="shared" ca="1" si="212"/>
        <v>0.21744056685050664</v>
      </c>
      <c r="AC400" s="3">
        <f t="shared" ca="1" si="213"/>
        <v>-3.6162581669779564E-6</v>
      </c>
      <c r="AD400" s="3">
        <f t="shared" ca="1" si="214"/>
        <v>0.15715660945534349</v>
      </c>
      <c r="AE400" s="3">
        <f t="shared" ca="1" si="215"/>
        <v>1.889571709391086</v>
      </c>
      <c r="AG400" s="3">
        <f t="shared" ca="1" si="216"/>
        <v>7.6172539236428406E-5</v>
      </c>
      <c r="AH400" s="3">
        <f t="shared" ca="1" si="217"/>
        <v>4.9894518643248534E-5</v>
      </c>
      <c r="AI400" s="3">
        <f t="shared" ca="1" si="218"/>
        <v>1.1084640387046974E-2</v>
      </c>
      <c r="AJ400" s="3">
        <f t="shared" ca="1" si="219"/>
        <v>4.3060813630302575E-4</v>
      </c>
      <c r="AK400" s="3">
        <f t="shared" ca="1" si="220"/>
        <v>0.21744056685050664</v>
      </c>
      <c r="AL400" s="3">
        <f t="shared" ca="1" si="221"/>
        <v>-3.6162581669779564E-6</v>
      </c>
      <c r="AM400" s="3">
        <f t="shared" ca="1" si="222"/>
        <v>0.15715660945534349</v>
      </c>
      <c r="AN400" s="3">
        <f t="shared" ca="1" si="223"/>
        <v>1.889571709391086</v>
      </c>
      <c r="AP400" s="3">
        <f t="shared" ca="1" si="224"/>
        <v>8.6900606301775891</v>
      </c>
      <c r="AQ400" s="3">
        <f t="shared" ca="1" si="231"/>
        <v>0.40034317154518273</v>
      </c>
      <c r="AR400" s="3">
        <f t="shared" ca="1" si="225"/>
        <v>1.8127580260115123E-4</v>
      </c>
      <c r="AS400" s="3">
        <f t="shared" ca="1" si="226"/>
        <v>0.15697533365274233</v>
      </c>
      <c r="AT400" s="3">
        <f t="shared" ca="1" si="227"/>
        <v>0.70863023196080133</v>
      </c>
      <c r="AU400" s="3">
        <f t="shared" ca="1" si="228"/>
        <v>5.313156515624521E-2</v>
      </c>
      <c r="AV400" s="10">
        <f t="shared" ca="1" si="232"/>
        <v>0.70863023196080133</v>
      </c>
      <c r="AW400" s="10">
        <f t="shared" ca="1" si="233"/>
        <v>0.70863023196080133</v>
      </c>
      <c r="AY400" s="3">
        <f t="shared" ca="1" si="239"/>
        <v>8.6900606301775891</v>
      </c>
      <c r="AZ400" s="3">
        <f t="shared" ca="1" si="234"/>
        <v>0.40034317154518273</v>
      </c>
      <c r="BA400" s="3">
        <f t="shared" ca="1" si="229"/>
        <v>1.7239102698071365E-4</v>
      </c>
      <c r="BB400" s="3">
        <f t="shared" ca="1" si="235"/>
        <v>0.15698421842836277</v>
      </c>
      <c r="BC400" s="3">
        <f t="shared" ca="1" si="236"/>
        <v>0.7086703403043374</v>
      </c>
      <c r="BD400" s="3">
        <f t="shared" ca="1" si="230"/>
        <v>5.2939621067279181E-2</v>
      </c>
      <c r="BE400" s="3">
        <f t="shared" ca="1" si="237"/>
        <v>0.7086703403043374</v>
      </c>
      <c r="BF400" s="3">
        <f t="shared" ca="1" si="238"/>
        <v>0.7086703403043374</v>
      </c>
    </row>
    <row r="401" spans="1:58" ht="15" x14ac:dyDescent="0.25">
      <c r="A401" s="72">
        <v>335</v>
      </c>
      <c r="B401" s="72">
        <v>1498730295.9779999</v>
      </c>
      <c r="C401" s="73">
        <v>3.4728362745636702E-4</v>
      </c>
      <c r="D401" s="73">
        <v>-2.3633113290010599E-6</v>
      </c>
      <c r="E401" s="73">
        <v>1.27485056264201E-2</v>
      </c>
      <c r="F401" s="73">
        <v>4.2139630141721903E-4</v>
      </c>
      <c r="G401" s="73">
        <v>0.23382818469876801</v>
      </c>
      <c r="H401" s="73">
        <v>-2.22556368844774E-5</v>
      </c>
      <c r="I401" s="73">
        <v>0.168800926473333</v>
      </c>
      <c r="J401" s="73">
        <v>2.0268628935601498</v>
      </c>
      <c r="K401" s="73"/>
      <c r="L401" s="73"/>
      <c r="M401" s="73"/>
      <c r="O401" s="13">
        <f t="shared" ca="1" si="200"/>
        <v>8.2596398184805434E-5</v>
      </c>
      <c r="P401" s="13">
        <f t="shared" ca="1" si="201"/>
        <v>-1.3650786713841233E-5</v>
      </c>
      <c r="Q401" s="13">
        <f t="shared" ca="1" si="202"/>
        <v>1.1907766008447415E-2</v>
      </c>
      <c r="R401" s="13">
        <f t="shared" ca="1" si="203"/>
        <v>4.1162002252653789E-4</v>
      </c>
      <c r="S401" s="13">
        <f t="shared" ca="1" si="204"/>
        <v>0.23269310606552665</v>
      </c>
      <c r="T401" s="13">
        <f t="shared" ca="1" si="205"/>
        <v>-2.2605458395501486E-5</v>
      </c>
      <c r="U401" s="13">
        <f t="shared" ca="1" si="206"/>
        <v>0.16814708247854449</v>
      </c>
      <c r="V401" s="13">
        <f t="shared" ca="1" si="207"/>
        <v>2.0197241126376957</v>
      </c>
      <c r="X401" s="3">
        <f t="shared" ca="1" si="208"/>
        <v>8.2596398184805434E-5</v>
      </c>
      <c r="Y401" s="3">
        <f t="shared" ca="1" si="209"/>
        <v>-1.3650786713841233E-5</v>
      </c>
      <c r="Z401" s="3">
        <f t="shared" ca="1" si="210"/>
        <v>1.1907766008447415E-2</v>
      </c>
      <c r="AA401" s="3">
        <f t="shared" ca="1" si="211"/>
        <v>4.1162002252653789E-4</v>
      </c>
      <c r="AB401" s="3">
        <f t="shared" ca="1" si="212"/>
        <v>0.23269310606552665</v>
      </c>
      <c r="AC401" s="3">
        <f t="shared" ca="1" si="213"/>
        <v>-2.2605458395501486E-5</v>
      </c>
      <c r="AD401" s="3">
        <f t="shared" ca="1" si="214"/>
        <v>0.16814708247854449</v>
      </c>
      <c r="AE401" s="3">
        <f t="shared" ca="1" si="215"/>
        <v>2.0197241126376957</v>
      </c>
      <c r="AG401" s="3">
        <f t="shared" ca="1" si="216"/>
        <v>8.2596398184805434E-5</v>
      </c>
      <c r="AH401" s="3">
        <f t="shared" ca="1" si="217"/>
        <v>-1.3650786713841233E-5</v>
      </c>
      <c r="AI401" s="3">
        <f t="shared" ca="1" si="218"/>
        <v>1.1907766008447415E-2</v>
      </c>
      <c r="AJ401" s="3">
        <f t="shared" ca="1" si="219"/>
        <v>4.1162002252653789E-4</v>
      </c>
      <c r="AK401" s="3">
        <f t="shared" ca="1" si="220"/>
        <v>0.23269310606552665</v>
      </c>
      <c r="AL401" s="3">
        <f t="shared" ca="1" si="221"/>
        <v>-2.2605458395501486E-5</v>
      </c>
      <c r="AM401" s="3">
        <f t="shared" ca="1" si="222"/>
        <v>0.16814708247854449</v>
      </c>
      <c r="AN401" s="3">
        <f t="shared" ca="1" si="223"/>
        <v>2.0197241126376957</v>
      </c>
      <c r="AP401" s="3">
        <f t="shared" ca="1" si="224"/>
        <v>8.6797763233644698</v>
      </c>
      <c r="AQ401" s="3">
        <f t="shared" ca="1" si="231"/>
        <v>0.39986363986690437</v>
      </c>
      <c r="AR401" s="3">
        <f t="shared" ca="1" si="225"/>
        <v>1.6459188044955862E-4</v>
      </c>
      <c r="AS401" s="3">
        <f t="shared" ca="1" si="226"/>
        <v>0.16798249059809492</v>
      </c>
      <c r="AT401" s="3">
        <f t="shared" ca="1" si="227"/>
        <v>0.70903605006212378</v>
      </c>
      <c r="AU401" s="3">
        <f t="shared" ca="1" si="228"/>
        <v>5.3078707273037908E-2</v>
      </c>
      <c r="AV401" s="10">
        <f t="shared" ca="1" si="232"/>
        <v>0.70903605006212378</v>
      </c>
      <c r="AW401" s="10">
        <f t="shared" ca="1" si="233"/>
        <v>0.70903605006212378</v>
      </c>
      <c r="AY401" s="3">
        <f t="shared" ca="1" si="239"/>
        <v>8.6797763233644698</v>
      </c>
      <c r="AZ401" s="3">
        <f t="shared" ca="1" si="234"/>
        <v>0.39986363986690437</v>
      </c>
      <c r="BA401" s="3">
        <f t="shared" ca="1" si="229"/>
        <v>1.6459188044955862E-4</v>
      </c>
      <c r="BB401" s="3">
        <f t="shared" ca="1" si="235"/>
        <v>0.16798249059809492</v>
      </c>
      <c r="BC401" s="3">
        <f t="shared" ca="1" si="236"/>
        <v>0.70903605006212378</v>
      </c>
      <c r="BD401" s="3">
        <f t="shared" ca="1" si="230"/>
        <v>5.3078707273037908E-2</v>
      </c>
      <c r="BE401" s="3">
        <f t="shared" ca="1" si="237"/>
        <v>0.70903605006212378</v>
      </c>
      <c r="BF401" s="3">
        <f t="shared" ca="1" si="238"/>
        <v>0.70903605006212378</v>
      </c>
    </row>
    <row r="402" spans="1:58" ht="15" x14ac:dyDescent="0.25">
      <c r="A402" s="72">
        <v>336</v>
      </c>
      <c r="B402" s="72">
        <v>1498730296.5050001</v>
      </c>
      <c r="C402" s="73">
        <v>2.9446645858298399E-4</v>
      </c>
      <c r="D402" s="73">
        <v>-1.13396435052362E-5</v>
      </c>
      <c r="E402" s="73">
        <v>1.2897406684021199E-2</v>
      </c>
      <c r="F402" s="73">
        <v>3.9354652096088602E-4</v>
      </c>
      <c r="G402" s="73">
        <v>0.237322553040614</v>
      </c>
      <c r="H402" s="73">
        <v>-2.33419737031845E-5</v>
      </c>
      <c r="I402" s="73">
        <v>0.171541300797455</v>
      </c>
      <c r="J402" s="73">
        <v>2.06136515843458</v>
      </c>
      <c r="K402" s="73"/>
      <c r="L402" s="73"/>
      <c r="M402" s="73"/>
      <c r="O402" s="13">
        <f t="shared" ca="1" si="200"/>
        <v>2.9779229311422404E-5</v>
      </c>
      <c r="P402" s="13">
        <f t="shared" ca="1" si="201"/>
        <v>-2.2627118890076371E-5</v>
      </c>
      <c r="Q402" s="13">
        <f t="shared" ca="1" si="202"/>
        <v>1.2056667066048514E-2</v>
      </c>
      <c r="R402" s="13">
        <f t="shared" ca="1" si="203"/>
        <v>3.8377024207020488E-4</v>
      </c>
      <c r="S402" s="13">
        <f t="shared" ca="1" si="204"/>
        <v>0.23618747440737264</v>
      </c>
      <c r="T402" s="13">
        <f t="shared" ca="1" si="205"/>
        <v>-2.3691795214208587E-5</v>
      </c>
      <c r="U402" s="13">
        <f t="shared" ca="1" si="206"/>
        <v>0.17088745680266648</v>
      </c>
      <c r="V402" s="13">
        <f t="shared" ca="1" si="207"/>
        <v>2.0542263775121259</v>
      </c>
      <c r="X402" s="3">
        <f t="shared" ca="1" si="208"/>
        <v>2.9779229311422404E-5</v>
      </c>
      <c r="Y402" s="3">
        <f t="shared" ca="1" si="209"/>
        <v>-2.2627118890076371E-5</v>
      </c>
      <c r="Z402" s="3">
        <f t="shared" ca="1" si="210"/>
        <v>1.2056667066048514E-2</v>
      </c>
      <c r="AA402" s="3">
        <f t="shared" ca="1" si="211"/>
        <v>3.8377024207020488E-4</v>
      </c>
      <c r="AB402" s="3">
        <f t="shared" ca="1" si="212"/>
        <v>0.23618747440737264</v>
      </c>
      <c r="AC402" s="3">
        <f t="shared" ca="1" si="213"/>
        <v>-2.3691795214208587E-5</v>
      </c>
      <c r="AD402" s="3">
        <f t="shared" ca="1" si="214"/>
        <v>0.17088745680266648</v>
      </c>
      <c r="AE402" s="3">
        <f t="shared" ca="1" si="215"/>
        <v>2.0542263775121259</v>
      </c>
      <c r="AG402" s="3">
        <f t="shared" ca="1" si="216"/>
        <v>2.9779229311422404E-5</v>
      </c>
      <c r="AH402" s="3">
        <f t="shared" ca="1" si="217"/>
        <v>-2.2627118890076371E-5</v>
      </c>
      <c r="AI402" s="3">
        <f t="shared" ca="1" si="218"/>
        <v>1.2056667066048514E-2</v>
      </c>
      <c r="AJ402" s="3">
        <f t="shared" ca="1" si="219"/>
        <v>3.8377024207020488E-4</v>
      </c>
      <c r="AK402" s="3">
        <f t="shared" ca="1" si="220"/>
        <v>0.23618747440737264</v>
      </c>
      <c r="AL402" s="3">
        <f t="shared" ca="1" si="221"/>
        <v>-2.3691795214208587E-5</v>
      </c>
      <c r="AM402" s="3">
        <f t="shared" ca="1" si="222"/>
        <v>0.17088745680266648</v>
      </c>
      <c r="AN402" s="3">
        <f t="shared" ca="1" si="223"/>
        <v>2.0542263775121259</v>
      </c>
      <c r="AP402" s="3">
        <f t="shared" ca="1" si="224"/>
        <v>8.6974399580945896</v>
      </c>
      <c r="AQ402" s="3">
        <f t="shared" ca="1" si="231"/>
        <v>0.40068725551596812</v>
      </c>
      <c r="AR402" s="3">
        <f t="shared" ca="1" si="225"/>
        <v>1.5377184504380913E-4</v>
      </c>
      <c r="AS402" s="3">
        <f t="shared" ca="1" si="226"/>
        <v>0.17073368495762267</v>
      </c>
      <c r="AT402" s="3">
        <f t="shared" ca="1" si="227"/>
        <v>0.70926012434292529</v>
      </c>
      <c r="AU402" s="3">
        <f t="shared" ca="1" si="228"/>
        <v>5.3057575624425819E-2</v>
      </c>
      <c r="AV402" s="10">
        <f t="shared" ca="1" si="232"/>
        <v>0.70926012434292529</v>
      </c>
      <c r="AW402" s="10">
        <f t="shared" ca="1" si="233"/>
        <v>0.70926012434292529</v>
      </c>
      <c r="AY402" s="3">
        <f t="shared" ca="1" si="239"/>
        <v>8.6974399580945896</v>
      </c>
      <c r="AZ402" s="3">
        <f t="shared" ca="1" si="234"/>
        <v>0.40068725551596812</v>
      </c>
      <c r="BA402" s="3">
        <f t="shared" ca="1" si="229"/>
        <v>1.5377184504380913E-4</v>
      </c>
      <c r="BB402" s="3">
        <f t="shared" ca="1" si="235"/>
        <v>0.17073368495762267</v>
      </c>
      <c r="BC402" s="3">
        <f t="shared" ca="1" si="236"/>
        <v>0.70926012434292529</v>
      </c>
      <c r="BD402" s="3">
        <f t="shared" ca="1" si="230"/>
        <v>5.3057575624425819E-2</v>
      </c>
      <c r="BE402" s="3">
        <f t="shared" ca="1" si="237"/>
        <v>0.70926012434292529</v>
      </c>
      <c r="BF402" s="3">
        <f t="shared" ca="1" si="238"/>
        <v>0.70926012434292529</v>
      </c>
    </row>
    <row r="403" spans="1:58" ht="15" x14ac:dyDescent="0.25">
      <c r="A403" s="72">
        <v>337</v>
      </c>
      <c r="B403" s="72">
        <v>1498730297.0320001</v>
      </c>
      <c r="C403" s="73">
        <v>2.59494465133189E-4</v>
      </c>
      <c r="D403" s="73">
        <v>8.0553491323702602E-5</v>
      </c>
      <c r="E403" s="73">
        <v>1.28272903484168E-2</v>
      </c>
      <c r="F403" s="73">
        <v>4.8781045009656698E-4</v>
      </c>
      <c r="G403" s="73">
        <v>0.236373107031216</v>
      </c>
      <c r="H403" s="73">
        <v>3.0233329580691999E-5</v>
      </c>
      <c r="I403" s="73">
        <v>0.17076212955807399</v>
      </c>
      <c r="J403" s="73">
        <v>2.0539629523143499</v>
      </c>
      <c r="K403" s="73"/>
      <c r="L403" s="73"/>
      <c r="M403" s="73"/>
      <c r="O403" s="13">
        <f t="shared" ca="1" si="200"/>
        <v>-5.1927641383725867E-6</v>
      </c>
      <c r="P403" s="13">
        <f t="shared" ca="1" si="201"/>
        <v>6.9266015938862423E-5</v>
      </c>
      <c r="Q403" s="13">
        <f t="shared" ca="1" si="202"/>
        <v>1.1986550730444115E-2</v>
      </c>
      <c r="R403" s="13">
        <f t="shared" ca="1" si="203"/>
        <v>4.7803417120588585E-4</v>
      </c>
      <c r="S403" s="13">
        <f t="shared" ca="1" si="204"/>
        <v>0.23523802839797464</v>
      </c>
      <c r="T403" s="13">
        <f t="shared" ca="1" si="205"/>
        <v>2.9883508069667912E-5</v>
      </c>
      <c r="U403" s="13">
        <f t="shared" ca="1" si="206"/>
        <v>0.17010828556328547</v>
      </c>
      <c r="V403" s="13">
        <f t="shared" ca="1" si="207"/>
        <v>2.0468241713918958</v>
      </c>
      <c r="X403" s="3">
        <f t="shared" ca="1" si="208"/>
        <v>-5.1927641383725867E-6</v>
      </c>
      <c r="Y403" s="3">
        <f t="shared" ca="1" si="209"/>
        <v>6.9266015938862423E-5</v>
      </c>
      <c r="Z403" s="3">
        <f t="shared" ca="1" si="210"/>
        <v>1.1986322099245321E-2</v>
      </c>
      <c r="AA403" s="3">
        <f t="shared" ca="1" si="211"/>
        <v>4.725002569623443E-4</v>
      </c>
      <c r="AB403" s="3">
        <f t="shared" ca="1" si="212"/>
        <v>0.23519778411082326</v>
      </c>
      <c r="AC403" s="3">
        <f t="shared" ca="1" si="213"/>
        <v>2.9883508069667912E-5</v>
      </c>
      <c r="AD403" s="3">
        <f t="shared" ca="1" si="214"/>
        <v>0.17004885444200801</v>
      </c>
      <c r="AE403" s="3">
        <f t="shared" ca="1" si="215"/>
        <v>2.046800055625432</v>
      </c>
      <c r="AG403" s="3">
        <f t="shared" ca="1" si="216"/>
        <v>-5.1927641383725867E-6</v>
      </c>
      <c r="AH403" s="3">
        <f t="shared" ca="1" si="217"/>
        <v>6.9266015938862423E-5</v>
      </c>
      <c r="AI403" s="3">
        <f t="shared" ca="1" si="218"/>
        <v>1.1930528690811244E-2</v>
      </c>
      <c r="AJ403" s="3">
        <f t="shared" ca="1" si="219"/>
        <v>4.4169098680319364E-4</v>
      </c>
      <c r="AK403" s="3">
        <f t="shared" ca="1" si="220"/>
        <v>0.23519778411082326</v>
      </c>
      <c r="AL403" s="3">
        <f t="shared" ca="1" si="221"/>
        <v>2.9883508069667912E-5</v>
      </c>
      <c r="AM403" s="3">
        <f t="shared" ca="1" si="222"/>
        <v>0.17004885444200801</v>
      </c>
      <c r="AN403" s="3">
        <f t="shared" ca="1" si="223"/>
        <v>2.046800055625432</v>
      </c>
      <c r="AP403" s="3">
        <f t="shared" ca="1" si="224"/>
        <v>8.7010768851075717</v>
      </c>
      <c r="AQ403" s="3">
        <f t="shared" ca="1" si="231"/>
        <v>0.40085683978108094</v>
      </c>
      <c r="AR403" s="3">
        <f t="shared" ca="1" si="225"/>
        <v>1.916232671769596E-4</v>
      </c>
      <c r="AS403" s="3">
        <f t="shared" ca="1" si="226"/>
        <v>0.16991666229610852</v>
      </c>
      <c r="AT403" s="3">
        <f t="shared" ca="1" si="227"/>
        <v>0.70856581222493686</v>
      </c>
      <c r="AU403" s="3">
        <f t="shared" ca="1" si="228"/>
        <v>5.2984578148796833E-2</v>
      </c>
      <c r="AV403" s="10">
        <f t="shared" ca="1" si="232"/>
        <v>0.70856581222493686</v>
      </c>
      <c r="AW403" s="10">
        <f t="shared" ca="1" si="233"/>
        <v>0.70856581222493686</v>
      </c>
      <c r="AY403" s="3">
        <f t="shared" ca="1" si="239"/>
        <v>8.7024631773783909</v>
      </c>
      <c r="AZ403" s="3">
        <f t="shared" ca="1" si="234"/>
        <v>0.4009214806656195</v>
      </c>
      <c r="BA403" s="3">
        <f t="shared" ca="1" si="229"/>
        <v>1.7708340442579499E-4</v>
      </c>
      <c r="BB403" s="3">
        <f t="shared" ca="1" si="235"/>
        <v>0.16987177103758222</v>
      </c>
      <c r="BC403" s="3">
        <f t="shared" ca="1" si="236"/>
        <v>0.70844298220038304</v>
      </c>
      <c r="BD403" s="3">
        <f t="shared" ca="1" si="230"/>
        <v>5.2754564769868423E-2</v>
      </c>
      <c r="BE403" s="3">
        <f t="shared" ca="1" si="237"/>
        <v>0.70844298220038304</v>
      </c>
      <c r="BF403" s="3">
        <f t="shared" ca="1" si="238"/>
        <v>0.70844298220038304</v>
      </c>
    </row>
    <row r="404" spans="1:58" ht="15" x14ac:dyDescent="0.25">
      <c r="A404" s="72">
        <v>338</v>
      </c>
      <c r="B404" s="72">
        <v>1498730297.559</v>
      </c>
      <c r="C404" s="73">
        <v>2.7162746696639598E-4</v>
      </c>
      <c r="D404" s="73">
        <v>7.7482375062191999E-5</v>
      </c>
      <c r="E404" s="73">
        <v>1.25485597272179E-2</v>
      </c>
      <c r="F404" s="73">
        <v>5.2470910752038002E-4</v>
      </c>
      <c r="G404" s="73">
        <v>0.22865581821278999</v>
      </c>
      <c r="H404" s="73">
        <v>-2.6199455035348198E-5</v>
      </c>
      <c r="I404" s="73">
        <v>0.16527225954204</v>
      </c>
      <c r="J404" s="73">
        <v>1.98526485408502</v>
      </c>
      <c r="K404" s="73"/>
      <c r="L404" s="73"/>
      <c r="M404" s="73"/>
      <c r="O404" s="13">
        <f t="shared" ca="1" si="200"/>
        <v>6.9402376948343942E-6</v>
      </c>
      <c r="P404" s="13">
        <f t="shared" ca="1" si="201"/>
        <v>6.619489967735182E-5</v>
      </c>
      <c r="Q404" s="13">
        <f t="shared" ca="1" si="202"/>
        <v>1.1707820109245214E-2</v>
      </c>
      <c r="R404" s="13">
        <f t="shared" ca="1" si="203"/>
        <v>5.1493282862969888E-4</v>
      </c>
      <c r="S404" s="13">
        <f t="shared" ca="1" si="204"/>
        <v>0.22752073957954863</v>
      </c>
      <c r="T404" s="13">
        <f t="shared" ca="1" si="205"/>
        <v>-2.6549276546372285E-5</v>
      </c>
      <c r="U404" s="13">
        <f t="shared" ca="1" si="206"/>
        <v>0.16461841554725148</v>
      </c>
      <c r="V404" s="13">
        <f t="shared" ca="1" si="207"/>
        <v>1.9781260731625658</v>
      </c>
      <c r="X404" s="3">
        <f t="shared" ca="1" si="208"/>
        <v>6.9402376948343942E-6</v>
      </c>
      <c r="Y404" s="3">
        <f t="shared" ca="1" si="209"/>
        <v>6.619489967735182E-5</v>
      </c>
      <c r="Z404" s="3">
        <f t="shared" ca="1" si="210"/>
        <v>1.1707820109245214E-2</v>
      </c>
      <c r="AA404" s="3">
        <f t="shared" ca="1" si="211"/>
        <v>5.1493282862969888E-4</v>
      </c>
      <c r="AB404" s="3">
        <f t="shared" ca="1" si="212"/>
        <v>0.22752073957954863</v>
      </c>
      <c r="AC404" s="3">
        <f t="shared" ca="1" si="213"/>
        <v>-2.6549276546372285E-5</v>
      </c>
      <c r="AD404" s="3">
        <f t="shared" ca="1" si="214"/>
        <v>0.16461841554725148</v>
      </c>
      <c r="AE404" s="3">
        <f t="shared" ca="1" si="215"/>
        <v>1.9781260731625658</v>
      </c>
      <c r="AG404" s="3">
        <f t="shared" ca="1" si="216"/>
        <v>6.9402376948343942E-6</v>
      </c>
      <c r="AH404" s="3">
        <f t="shared" ca="1" si="217"/>
        <v>6.619489967735182E-5</v>
      </c>
      <c r="AI404" s="3">
        <f t="shared" ca="1" si="218"/>
        <v>1.1654500468669797E-2</v>
      </c>
      <c r="AJ404" s="3">
        <f t="shared" ca="1" si="219"/>
        <v>4.8548957973376845E-4</v>
      </c>
      <c r="AK404" s="3">
        <f t="shared" ca="1" si="220"/>
        <v>0.22752073957954863</v>
      </c>
      <c r="AL404" s="3">
        <f t="shared" ca="1" si="221"/>
        <v>-2.6549276546372285E-5</v>
      </c>
      <c r="AM404" s="3">
        <f t="shared" ca="1" si="222"/>
        <v>0.16461841554725148</v>
      </c>
      <c r="AN404" s="3">
        <f t="shared" ca="1" si="223"/>
        <v>1.9781260731625658</v>
      </c>
      <c r="AP404" s="3">
        <f t="shared" ca="1" si="224"/>
        <v>8.6942670668972077</v>
      </c>
      <c r="AQ404" s="3">
        <f t="shared" ca="1" si="231"/>
        <v>0.4005393092236087</v>
      </c>
      <c r="AR404" s="3">
        <f t="shared" ca="1" si="225"/>
        <v>2.0625083947589846E-4</v>
      </c>
      <c r="AS404" s="3">
        <f t="shared" ca="1" si="226"/>
        <v>0.16441216470777559</v>
      </c>
      <c r="AT404" s="3">
        <f t="shared" ca="1" si="227"/>
        <v>0.70914647700982947</v>
      </c>
      <c r="AU404" s="3">
        <f t="shared" ca="1" si="228"/>
        <v>5.346504029975746E-2</v>
      </c>
      <c r="AV404" s="10">
        <f t="shared" ca="1" si="232"/>
        <v>0.70914647700982947</v>
      </c>
      <c r="AW404" s="10">
        <f t="shared" ca="1" si="233"/>
        <v>0.70914647700982947</v>
      </c>
      <c r="AY404" s="3">
        <f t="shared" ca="1" si="239"/>
        <v>8.6942670668972077</v>
      </c>
      <c r="AZ404" s="3">
        <f t="shared" ca="1" si="234"/>
        <v>0.4005393092236087</v>
      </c>
      <c r="BA404" s="3">
        <f t="shared" ca="1" si="229"/>
        <v>1.944576609018237E-4</v>
      </c>
      <c r="BB404" s="3">
        <f t="shared" ca="1" si="235"/>
        <v>0.16442395788634967</v>
      </c>
      <c r="BC404" s="3">
        <f t="shared" ca="1" si="236"/>
        <v>0.70919734362942199</v>
      </c>
      <c r="BD404" s="3">
        <f t="shared" ca="1" si="230"/>
        <v>5.3221550332749674E-2</v>
      </c>
      <c r="BE404" s="3">
        <f t="shared" ca="1" si="237"/>
        <v>0.70919734362942199</v>
      </c>
      <c r="BF404" s="3">
        <f t="shared" ca="1" si="238"/>
        <v>0.70919734362942199</v>
      </c>
    </row>
    <row r="405" spans="1:58" ht="15" x14ac:dyDescent="0.25">
      <c r="A405" s="72">
        <v>339</v>
      </c>
      <c r="B405" s="72">
        <v>1498730298.086</v>
      </c>
      <c r="C405" s="73">
        <v>2.9565600370832303E-4</v>
      </c>
      <c r="D405" s="73">
        <v>-6.3790489202687803E-6</v>
      </c>
      <c r="E405" s="73">
        <v>1.1889018618006101E-2</v>
      </c>
      <c r="F405" s="73">
        <v>3.4498978663782798E-4</v>
      </c>
      <c r="G405" s="73">
        <v>0.21831188662690099</v>
      </c>
      <c r="H405" s="73">
        <v>-3.7604944539125897E-5</v>
      </c>
      <c r="I405" s="73">
        <v>0.157755594433198</v>
      </c>
      <c r="J405" s="73">
        <v>1.8959385396075299</v>
      </c>
      <c r="K405" s="73"/>
      <c r="L405" s="73"/>
      <c r="M405" s="73"/>
      <c r="O405" s="13">
        <f t="shared" ca="1" si="200"/>
        <v>3.0968774436761443E-5</v>
      </c>
      <c r="P405" s="13">
        <f t="shared" ca="1" si="201"/>
        <v>-1.7666524305108955E-5</v>
      </c>
      <c r="Q405" s="13">
        <f t="shared" ca="1" si="202"/>
        <v>1.1048279000033415E-2</v>
      </c>
      <c r="R405" s="13">
        <f t="shared" ca="1" si="203"/>
        <v>3.3521350774714685E-4</v>
      </c>
      <c r="S405" s="13">
        <f t="shared" ca="1" si="204"/>
        <v>0.21717680799365963</v>
      </c>
      <c r="T405" s="13">
        <f t="shared" ca="1" si="205"/>
        <v>-3.7954766050149987E-5</v>
      </c>
      <c r="U405" s="13">
        <f t="shared" ca="1" si="206"/>
        <v>0.15710175043840949</v>
      </c>
      <c r="V405" s="13">
        <f t="shared" ca="1" si="207"/>
        <v>1.8887997586850758</v>
      </c>
      <c r="X405" s="3">
        <f t="shared" ca="1" si="208"/>
        <v>3.0968774436761443E-5</v>
      </c>
      <c r="Y405" s="3">
        <f t="shared" ca="1" si="209"/>
        <v>-1.7666524305108955E-5</v>
      </c>
      <c r="Z405" s="3">
        <f t="shared" ca="1" si="210"/>
        <v>1.1048279000033415E-2</v>
      </c>
      <c r="AA405" s="3">
        <f t="shared" ca="1" si="211"/>
        <v>3.3521350774714685E-4</v>
      </c>
      <c r="AB405" s="3">
        <f t="shared" ca="1" si="212"/>
        <v>0.21717680799365963</v>
      </c>
      <c r="AC405" s="3">
        <f t="shared" ca="1" si="213"/>
        <v>-3.7954766050149987E-5</v>
      </c>
      <c r="AD405" s="3">
        <f t="shared" ca="1" si="214"/>
        <v>0.15710175043840949</v>
      </c>
      <c r="AE405" s="3">
        <f t="shared" ca="1" si="215"/>
        <v>1.8887997586850758</v>
      </c>
      <c r="AG405" s="3">
        <f t="shared" ca="1" si="216"/>
        <v>3.0968774436761443E-5</v>
      </c>
      <c r="AH405" s="3">
        <f t="shared" ca="1" si="217"/>
        <v>-1.7666524305108955E-5</v>
      </c>
      <c r="AI405" s="3">
        <f t="shared" ca="1" si="218"/>
        <v>1.1048279000033415E-2</v>
      </c>
      <c r="AJ405" s="3">
        <f t="shared" ca="1" si="219"/>
        <v>3.3521350774714685E-4</v>
      </c>
      <c r="AK405" s="3">
        <f t="shared" ca="1" si="220"/>
        <v>0.21717680799365963</v>
      </c>
      <c r="AL405" s="3">
        <f t="shared" ca="1" si="221"/>
        <v>-3.7954766050149987E-5</v>
      </c>
      <c r="AM405" s="3">
        <f t="shared" ca="1" si="222"/>
        <v>0.15710175043840949</v>
      </c>
      <c r="AN405" s="3">
        <f t="shared" ca="1" si="223"/>
        <v>1.8887997586850758</v>
      </c>
      <c r="AP405" s="3">
        <f t="shared" ca="1" si="224"/>
        <v>8.6970601333279483</v>
      </c>
      <c r="AQ405" s="3">
        <f t="shared" ca="1" si="231"/>
        <v>0.40066954492586998</v>
      </c>
      <c r="AR405" s="3">
        <f t="shared" ca="1" si="225"/>
        <v>1.3430984360205393E-4</v>
      </c>
      <c r="AS405" s="3">
        <f t="shared" ca="1" si="226"/>
        <v>0.15696744059480744</v>
      </c>
      <c r="AT405" s="3">
        <f t="shared" ca="1" si="227"/>
        <v>0.70916758252342182</v>
      </c>
      <c r="AU405" s="3">
        <f t="shared" ca="1" si="228"/>
        <v>5.2873587107535688E-2</v>
      </c>
      <c r="AV405" s="10">
        <f t="shared" ca="1" si="232"/>
        <v>0.70916758252342182</v>
      </c>
      <c r="AW405" s="10">
        <f t="shared" ca="1" si="233"/>
        <v>0.70916758252342182</v>
      </c>
      <c r="AY405" s="3">
        <f t="shared" ca="1" si="239"/>
        <v>8.6970601333279483</v>
      </c>
      <c r="AZ405" s="3">
        <f t="shared" ca="1" si="234"/>
        <v>0.40066954492586998</v>
      </c>
      <c r="BA405" s="3">
        <f t="shared" ca="1" si="229"/>
        <v>1.3430984360205393E-4</v>
      </c>
      <c r="BB405" s="3">
        <f t="shared" ca="1" si="235"/>
        <v>0.15696744059480744</v>
      </c>
      <c r="BC405" s="3">
        <f t="shared" ca="1" si="236"/>
        <v>0.70916758252342182</v>
      </c>
      <c r="BD405" s="3">
        <f t="shared" ca="1" si="230"/>
        <v>5.2873587107535688E-2</v>
      </c>
      <c r="BE405" s="3">
        <f t="shared" ca="1" si="237"/>
        <v>0.70916758252342182</v>
      </c>
      <c r="BF405" s="3">
        <f t="shared" ca="1" si="238"/>
        <v>0.70916758252342182</v>
      </c>
    </row>
    <row r="406" spans="1:58" ht="15" x14ac:dyDescent="0.25">
      <c r="A406" s="72">
        <v>340</v>
      </c>
      <c r="B406" s="72">
        <v>1498730298.6129999</v>
      </c>
      <c r="C406" s="73">
        <v>2.7162746696639598E-4</v>
      </c>
      <c r="D406" s="73">
        <v>3.4015287382993798E-5</v>
      </c>
      <c r="E406" s="73">
        <v>1.1839672674245899E-2</v>
      </c>
      <c r="F406" s="73">
        <v>3.9330849199614698E-4</v>
      </c>
      <c r="G406" s="73">
        <v>0.219737426420619</v>
      </c>
      <c r="H406" s="73">
        <v>-6.0766093870673801E-5</v>
      </c>
      <c r="I406" s="73">
        <v>0.15859134392473101</v>
      </c>
      <c r="J406" s="73">
        <v>1.90625622446121</v>
      </c>
      <c r="K406" s="73"/>
      <c r="L406" s="73"/>
      <c r="M406" s="73"/>
      <c r="O406" s="13">
        <f t="shared" ca="1" si="200"/>
        <v>6.9402376948343942E-6</v>
      </c>
      <c r="P406" s="13">
        <f t="shared" ca="1" si="201"/>
        <v>2.2727811998153626E-5</v>
      </c>
      <c r="Q406" s="13">
        <f t="shared" ca="1" si="202"/>
        <v>1.0998933056273214E-2</v>
      </c>
      <c r="R406" s="13">
        <f t="shared" ca="1" si="203"/>
        <v>3.8353221310546585E-4</v>
      </c>
      <c r="S406" s="13">
        <f t="shared" ca="1" si="204"/>
        <v>0.21860234778737764</v>
      </c>
      <c r="T406" s="13">
        <f t="shared" ca="1" si="205"/>
        <v>-6.1115915381697891E-5</v>
      </c>
      <c r="U406" s="13">
        <f t="shared" ca="1" si="206"/>
        <v>0.15793749992994249</v>
      </c>
      <c r="V406" s="13">
        <f t="shared" ca="1" si="207"/>
        <v>1.8991174435387559</v>
      </c>
      <c r="X406" s="3">
        <f t="shared" ca="1" si="208"/>
        <v>6.9402376948343942E-6</v>
      </c>
      <c r="Y406" s="3">
        <f t="shared" ca="1" si="209"/>
        <v>2.2727811998153626E-5</v>
      </c>
      <c r="Z406" s="3">
        <f t="shared" ca="1" si="210"/>
        <v>1.0998933056273214E-2</v>
      </c>
      <c r="AA406" s="3">
        <f t="shared" ca="1" si="211"/>
        <v>3.8353221310546585E-4</v>
      </c>
      <c r="AB406" s="3">
        <f t="shared" ca="1" si="212"/>
        <v>0.21860234778737764</v>
      </c>
      <c r="AC406" s="3">
        <f t="shared" ca="1" si="213"/>
        <v>-6.1115915381697891E-5</v>
      </c>
      <c r="AD406" s="3">
        <f t="shared" ca="1" si="214"/>
        <v>0.15793749992994249</v>
      </c>
      <c r="AE406" s="3">
        <f t="shared" ca="1" si="215"/>
        <v>1.8991174435387559</v>
      </c>
      <c r="AG406" s="3">
        <f t="shared" ca="1" si="216"/>
        <v>6.9402376948343942E-6</v>
      </c>
      <c r="AH406" s="3">
        <f t="shared" ca="1" si="217"/>
        <v>2.2727811998153626E-5</v>
      </c>
      <c r="AI406" s="3">
        <f t="shared" ca="1" si="218"/>
        <v>1.0980625924262834E-2</v>
      </c>
      <c r="AJ406" s="3">
        <f t="shared" ca="1" si="219"/>
        <v>3.7342296558362834E-4</v>
      </c>
      <c r="AK406" s="3">
        <f t="shared" ca="1" si="220"/>
        <v>0.21860234778737764</v>
      </c>
      <c r="AL406" s="3">
        <f t="shared" ca="1" si="221"/>
        <v>-6.1115915381697891E-5</v>
      </c>
      <c r="AM406" s="3">
        <f t="shared" ca="1" si="222"/>
        <v>0.15793749992994249</v>
      </c>
      <c r="AN406" s="3">
        <f t="shared" ca="1" si="223"/>
        <v>1.8991174435387559</v>
      </c>
      <c r="AP406" s="3">
        <f t="shared" ca="1" si="224"/>
        <v>8.6875436735287117</v>
      </c>
      <c r="AQ406" s="3">
        <f t="shared" ca="1" si="231"/>
        <v>0.40022581147284669</v>
      </c>
      <c r="AR406" s="3">
        <f t="shared" ca="1" si="225"/>
        <v>1.5349949121611184E-4</v>
      </c>
      <c r="AS406" s="3">
        <f t="shared" ca="1" si="226"/>
        <v>0.15778400043872637</v>
      </c>
      <c r="AT406" s="3">
        <f t="shared" ca="1" si="227"/>
        <v>0.7085986638314522</v>
      </c>
      <c r="AU406" s="3">
        <f t="shared" ca="1" si="228"/>
        <v>5.2235625306226968E-2</v>
      </c>
      <c r="AV406" s="10">
        <f t="shared" ca="1" si="232"/>
        <v>0.7085986638314522</v>
      </c>
      <c r="AW406" s="10">
        <f t="shared" ca="1" si="233"/>
        <v>0.7085986638314522</v>
      </c>
      <c r="AY406" s="3">
        <f t="shared" ca="1" si="239"/>
        <v>8.6875436735287117</v>
      </c>
      <c r="AZ406" s="3">
        <f t="shared" ca="1" si="234"/>
        <v>0.40022581147284669</v>
      </c>
      <c r="BA406" s="3">
        <f t="shared" ca="1" si="229"/>
        <v>1.4945350942330456E-4</v>
      </c>
      <c r="BB406" s="3">
        <f t="shared" ca="1" si="235"/>
        <v>0.15778804642051919</v>
      </c>
      <c r="BC406" s="3">
        <f t="shared" ca="1" si="236"/>
        <v>0.70861683409766618</v>
      </c>
      <c r="BD406" s="3">
        <f t="shared" ca="1" si="230"/>
        <v>5.2148681919697265E-2</v>
      </c>
      <c r="BE406" s="3">
        <f t="shared" ca="1" si="237"/>
        <v>0.70861683409766618</v>
      </c>
      <c r="BF406" s="3">
        <f t="shared" ca="1" si="238"/>
        <v>0.70861683409766618</v>
      </c>
    </row>
    <row r="407" spans="1:58" ht="15" x14ac:dyDescent="0.25">
      <c r="A407" s="72">
        <v>341</v>
      </c>
      <c r="B407" s="72">
        <v>1498730299.1400001</v>
      </c>
      <c r="C407" s="73">
        <v>2.9327691487487798E-4</v>
      </c>
      <c r="D407" s="73">
        <v>-9.3776370149656997E-5</v>
      </c>
      <c r="E407" s="73">
        <v>1.2560844419784001E-2</v>
      </c>
      <c r="F407" s="73">
        <v>4.6638604868190102E-4</v>
      </c>
      <c r="G407" s="73">
        <v>0.23163871780738901</v>
      </c>
      <c r="H407" s="73">
        <v>1.7356551838099601E-5</v>
      </c>
      <c r="I407" s="73">
        <v>0.16698882177731</v>
      </c>
      <c r="J407" s="73">
        <v>2.0062982768395998</v>
      </c>
      <c r="K407" s="73"/>
      <c r="L407" s="73"/>
      <c r="M407" s="73"/>
      <c r="O407" s="13">
        <f t="shared" ca="1" si="200"/>
        <v>2.8589685603316395E-5</v>
      </c>
      <c r="P407" s="13">
        <f t="shared" ca="1" si="201"/>
        <v>-1.0506384553449717E-4</v>
      </c>
      <c r="Q407" s="13">
        <f t="shared" ca="1" si="202"/>
        <v>1.1720104801811316E-2</v>
      </c>
      <c r="R407" s="13">
        <f t="shared" ca="1" si="203"/>
        <v>4.5660976979121988E-4</v>
      </c>
      <c r="S407" s="13">
        <f t="shared" ca="1" si="204"/>
        <v>0.23050363917414765</v>
      </c>
      <c r="T407" s="13">
        <f t="shared" ca="1" si="205"/>
        <v>1.7006730327075514E-5</v>
      </c>
      <c r="U407" s="13">
        <f t="shared" ca="1" si="206"/>
        <v>0.16633497778252149</v>
      </c>
      <c r="V407" s="13">
        <f t="shared" ca="1" si="207"/>
        <v>1.9991594959171457</v>
      </c>
      <c r="X407" s="3">
        <f t="shared" ca="1" si="208"/>
        <v>2.8589685603316395E-5</v>
      </c>
      <c r="Y407" s="3">
        <f t="shared" ca="1" si="209"/>
        <v>-1.0506384553449717E-4</v>
      </c>
      <c r="Z407" s="3">
        <f t="shared" ca="1" si="210"/>
        <v>1.1719974687598046E-2</v>
      </c>
      <c r="AA407" s="3">
        <f t="shared" ca="1" si="211"/>
        <v>4.5346041440183038E-4</v>
      </c>
      <c r="AB407" s="3">
        <f t="shared" ca="1" si="212"/>
        <v>0.23048073611547082</v>
      </c>
      <c r="AC407" s="3">
        <f t="shared" ca="1" si="213"/>
        <v>1.7006730327075514E-5</v>
      </c>
      <c r="AD407" s="3">
        <f t="shared" ca="1" si="214"/>
        <v>0.16630115547992416</v>
      </c>
      <c r="AE407" s="3">
        <f t="shared" ca="1" si="215"/>
        <v>1.9991457716135625</v>
      </c>
      <c r="AG407" s="3">
        <f t="shared" ca="1" si="216"/>
        <v>2.8589685603316395E-5</v>
      </c>
      <c r="AH407" s="3">
        <f t="shared" ca="1" si="217"/>
        <v>-1.0506384553449717E-4</v>
      </c>
      <c r="AI407" s="3">
        <f t="shared" ca="1" si="218"/>
        <v>1.1719974687598046E-2</v>
      </c>
      <c r="AJ407" s="3">
        <f t="shared" ca="1" si="219"/>
        <v>4.5346041440183038E-4</v>
      </c>
      <c r="AK407" s="3">
        <f t="shared" ca="1" si="220"/>
        <v>0.23048073611547082</v>
      </c>
      <c r="AL407" s="3">
        <f t="shared" ca="1" si="221"/>
        <v>1.7006730327075514E-5</v>
      </c>
      <c r="AM407" s="3">
        <f t="shared" ca="1" si="222"/>
        <v>0.16630115547992416</v>
      </c>
      <c r="AN407" s="3">
        <f t="shared" ca="1" si="223"/>
        <v>1.9991457716135625</v>
      </c>
      <c r="AP407" s="3">
        <f t="shared" ca="1" si="224"/>
        <v>8.6730062183823566</v>
      </c>
      <c r="AQ407" s="3">
        <f t="shared" ca="1" si="231"/>
        <v>0.39954797045088142</v>
      </c>
      <c r="AR407" s="3">
        <f t="shared" ca="1" si="225"/>
        <v>1.8243750680812609E-4</v>
      </c>
      <c r="AS407" s="3">
        <f t="shared" ca="1" si="226"/>
        <v>0.16615254027571336</v>
      </c>
      <c r="AT407" s="3">
        <f t="shared" ca="1" si="227"/>
        <v>0.70825177618705248</v>
      </c>
      <c r="AU407" s="3">
        <f t="shared" ca="1" si="228"/>
        <v>5.2696347673709426E-2</v>
      </c>
      <c r="AV407" s="10">
        <f t="shared" ca="1" si="232"/>
        <v>0.70825177618705248</v>
      </c>
      <c r="AW407" s="10">
        <f t="shared" ca="1" si="233"/>
        <v>0.70825177618705248</v>
      </c>
      <c r="AY407" s="3">
        <f t="shared" ca="1" si="239"/>
        <v>8.6738085156582923</v>
      </c>
      <c r="AZ407" s="3">
        <f t="shared" ca="1" si="234"/>
        <v>0.39958537897803592</v>
      </c>
      <c r="BA407" s="3">
        <f t="shared" ca="1" si="229"/>
        <v>1.8119615154029261E-4</v>
      </c>
      <c r="BB407" s="3">
        <f t="shared" ca="1" si="235"/>
        <v>0.16611995932838386</v>
      </c>
      <c r="BC407" s="3">
        <f t="shared" ca="1" si="236"/>
        <v>0.70815027205915237</v>
      </c>
      <c r="BD407" s="3">
        <f t="shared" ca="1" si="230"/>
        <v>5.2705987535480205E-2</v>
      </c>
      <c r="BE407" s="3">
        <f t="shared" ca="1" si="237"/>
        <v>0.70815027205915237</v>
      </c>
      <c r="BF407" s="3">
        <f t="shared" ca="1" si="238"/>
        <v>0.70815027205915237</v>
      </c>
    </row>
    <row r="408" spans="1:58" ht="15" x14ac:dyDescent="0.25">
      <c r="A408" s="72">
        <v>342</v>
      </c>
      <c r="B408" s="72">
        <v>1498730299.6659999</v>
      </c>
      <c r="C408" s="73">
        <v>2.4783740615469201E-4</v>
      </c>
      <c r="D408" s="73">
        <v>-5.0078671881992599E-5</v>
      </c>
      <c r="E408" s="73">
        <v>1.276344293098E-2</v>
      </c>
      <c r="F408" s="73">
        <v>4.19253983044242E-4</v>
      </c>
      <c r="G408" s="73">
        <v>0.23614518952115099</v>
      </c>
      <c r="H408" s="73">
        <v>-2.8726250094258798E-5</v>
      </c>
      <c r="I408" s="73">
        <v>0.17067748157943499</v>
      </c>
      <c r="J408" s="73">
        <v>2.0529281032325501</v>
      </c>
      <c r="K408" s="73"/>
      <c r="L408" s="73"/>
      <c r="M408" s="73"/>
      <c r="O408" s="13">
        <f t="shared" ca="1" si="200"/>
        <v>-1.6849823116869573E-5</v>
      </c>
      <c r="P408" s="13">
        <f t="shared" ca="1" si="201"/>
        <v>-6.136614726683277E-5</v>
      </c>
      <c r="Q408" s="13">
        <f t="shared" ca="1" si="202"/>
        <v>1.1922703313007314E-2</v>
      </c>
      <c r="R408" s="13">
        <f t="shared" ca="1" si="203"/>
        <v>4.0947770415356087E-4</v>
      </c>
      <c r="S408" s="13">
        <f t="shared" ca="1" si="204"/>
        <v>0.23501011088790963</v>
      </c>
      <c r="T408" s="13">
        <f t="shared" ca="1" si="205"/>
        <v>-2.9076071605282885E-5</v>
      </c>
      <c r="U408" s="13">
        <f t="shared" ca="1" si="206"/>
        <v>0.17002363758464648</v>
      </c>
      <c r="V408" s="13">
        <f t="shared" ca="1" si="207"/>
        <v>2.045789322310096</v>
      </c>
      <c r="X408" s="3">
        <f t="shared" ca="1" si="208"/>
        <v>-1.6849823116869573E-5</v>
      </c>
      <c r="Y408" s="3">
        <f t="shared" ca="1" si="209"/>
        <v>-6.136614726683277E-5</v>
      </c>
      <c r="Z408" s="3">
        <f t="shared" ca="1" si="210"/>
        <v>1.1922703313007314E-2</v>
      </c>
      <c r="AA408" s="3">
        <f t="shared" ca="1" si="211"/>
        <v>4.0947770415356087E-4</v>
      </c>
      <c r="AB408" s="3">
        <f t="shared" ca="1" si="212"/>
        <v>0.23501011088790963</v>
      </c>
      <c r="AC408" s="3">
        <f t="shared" ca="1" si="213"/>
        <v>-2.9076071605282885E-5</v>
      </c>
      <c r="AD408" s="3">
        <f t="shared" ca="1" si="214"/>
        <v>0.17002363758464648</v>
      </c>
      <c r="AE408" s="3">
        <f t="shared" ca="1" si="215"/>
        <v>2.045789322310096</v>
      </c>
      <c r="AG408" s="3">
        <f t="shared" ca="1" si="216"/>
        <v>-1.6849823116869573E-5</v>
      </c>
      <c r="AH408" s="3">
        <f t="shared" ca="1" si="217"/>
        <v>-6.136614726683277E-5</v>
      </c>
      <c r="AI408" s="3">
        <f t="shared" ca="1" si="218"/>
        <v>1.1922703313007314E-2</v>
      </c>
      <c r="AJ408" s="3">
        <f t="shared" ca="1" si="219"/>
        <v>4.0947770415356087E-4</v>
      </c>
      <c r="AK408" s="3">
        <f t="shared" ca="1" si="220"/>
        <v>0.23501011088790963</v>
      </c>
      <c r="AL408" s="3">
        <f t="shared" ca="1" si="221"/>
        <v>-2.9076071605282885E-5</v>
      </c>
      <c r="AM408" s="3">
        <f t="shared" ca="1" si="222"/>
        <v>0.17002363758464648</v>
      </c>
      <c r="AN408" s="3">
        <f t="shared" ca="1" si="223"/>
        <v>2.045789322310096</v>
      </c>
      <c r="AP408" s="3">
        <f t="shared" ca="1" si="224"/>
        <v>8.7051119399958719</v>
      </c>
      <c r="AQ408" s="3">
        <f t="shared" ca="1" si="231"/>
        <v>0.40104498913749864</v>
      </c>
      <c r="AR408" s="3">
        <f t="shared" ca="1" si="225"/>
        <v>1.6421898141431271E-4</v>
      </c>
      <c r="AS408" s="3">
        <f t="shared" ca="1" si="226"/>
        <v>0.16985941860323217</v>
      </c>
      <c r="AT408" s="3">
        <f t="shared" ca="1" si="227"/>
        <v>0.70884852776901697</v>
      </c>
      <c r="AU408" s="3">
        <f t="shared" ca="1" si="228"/>
        <v>5.277849585637593E-2</v>
      </c>
      <c r="AV408" s="10">
        <f t="shared" ca="1" si="232"/>
        <v>0.70884852776901697</v>
      </c>
      <c r="AW408" s="10">
        <f t="shared" ca="1" si="233"/>
        <v>0.70884852776901697</v>
      </c>
      <c r="AY408" s="3">
        <f t="shared" ca="1" si="239"/>
        <v>8.7051119399958719</v>
      </c>
      <c r="AZ408" s="3">
        <f t="shared" ca="1" si="234"/>
        <v>0.40104498913749864</v>
      </c>
      <c r="BA408" s="3">
        <f t="shared" ca="1" si="229"/>
        <v>1.6421898141431271E-4</v>
      </c>
      <c r="BB408" s="3">
        <f t="shared" ca="1" si="235"/>
        <v>0.16985941860323217</v>
      </c>
      <c r="BC408" s="3">
        <f t="shared" ca="1" si="236"/>
        <v>0.70884852776901697</v>
      </c>
      <c r="BD408" s="3">
        <f t="shared" ca="1" si="230"/>
        <v>5.277849585637593E-2</v>
      </c>
      <c r="BE408" s="3">
        <f t="shared" ca="1" si="237"/>
        <v>0.70884852776901697</v>
      </c>
      <c r="BF408" s="3">
        <f t="shared" ca="1" si="238"/>
        <v>0.70884852776901697</v>
      </c>
    </row>
    <row r="409" spans="1:58" ht="15" x14ac:dyDescent="0.25">
      <c r="A409" s="72">
        <v>343</v>
      </c>
      <c r="B409" s="72">
        <v>1498730300.1930001</v>
      </c>
      <c r="C409" s="73">
        <v>3.34198032505607E-4</v>
      </c>
      <c r="D409" s="73">
        <v>1.0181532615134299E-4</v>
      </c>
      <c r="E409" s="73">
        <v>1.28181346221494E-2</v>
      </c>
      <c r="F409" s="73">
        <v>4.7709819194886101E-4</v>
      </c>
      <c r="G409" s="73">
        <v>0.23677447194478099</v>
      </c>
      <c r="H409" s="73">
        <v>-8.6281837057244092E-6</v>
      </c>
      <c r="I409" s="73">
        <v>0.170806262683495</v>
      </c>
      <c r="J409" s="73">
        <v>2.05370950056815</v>
      </c>
      <c r="K409" s="73"/>
      <c r="L409" s="73"/>
      <c r="M409" s="73"/>
      <c r="O409" s="13">
        <f t="shared" ca="1" si="200"/>
        <v>6.9510803234045415E-5</v>
      </c>
      <c r="P409" s="13">
        <f t="shared" ca="1" si="201"/>
        <v>9.0527850766502815E-5</v>
      </c>
      <c r="Q409" s="13">
        <f t="shared" ca="1" si="202"/>
        <v>1.1977395004176715E-2</v>
      </c>
      <c r="R409" s="13">
        <f t="shared" ca="1" si="203"/>
        <v>4.6732191305817988E-4</v>
      </c>
      <c r="S409" s="13">
        <f t="shared" ca="1" si="204"/>
        <v>0.23563939331153963</v>
      </c>
      <c r="T409" s="13">
        <f t="shared" ca="1" si="205"/>
        <v>-8.9780052167484956E-6</v>
      </c>
      <c r="U409" s="13">
        <f t="shared" ca="1" si="206"/>
        <v>0.17015241868870648</v>
      </c>
      <c r="V409" s="13">
        <f t="shared" ca="1" si="207"/>
        <v>2.0465707196456959</v>
      </c>
      <c r="X409" s="3">
        <f t="shared" ca="1" si="208"/>
        <v>6.9510803234045415E-5</v>
      </c>
      <c r="Y409" s="3">
        <f t="shared" ca="1" si="209"/>
        <v>9.0527850766502815E-5</v>
      </c>
      <c r="Z409" s="3">
        <f t="shared" ca="1" si="210"/>
        <v>1.1977395004176715E-2</v>
      </c>
      <c r="AA409" s="3">
        <f t="shared" ca="1" si="211"/>
        <v>4.6732191305817988E-4</v>
      </c>
      <c r="AB409" s="3">
        <f t="shared" ca="1" si="212"/>
        <v>0.23563939331153963</v>
      </c>
      <c r="AC409" s="3">
        <f t="shared" ca="1" si="213"/>
        <v>-8.9780052167484956E-6</v>
      </c>
      <c r="AD409" s="3">
        <f t="shared" ca="1" si="214"/>
        <v>0.17015241868870648</v>
      </c>
      <c r="AE409" s="3">
        <f t="shared" ca="1" si="215"/>
        <v>2.0465707196456959</v>
      </c>
      <c r="AG409" s="3">
        <f t="shared" ca="1" si="216"/>
        <v>6.9510803234045415E-5</v>
      </c>
      <c r="AH409" s="3">
        <f t="shared" ca="1" si="217"/>
        <v>9.0527850766502815E-5</v>
      </c>
      <c r="AI409" s="3">
        <f t="shared" ca="1" si="218"/>
        <v>1.1904475300567187E-2</v>
      </c>
      <c r="AJ409" s="3">
        <f t="shared" ca="1" si="219"/>
        <v>4.2705545665257033E-4</v>
      </c>
      <c r="AK409" s="3">
        <f t="shared" ca="1" si="220"/>
        <v>0.23563939331153963</v>
      </c>
      <c r="AL409" s="3">
        <f t="shared" ca="1" si="221"/>
        <v>-8.9780052167484956E-6</v>
      </c>
      <c r="AM409" s="3">
        <f t="shared" ca="1" si="222"/>
        <v>0.17015241868870648</v>
      </c>
      <c r="AN409" s="3">
        <f t="shared" ca="1" si="223"/>
        <v>2.0465707196456959</v>
      </c>
      <c r="AP409" s="3">
        <f t="shared" ca="1" si="224"/>
        <v>8.6851807369064051</v>
      </c>
      <c r="AQ409" s="3">
        <f t="shared" ca="1" si="231"/>
        <v>0.40011563338599121</v>
      </c>
      <c r="AR409" s="3">
        <f t="shared" ca="1" si="225"/>
        <v>1.8698280323842676E-4</v>
      </c>
      <c r="AS409" s="3">
        <f t="shared" ca="1" si="226"/>
        <v>0.16996543588546806</v>
      </c>
      <c r="AT409" s="3">
        <f t="shared" ca="1" si="227"/>
        <v>0.70821382328465476</v>
      </c>
      <c r="AU409" s="3">
        <f t="shared" ca="1" si="228"/>
        <v>5.2755124277485056E-2</v>
      </c>
      <c r="AV409" s="10">
        <f t="shared" ca="1" si="232"/>
        <v>0.70821382328465476</v>
      </c>
      <c r="AW409" s="10">
        <f t="shared" ca="1" si="233"/>
        <v>0.70821382328465476</v>
      </c>
      <c r="AY409" s="3">
        <f t="shared" ca="1" si="239"/>
        <v>8.6851807369064051</v>
      </c>
      <c r="AZ409" s="3">
        <f t="shared" ca="1" si="234"/>
        <v>0.40011563338599121</v>
      </c>
      <c r="BA409" s="3">
        <f t="shared" ca="1" si="229"/>
        <v>1.7087156452948689E-4</v>
      </c>
      <c r="BB409" s="3">
        <f t="shared" ca="1" si="235"/>
        <v>0.16998154712417698</v>
      </c>
      <c r="BC409" s="3">
        <f t="shared" ca="1" si="236"/>
        <v>0.70828095576900063</v>
      </c>
      <c r="BD409" s="3">
        <f t="shared" ca="1" si="230"/>
        <v>5.2433945254429001E-2</v>
      </c>
      <c r="BE409" s="3">
        <f t="shared" ca="1" si="237"/>
        <v>0.70828095576900063</v>
      </c>
      <c r="BF409" s="3">
        <f t="shared" ca="1" si="238"/>
        <v>0.70828095576900063</v>
      </c>
    </row>
    <row r="410" spans="1:58" ht="15" x14ac:dyDescent="0.25">
      <c r="A410" s="72">
        <v>344</v>
      </c>
      <c r="B410" s="72">
        <v>1498730300.72</v>
      </c>
      <c r="C410" s="73">
        <v>2.2714051428953001E-4</v>
      </c>
      <c r="D410" s="73">
        <v>-5.3621800197996E-5</v>
      </c>
      <c r="E410" s="73">
        <v>1.2590231936880501E-2</v>
      </c>
      <c r="F410" s="73">
        <v>3.9259440544203098E-4</v>
      </c>
      <c r="G410" s="73">
        <v>0.23220036436650601</v>
      </c>
      <c r="H410" s="73">
        <v>8.4973544201547898E-6</v>
      </c>
      <c r="I410" s="73">
        <v>0.16772925989756499</v>
      </c>
      <c r="J410" s="73">
        <v>2.0175959637929899</v>
      </c>
      <c r="K410" s="73"/>
      <c r="L410" s="73"/>
      <c r="M410" s="73"/>
      <c r="O410" s="13">
        <f t="shared" ca="1" si="200"/>
        <v>-3.754671498203157E-5</v>
      </c>
      <c r="P410" s="13">
        <f t="shared" ca="1" si="201"/>
        <v>-6.4909275582836172E-5</v>
      </c>
      <c r="Q410" s="13">
        <f t="shared" ca="1" si="202"/>
        <v>1.1749492318907815E-2</v>
      </c>
      <c r="R410" s="13">
        <f t="shared" ca="1" si="203"/>
        <v>3.8281812655134985E-4</v>
      </c>
      <c r="S410" s="13">
        <f t="shared" ca="1" si="204"/>
        <v>0.23106528573326465</v>
      </c>
      <c r="T410" s="13">
        <f t="shared" ca="1" si="205"/>
        <v>8.1475329091307033E-6</v>
      </c>
      <c r="U410" s="13">
        <f t="shared" ca="1" si="206"/>
        <v>0.16707541590277647</v>
      </c>
      <c r="V410" s="13">
        <f t="shared" ca="1" si="207"/>
        <v>2.0104571828705358</v>
      </c>
      <c r="X410" s="3">
        <f t="shared" ca="1" si="208"/>
        <v>-3.754671498203157E-5</v>
      </c>
      <c r="Y410" s="3">
        <f t="shared" ca="1" si="209"/>
        <v>-6.4909275582836172E-5</v>
      </c>
      <c r="Z410" s="3">
        <f t="shared" ca="1" si="210"/>
        <v>1.1749429984184198E-2</v>
      </c>
      <c r="AA410" s="3">
        <f t="shared" ca="1" si="211"/>
        <v>3.8130934290016511E-4</v>
      </c>
      <c r="AB410" s="3">
        <f t="shared" ca="1" si="212"/>
        <v>0.23105431340520979</v>
      </c>
      <c r="AC410" s="3">
        <f t="shared" ca="1" si="213"/>
        <v>8.1475329091307033E-6</v>
      </c>
      <c r="AD410" s="3">
        <f t="shared" ca="1" si="214"/>
        <v>0.16705921241638169</v>
      </c>
      <c r="AE410" s="3">
        <f t="shared" ca="1" si="215"/>
        <v>2.0104506078726998</v>
      </c>
      <c r="AG410" s="3">
        <f t="shared" ca="1" si="216"/>
        <v>-3.754671498203157E-5</v>
      </c>
      <c r="AH410" s="3">
        <f t="shared" ca="1" si="217"/>
        <v>-6.4909275582836172E-5</v>
      </c>
      <c r="AI410" s="3">
        <f t="shared" ca="1" si="218"/>
        <v>1.1749429984184198E-2</v>
      </c>
      <c r="AJ410" s="3">
        <f t="shared" ca="1" si="219"/>
        <v>3.8130934290016511E-4</v>
      </c>
      <c r="AK410" s="3">
        <f t="shared" ca="1" si="220"/>
        <v>0.23105431340520979</v>
      </c>
      <c r="AL410" s="3">
        <f t="shared" ca="1" si="221"/>
        <v>8.1475329091307033E-6</v>
      </c>
      <c r="AM410" s="3">
        <f t="shared" ca="1" si="222"/>
        <v>0.16705921241638169</v>
      </c>
      <c r="AN410" s="3">
        <f t="shared" ca="1" si="223"/>
        <v>2.0104506078726998</v>
      </c>
      <c r="AP410" s="3">
        <f t="shared" ca="1" si="224"/>
        <v>8.7008188031816758</v>
      </c>
      <c r="AQ410" s="3">
        <f t="shared" ca="1" si="231"/>
        <v>0.40084480579286241</v>
      </c>
      <c r="AR410" s="3">
        <f t="shared" ca="1" si="225"/>
        <v>1.5345065759146326E-4</v>
      </c>
      <c r="AS410" s="3">
        <f t="shared" ca="1" si="226"/>
        <v>0.16692196524518502</v>
      </c>
      <c r="AT410" s="3">
        <f t="shared" ca="1" si="227"/>
        <v>0.70865854612679835</v>
      </c>
      <c r="AU410" s="3">
        <f t="shared" ca="1" si="228"/>
        <v>5.2873005803722097E-2</v>
      </c>
      <c r="AV410" s="10">
        <f t="shared" ca="1" si="232"/>
        <v>0.70865854612679835</v>
      </c>
      <c r="AW410" s="10">
        <f t="shared" ca="1" si="233"/>
        <v>0.70865854612679835</v>
      </c>
      <c r="AY410" s="3">
        <f t="shared" ca="1" si="239"/>
        <v>8.7012035319456977</v>
      </c>
      <c r="AZ410" s="3">
        <f t="shared" ca="1" si="234"/>
        <v>0.40086274514218406</v>
      </c>
      <c r="BA410" s="3">
        <f t="shared" ca="1" si="229"/>
        <v>1.5285270994332256E-4</v>
      </c>
      <c r="BB410" s="3">
        <f t="shared" ca="1" si="235"/>
        <v>0.16690635970643836</v>
      </c>
      <c r="BC410" s="3">
        <f t="shared" ca="1" si="236"/>
        <v>0.70861016440310498</v>
      </c>
      <c r="BD410" s="3">
        <f t="shared" ca="1" si="230"/>
        <v>5.2877628494414658E-2</v>
      </c>
      <c r="BE410" s="3">
        <f t="shared" ca="1" si="237"/>
        <v>0.70861016440310498</v>
      </c>
      <c r="BF410" s="3">
        <f t="shared" ca="1" si="238"/>
        <v>0.70861016440310498</v>
      </c>
    </row>
    <row r="411" spans="1:58" ht="15" x14ac:dyDescent="0.25">
      <c r="A411" s="72">
        <v>345</v>
      </c>
      <c r="B411" s="72">
        <v>1498730301.247</v>
      </c>
      <c r="C411" s="73">
        <v>3.3015342875720402E-4</v>
      </c>
      <c r="D411" s="73">
        <v>-7.4171694913683703E-5</v>
      </c>
      <c r="E411" s="73">
        <v>1.2785126507572299E-2</v>
      </c>
      <c r="F411" s="73">
        <v>4.7471770573936499E-4</v>
      </c>
      <c r="G411" s="73">
        <v>0.23532150619961201</v>
      </c>
      <c r="H411" s="73">
        <v>-2.47353013330061E-5</v>
      </c>
      <c r="I411" s="73">
        <v>0.16987081911383101</v>
      </c>
      <c r="J411" s="73">
        <v>2.0419794978799302</v>
      </c>
      <c r="K411" s="73"/>
      <c r="L411" s="73"/>
      <c r="M411" s="73"/>
      <c r="O411" s="13">
        <f t="shared" ca="1" si="200"/>
        <v>6.5466199485642441E-5</v>
      </c>
      <c r="P411" s="13">
        <f t="shared" ca="1" si="201"/>
        <v>-8.5459170298523882E-5</v>
      </c>
      <c r="Q411" s="13">
        <f t="shared" ca="1" si="202"/>
        <v>1.1944386889599614E-2</v>
      </c>
      <c r="R411" s="13">
        <f t="shared" ca="1" si="203"/>
        <v>4.6494142684868386E-4</v>
      </c>
      <c r="S411" s="13">
        <f t="shared" ca="1" si="204"/>
        <v>0.23418642756637065</v>
      </c>
      <c r="T411" s="13">
        <f t="shared" ca="1" si="205"/>
        <v>-2.5085122844030187E-5</v>
      </c>
      <c r="U411" s="13">
        <f t="shared" ca="1" si="206"/>
        <v>0.16921697511904249</v>
      </c>
      <c r="V411" s="13">
        <f t="shared" ca="1" si="207"/>
        <v>2.034840716957476</v>
      </c>
      <c r="X411" s="3">
        <f t="shared" ca="1" si="208"/>
        <v>6.5466199485642441E-5</v>
      </c>
      <c r="Y411" s="3">
        <f t="shared" ca="1" si="209"/>
        <v>-8.5459170298523882E-5</v>
      </c>
      <c r="Z411" s="3">
        <f t="shared" ca="1" si="210"/>
        <v>1.1944386889599614E-2</v>
      </c>
      <c r="AA411" s="3">
        <f t="shared" ca="1" si="211"/>
        <v>4.6494142684868386E-4</v>
      </c>
      <c r="AB411" s="3">
        <f t="shared" ca="1" si="212"/>
        <v>0.23418642756637065</v>
      </c>
      <c r="AC411" s="3">
        <f t="shared" ca="1" si="213"/>
        <v>-2.5085122844030187E-5</v>
      </c>
      <c r="AD411" s="3">
        <f t="shared" ca="1" si="214"/>
        <v>0.16921697511904249</v>
      </c>
      <c r="AE411" s="3">
        <f t="shared" ca="1" si="215"/>
        <v>2.034840716957476</v>
      </c>
      <c r="AG411" s="3">
        <f t="shared" ca="1" si="216"/>
        <v>6.5466199485642441E-5</v>
      </c>
      <c r="AH411" s="3">
        <f t="shared" ca="1" si="217"/>
        <v>-8.5459170298523882E-5</v>
      </c>
      <c r="AI411" s="3">
        <f t="shared" ca="1" si="218"/>
        <v>1.1944386889599614E-2</v>
      </c>
      <c r="AJ411" s="3">
        <f t="shared" ca="1" si="219"/>
        <v>4.6494142684868386E-4</v>
      </c>
      <c r="AK411" s="3">
        <f t="shared" ca="1" si="220"/>
        <v>0.23418642756637065</v>
      </c>
      <c r="AL411" s="3">
        <f t="shared" ca="1" si="221"/>
        <v>-2.5085122844030187E-5</v>
      </c>
      <c r="AM411" s="3">
        <f t="shared" ca="1" si="222"/>
        <v>0.16921697511904249</v>
      </c>
      <c r="AN411" s="3">
        <f t="shared" ca="1" si="223"/>
        <v>2.034840716957476</v>
      </c>
      <c r="AP411" s="3">
        <f t="shared" ca="1" si="224"/>
        <v>8.6889779997211107</v>
      </c>
      <c r="AQ411" s="3">
        <f t="shared" ca="1" si="231"/>
        <v>0.40029269085218472</v>
      </c>
      <c r="AR411" s="3">
        <f t="shared" ca="1" si="225"/>
        <v>1.8611265484191387E-4</v>
      </c>
      <c r="AS411" s="3">
        <f t="shared" ca="1" si="226"/>
        <v>0.16903086246420057</v>
      </c>
      <c r="AT411" s="3">
        <f t="shared" ca="1" si="227"/>
        <v>0.70853346583412424</v>
      </c>
      <c r="AU411" s="3">
        <f t="shared" ca="1" si="228"/>
        <v>5.2959827928464813E-2</v>
      </c>
      <c r="AV411" s="10">
        <f t="shared" ca="1" si="232"/>
        <v>0.70853346583412424</v>
      </c>
      <c r="AW411" s="10">
        <f t="shared" ca="1" si="233"/>
        <v>0.70853346583412424</v>
      </c>
      <c r="AY411" s="3">
        <f t="shared" ca="1" si="239"/>
        <v>8.6889779997211107</v>
      </c>
      <c r="AZ411" s="3">
        <f t="shared" ca="1" si="234"/>
        <v>0.40029269085218472</v>
      </c>
      <c r="BA411" s="3">
        <f t="shared" ca="1" si="229"/>
        <v>1.8611265484191387E-4</v>
      </c>
      <c r="BB411" s="3">
        <f t="shared" ca="1" si="235"/>
        <v>0.16903086246420057</v>
      </c>
      <c r="BC411" s="3">
        <f t="shared" ca="1" si="236"/>
        <v>0.70853346583412424</v>
      </c>
      <c r="BD411" s="3">
        <f t="shared" ca="1" si="230"/>
        <v>5.2959827928464813E-2</v>
      </c>
      <c r="BE411" s="3">
        <f t="shared" ca="1" si="237"/>
        <v>0.70853346583412424</v>
      </c>
      <c r="BF411" s="3">
        <f t="shared" ca="1" si="238"/>
        <v>0.70853346583412424</v>
      </c>
    </row>
    <row r="412" spans="1:58" ht="15" x14ac:dyDescent="0.25">
      <c r="A412" s="72">
        <v>346</v>
      </c>
      <c r="B412" s="72">
        <v>1498730301.7739999</v>
      </c>
      <c r="C412" s="73">
        <v>2.8756712480063399E-4</v>
      </c>
      <c r="D412" s="73">
        <v>-6.1652844203332604E-5</v>
      </c>
      <c r="E412" s="73">
        <v>1.28383737068934E-2</v>
      </c>
      <c r="F412" s="73">
        <v>5.0066531151879195E-4</v>
      </c>
      <c r="G412" s="73">
        <v>0.23585503470452701</v>
      </c>
      <c r="H412" s="73">
        <v>-3.04737155582298E-5</v>
      </c>
      <c r="I412" s="73">
        <v>0.17034875920063899</v>
      </c>
      <c r="J412" s="73">
        <v>2.04768314066557</v>
      </c>
      <c r="K412" s="73"/>
      <c r="L412" s="73"/>
      <c r="M412" s="73"/>
      <c r="O412" s="13">
        <f t="shared" ca="1" si="200"/>
        <v>2.2879895529072402E-5</v>
      </c>
      <c r="P412" s="13">
        <f t="shared" ca="1" si="201"/>
        <v>-7.2940319588172783E-5</v>
      </c>
      <c r="Q412" s="13">
        <f t="shared" ca="1" si="202"/>
        <v>1.1997634088920715E-2</v>
      </c>
      <c r="R412" s="13">
        <f t="shared" ca="1" si="203"/>
        <v>4.9088903262811082E-4</v>
      </c>
      <c r="S412" s="13">
        <f t="shared" ca="1" si="204"/>
        <v>0.23471995607128565</v>
      </c>
      <c r="T412" s="13">
        <f t="shared" ca="1" si="205"/>
        <v>-3.082353706925389E-5</v>
      </c>
      <c r="U412" s="13">
        <f t="shared" ca="1" si="206"/>
        <v>0.16969491520585048</v>
      </c>
      <c r="V412" s="13">
        <f t="shared" ca="1" si="207"/>
        <v>2.0405443597431159</v>
      </c>
      <c r="X412" s="3">
        <f t="shared" ca="1" si="208"/>
        <v>2.2879895529072402E-5</v>
      </c>
      <c r="Y412" s="3">
        <f t="shared" ca="1" si="209"/>
        <v>-7.2940319588172783E-5</v>
      </c>
      <c r="Z412" s="3">
        <f t="shared" ca="1" si="210"/>
        <v>1.1997634088920715E-2</v>
      </c>
      <c r="AA412" s="3">
        <f t="shared" ca="1" si="211"/>
        <v>4.9088903262811082E-4</v>
      </c>
      <c r="AB412" s="3">
        <f t="shared" ca="1" si="212"/>
        <v>0.23471995607128565</v>
      </c>
      <c r="AC412" s="3">
        <f t="shared" ca="1" si="213"/>
        <v>-3.082353706925389E-5</v>
      </c>
      <c r="AD412" s="3">
        <f t="shared" ca="1" si="214"/>
        <v>0.16969491520585048</v>
      </c>
      <c r="AE412" s="3">
        <f t="shared" ca="1" si="215"/>
        <v>2.0405443597431159</v>
      </c>
      <c r="AG412" s="3">
        <f t="shared" ca="1" si="216"/>
        <v>2.2879895529072402E-5</v>
      </c>
      <c r="AH412" s="3">
        <f t="shared" ca="1" si="217"/>
        <v>-7.2940319588172783E-5</v>
      </c>
      <c r="AI412" s="3">
        <f t="shared" ca="1" si="218"/>
        <v>1.1997634088920715E-2</v>
      </c>
      <c r="AJ412" s="3">
        <f t="shared" ca="1" si="219"/>
        <v>4.9088903262811082E-4</v>
      </c>
      <c r="AK412" s="3">
        <f t="shared" ca="1" si="220"/>
        <v>0.23471995607128565</v>
      </c>
      <c r="AL412" s="3">
        <f t="shared" ca="1" si="221"/>
        <v>-3.082353706925389E-5</v>
      </c>
      <c r="AM412" s="3">
        <f t="shared" ca="1" si="222"/>
        <v>0.16969491520585048</v>
      </c>
      <c r="AN412" s="3">
        <f t="shared" ca="1" si="223"/>
        <v>2.0405443597431159</v>
      </c>
      <c r="AP412" s="3">
        <f t="shared" ca="1" si="224"/>
        <v>8.693527358719308</v>
      </c>
      <c r="AQ412" s="3">
        <f t="shared" ca="1" si="231"/>
        <v>0.40050481803657978</v>
      </c>
      <c r="AR412" s="3">
        <f t="shared" ca="1" si="225"/>
        <v>1.9660342268887419E-4</v>
      </c>
      <c r="AS412" s="3">
        <f t="shared" ca="1" si="226"/>
        <v>0.1694983117831616</v>
      </c>
      <c r="AT412" s="3">
        <f t="shared" ca="1" si="227"/>
        <v>0.7086910745871251</v>
      </c>
      <c r="AU412" s="3">
        <f t="shared" ca="1" si="228"/>
        <v>5.3103437540283911E-2</v>
      </c>
      <c r="AV412" s="10">
        <f t="shared" ca="1" si="232"/>
        <v>0.7086910745871251</v>
      </c>
      <c r="AW412" s="10">
        <f t="shared" ca="1" si="233"/>
        <v>0.7086910745871251</v>
      </c>
      <c r="AY412" s="3">
        <f t="shared" ca="1" si="239"/>
        <v>8.693527358719308</v>
      </c>
      <c r="AZ412" s="3">
        <f t="shared" ca="1" si="234"/>
        <v>0.40050481803657978</v>
      </c>
      <c r="BA412" s="3">
        <f t="shared" ca="1" si="229"/>
        <v>1.9660342268887419E-4</v>
      </c>
      <c r="BB412" s="3">
        <f t="shared" ca="1" si="235"/>
        <v>0.1694983117831616</v>
      </c>
      <c r="BC412" s="3">
        <f t="shared" ca="1" si="236"/>
        <v>0.7086910745871251</v>
      </c>
      <c r="BD412" s="3">
        <f t="shared" ca="1" si="230"/>
        <v>5.3103437540283911E-2</v>
      </c>
      <c r="BE412" s="3">
        <f t="shared" ca="1" si="237"/>
        <v>0.7086910745871251</v>
      </c>
      <c r="BF412" s="3">
        <f t="shared" ca="1" si="238"/>
        <v>0.7086910745871251</v>
      </c>
    </row>
    <row r="413" spans="1:58" ht="15" x14ac:dyDescent="0.25">
      <c r="A413" s="72">
        <v>347</v>
      </c>
      <c r="B413" s="72">
        <v>1498730302.3</v>
      </c>
      <c r="C413" s="73">
        <v>2.4070049843251699E-4</v>
      </c>
      <c r="D413" s="73">
        <v>8.6459510851840098E-5</v>
      </c>
      <c r="E413" s="73">
        <v>1.55542539018286E-2</v>
      </c>
      <c r="F413" s="73">
        <v>5.5280061216450398E-4</v>
      </c>
      <c r="G413" s="73">
        <v>0.28933491559119501</v>
      </c>
      <c r="H413" s="73">
        <v>-4.5183242411191502E-6</v>
      </c>
      <c r="I413" s="73">
        <v>0.20879771603269601</v>
      </c>
      <c r="J413" s="73">
        <v>2.5050117462355201</v>
      </c>
      <c r="K413" s="73"/>
      <c r="L413" s="73"/>
      <c r="M413" s="73"/>
      <c r="O413" s="13">
        <f t="shared" ca="1" si="200"/>
        <v>-2.3986730839044594E-5</v>
      </c>
      <c r="P413" s="13">
        <f t="shared" ca="1" si="201"/>
        <v>7.517203546699992E-5</v>
      </c>
      <c r="Q413" s="13">
        <f t="shared" ca="1" si="202"/>
        <v>1.4713514283855915E-2</v>
      </c>
      <c r="R413" s="13">
        <f t="shared" ca="1" si="203"/>
        <v>5.4302433327382284E-4</v>
      </c>
      <c r="S413" s="13">
        <f t="shared" ca="1" si="204"/>
        <v>0.28819983695795365</v>
      </c>
      <c r="T413" s="13">
        <f t="shared" ca="1" si="205"/>
        <v>-4.8681457521432366E-6</v>
      </c>
      <c r="U413" s="13">
        <f t="shared" ca="1" si="206"/>
        <v>0.20814387203790749</v>
      </c>
      <c r="V413" s="13">
        <f t="shared" ca="1" si="207"/>
        <v>2.497872965313066</v>
      </c>
      <c r="X413" s="3">
        <f t="shared" ca="1" si="208"/>
        <v>-2.3986730839044594E-5</v>
      </c>
      <c r="Y413" s="3">
        <f t="shared" ca="1" si="209"/>
        <v>7.517203546699992E-5</v>
      </c>
      <c r="Z413" s="3">
        <f t="shared" ca="1" si="210"/>
        <v>1.4713514283855915E-2</v>
      </c>
      <c r="AA413" s="3">
        <f t="shared" ca="1" si="211"/>
        <v>5.4302433327382284E-4</v>
      </c>
      <c r="AB413" s="3">
        <f t="shared" ca="1" si="212"/>
        <v>0.28819983695795365</v>
      </c>
      <c r="AC413" s="3">
        <f t="shared" ca="1" si="213"/>
        <v>-4.8681457521432366E-6</v>
      </c>
      <c r="AD413" s="3">
        <f t="shared" ca="1" si="214"/>
        <v>0.20814387203790749</v>
      </c>
      <c r="AE413" s="3">
        <f t="shared" ca="1" si="215"/>
        <v>2.497872965313066</v>
      </c>
      <c r="AG413" s="3">
        <f t="shared" ca="1" si="216"/>
        <v>-2.3986730839044594E-5</v>
      </c>
      <c r="AH413" s="3">
        <f t="shared" ca="1" si="217"/>
        <v>7.517203546699992E-5</v>
      </c>
      <c r="AI413" s="3">
        <f t="shared" ca="1" si="218"/>
        <v>1.4652963608018963E-2</v>
      </c>
      <c r="AJ413" s="3">
        <f t="shared" ca="1" si="219"/>
        <v>5.0958808726307681E-4</v>
      </c>
      <c r="AK413" s="3">
        <f t="shared" ca="1" si="220"/>
        <v>0.28819983695795365</v>
      </c>
      <c r="AL413" s="3">
        <f t="shared" ca="1" si="221"/>
        <v>-4.8681457521432366E-6</v>
      </c>
      <c r="AM413" s="3">
        <f t="shared" ca="1" si="222"/>
        <v>0.20814387203790749</v>
      </c>
      <c r="AN413" s="3">
        <f t="shared" ca="1" si="223"/>
        <v>2.497872965313066</v>
      </c>
      <c r="AP413" s="3">
        <f t="shared" ca="1" si="224"/>
        <v>8.6671560667034253</v>
      </c>
      <c r="AQ413" s="3">
        <f t="shared" ca="1" si="231"/>
        <v>0.39927519806795847</v>
      </c>
      <c r="AR413" s="3">
        <f t="shared" ca="1" si="225"/>
        <v>2.168161482236267E-4</v>
      </c>
      <c r="AS413" s="3">
        <f t="shared" ca="1" si="226"/>
        <v>0.20792705588968385</v>
      </c>
      <c r="AT413" s="3">
        <f t="shared" ca="1" si="227"/>
        <v>0.709125854927247</v>
      </c>
      <c r="AU413" s="3">
        <f t="shared" ca="1" si="228"/>
        <v>5.2874909509025056E-2</v>
      </c>
      <c r="AV413" s="10">
        <f t="shared" ca="1" si="232"/>
        <v>0.709125854927247</v>
      </c>
      <c r="AW413" s="10">
        <f t="shared" ca="1" si="233"/>
        <v>0.709125854927247</v>
      </c>
      <c r="AY413" s="3">
        <f t="shared" ca="1" si="239"/>
        <v>8.6671560667034253</v>
      </c>
      <c r="AZ413" s="3">
        <f t="shared" ca="1" si="234"/>
        <v>0.39927519806795847</v>
      </c>
      <c r="BA413" s="3">
        <f t="shared" ca="1" si="229"/>
        <v>2.0346588447503711E-4</v>
      </c>
      <c r="BB413" s="3">
        <f t="shared" ca="1" si="235"/>
        <v>0.20794040615343246</v>
      </c>
      <c r="BC413" s="3">
        <f t="shared" ca="1" si="236"/>
        <v>0.70917138540019931</v>
      </c>
      <c r="BD413" s="3">
        <f t="shared" ca="1" si="230"/>
        <v>5.2657312853064887E-2</v>
      </c>
      <c r="BE413" s="3">
        <f t="shared" ca="1" si="237"/>
        <v>0.70917138540019931</v>
      </c>
      <c r="BF413" s="3">
        <f t="shared" ca="1" si="238"/>
        <v>0.70917138540019931</v>
      </c>
    </row>
    <row r="414" spans="1:58" ht="15" x14ac:dyDescent="0.25">
      <c r="A414" s="72">
        <v>348</v>
      </c>
      <c r="B414" s="72">
        <v>1498730302.8269999</v>
      </c>
      <c r="C414" s="73">
        <v>2.6187347348131598E-4</v>
      </c>
      <c r="D414" s="73">
        <v>-1.5355344765604501E-5</v>
      </c>
      <c r="E414" s="73">
        <v>1.47870159194159E-2</v>
      </c>
      <c r="F414" s="73">
        <v>6.4660339302222798E-4</v>
      </c>
      <c r="G414" s="73">
        <v>0.27720340117964298</v>
      </c>
      <c r="H414" s="73">
        <v>1.1781071301807501E-5</v>
      </c>
      <c r="I414" s="73">
        <v>0.20042209290381399</v>
      </c>
      <c r="J414" s="73">
        <v>2.4086628038451598</v>
      </c>
      <c r="K414" s="73"/>
      <c r="L414" s="73"/>
      <c r="M414" s="73"/>
      <c r="O414" s="13">
        <f t="shared" ca="1" si="200"/>
        <v>-2.8137557902456023E-6</v>
      </c>
      <c r="P414" s="13">
        <f t="shared" ca="1" si="201"/>
        <v>-2.6642820150444676E-5</v>
      </c>
      <c r="Q414" s="13">
        <f t="shared" ca="1" si="202"/>
        <v>1.3946276301443215E-2</v>
      </c>
      <c r="R414" s="13">
        <f t="shared" ca="1" si="203"/>
        <v>6.3682711413154684E-4</v>
      </c>
      <c r="S414" s="13">
        <f t="shared" ca="1" si="204"/>
        <v>0.27606832254640162</v>
      </c>
      <c r="T414" s="13">
        <f t="shared" ca="1" si="205"/>
        <v>1.1431249790783414E-5</v>
      </c>
      <c r="U414" s="13">
        <f t="shared" ca="1" si="206"/>
        <v>0.19976824890902548</v>
      </c>
      <c r="V414" s="13">
        <f t="shared" ca="1" si="207"/>
        <v>2.4015240229227057</v>
      </c>
      <c r="X414" s="3">
        <f t="shared" ca="1" si="208"/>
        <v>-2.8137557902456023E-6</v>
      </c>
      <c r="Y414" s="3">
        <f t="shared" ca="1" si="209"/>
        <v>-2.6642820150444676E-5</v>
      </c>
      <c r="Z414" s="3">
        <f t="shared" ca="1" si="210"/>
        <v>1.3946188843828223E-2</v>
      </c>
      <c r="AA414" s="3">
        <f t="shared" ca="1" si="211"/>
        <v>6.3471024231411433E-4</v>
      </c>
      <c r="AB414" s="3">
        <f t="shared" ca="1" si="212"/>
        <v>0.27605292801848985</v>
      </c>
      <c r="AC414" s="3">
        <f t="shared" ca="1" si="213"/>
        <v>1.1431249790783414E-5</v>
      </c>
      <c r="AD414" s="3">
        <f t="shared" ca="1" si="214"/>
        <v>0.19974551489831008</v>
      </c>
      <c r="AE414" s="3">
        <f t="shared" ca="1" si="215"/>
        <v>2.4015147979900204</v>
      </c>
      <c r="AG414" s="3">
        <f t="shared" ca="1" si="216"/>
        <v>-2.8137557902456023E-6</v>
      </c>
      <c r="AH414" s="3">
        <f t="shared" ca="1" si="217"/>
        <v>-2.6642820150444676E-5</v>
      </c>
      <c r="AI414" s="3">
        <f t="shared" ca="1" si="218"/>
        <v>1.3946188843828223E-2</v>
      </c>
      <c r="AJ414" s="3">
        <f t="shared" ca="1" si="219"/>
        <v>6.3471024231411433E-4</v>
      </c>
      <c r="AK414" s="3">
        <f t="shared" ca="1" si="220"/>
        <v>0.27605292801848985</v>
      </c>
      <c r="AL414" s="3">
        <f t="shared" ca="1" si="221"/>
        <v>1.1431249790783414E-5</v>
      </c>
      <c r="AM414" s="3">
        <f t="shared" ca="1" si="222"/>
        <v>0.19974551489831008</v>
      </c>
      <c r="AN414" s="3">
        <f t="shared" ca="1" si="223"/>
        <v>2.4015147979900204</v>
      </c>
      <c r="AP414" s="3">
        <f t="shared" ca="1" si="224"/>
        <v>8.6990205930600997</v>
      </c>
      <c r="AQ414" s="3">
        <f t="shared" ca="1" si="231"/>
        <v>0.40076095796692007</v>
      </c>
      <c r="AR414" s="3">
        <f t="shared" ca="1" si="225"/>
        <v>2.5521544431866784E-4</v>
      </c>
      <c r="AS414" s="3">
        <f t="shared" ca="1" si="226"/>
        <v>0.19951303346470681</v>
      </c>
      <c r="AT414" s="3">
        <f t="shared" ca="1" si="227"/>
        <v>0.70901944225013547</v>
      </c>
      <c r="AU414" s="3">
        <f t="shared" ca="1" si="228"/>
        <v>5.251694310201465E-2</v>
      </c>
      <c r="AV414" s="10">
        <f t="shared" ca="1" si="232"/>
        <v>0.70901944225013547</v>
      </c>
      <c r="AW414" s="10">
        <f t="shared" ca="1" si="233"/>
        <v>0.70901944225013547</v>
      </c>
      <c r="AY414" s="3">
        <f t="shared" ca="1" si="239"/>
        <v>8.6994722904339863</v>
      </c>
      <c r="AZ414" s="3">
        <f t="shared" ca="1" si="234"/>
        <v>0.40078201991445378</v>
      </c>
      <c r="BA414" s="3">
        <f t="shared" ca="1" si="229"/>
        <v>2.5438045297504318E-4</v>
      </c>
      <c r="BB414" s="3">
        <f t="shared" ca="1" si="235"/>
        <v>0.19949113444533503</v>
      </c>
      <c r="BC414" s="3">
        <f t="shared" ca="1" si="236"/>
        <v>0.70896261534772642</v>
      </c>
      <c r="BD414" s="3">
        <f t="shared" ca="1" si="230"/>
        <v>5.2522332927559597E-2</v>
      </c>
      <c r="BE414" s="3">
        <f t="shared" ca="1" si="237"/>
        <v>0.70896261534772642</v>
      </c>
      <c r="BF414" s="3">
        <f t="shared" ca="1" si="238"/>
        <v>0.70896261534772642</v>
      </c>
    </row>
    <row r="415" spans="1:58" ht="15" x14ac:dyDescent="0.25">
      <c r="A415" s="72">
        <v>349</v>
      </c>
      <c r="B415" s="72">
        <v>1498730303.3540001</v>
      </c>
      <c r="C415" s="73">
        <v>2.2309634414135901E-4</v>
      </c>
      <c r="D415" s="73">
        <v>1.03926688336099E-5</v>
      </c>
      <c r="E415" s="73">
        <v>1.3847226793991901E-2</v>
      </c>
      <c r="F415" s="73">
        <v>5.43039915059957E-4</v>
      </c>
      <c r="G415" s="73">
        <v>0.25637063619250999</v>
      </c>
      <c r="H415" s="73">
        <v>4.5923993283052699E-5</v>
      </c>
      <c r="I415" s="73">
        <v>0.18524422383710701</v>
      </c>
      <c r="J415" s="73">
        <v>2.2282710001544701</v>
      </c>
      <c r="K415" s="73"/>
      <c r="L415" s="73"/>
      <c r="M415" s="73"/>
      <c r="O415" s="13">
        <f t="shared" ca="1" si="200"/>
        <v>-4.1590885130202572E-5</v>
      </c>
      <c r="P415" s="13">
        <f t="shared" ca="1" si="201"/>
        <v>-8.9480655123027357E-7</v>
      </c>
      <c r="Q415" s="13">
        <f t="shared" ca="1" si="202"/>
        <v>1.3006487176019215E-2</v>
      </c>
      <c r="R415" s="13">
        <f t="shared" ca="1" si="203"/>
        <v>5.3326363616927586E-4</v>
      </c>
      <c r="S415" s="13">
        <f t="shared" ca="1" si="204"/>
        <v>0.25523555755926863</v>
      </c>
      <c r="T415" s="13">
        <f t="shared" ca="1" si="205"/>
        <v>4.5574171772028609E-5</v>
      </c>
      <c r="U415" s="13">
        <f t="shared" ca="1" si="206"/>
        <v>0.18459037984231849</v>
      </c>
      <c r="V415" s="13">
        <f t="shared" ca="1" si="207"/>
        <v>2.221132219232016</v>
      </c>
      <c r="X415" s="3">
        <f t="shared" ca="1" si="208"/>
        <v>-4.1590885130202572E-5</v>
      </c>
      <c r="Y415" s="3">
        <f t="shared" ca="1" si="209"/>
        <v>-8.9480655123027357E-7</v>
      </c>
      <c r="Z415" s="3">
        <f t="shared" ca="1" si="210"/>
        <v>1.3006138499501652E-2</v>
      </c>
      <c r="AA415" s="3">
        <f t="shared" ca="1" si="211"/>
        <v>5.2482407955099417E-4</v>
      </c>
      <c r="AB415" s="3">
        <f t="shared" ca="1" si="212"/>
        <v>0.25517418256771129</v>
      </c>
      <c r="AC415" s="3">
        <f t="shared" ca="1" si="213"/>
        <v>4.5574171772028609E-5</v>
      </c>
      <c r="AD415" s="3">
        <f t="shared" ca="1" si="214"/>
        <v>0.18449974375891792</v>
      </c>
      <c r="AE415" s="3">
        <f t="shared" ca="1" si="215"/>
        <v>2.2210954412178463</v>
      </c>
      <c r="AG415" s="3">
        <f t="shared" ca="1" si="216"/>
        <v>-4.1590885130202572E-5</v>
      </c>
      <c r="AH415" s="3">
        <f t="shared" ca="1" si="217"/>
        <v>-8.9480655123027357E-7</v>
      </c>
      <c r="AI415" s="3">
        <f t="shared" ca="1" si="218"/>
        <v>1.3006138499501652E-2</v>
      </c>
      <c r="AJ415" s="3">
        <f t="shared" ca="1" si="219"/>
        <v>5.2482407955099417E-4</v>
      </c>
      <c r="AK415" s="3">
        <f t="shared" ca="1" si="220"/>
        <v>0.25517418256771129</v>
      </c>
      <c r="AL415" s="3">
        <f t="shared" ca="1" si="221"/>
        <v>4.5574171772028609E-5</v>
      </c>
      <c r="AM415" s="3">
        <f t="shared" ca="1" si="222"/>
        <v>0.18449974375891792</v>
      </c>
      <c r="AN415" s="3">
        <f t="shared" ca="1" si="223"/>
        <v>2.2210954412178463</v>
      </c>
      <c r="AP415" s="3">
        <f t="shared" ca="1" si="224"/>
        <v>8.7022836491590461</v>
      </c>
      <c r="AQ415" s="3">
        <f t="shared" ca="1" si="231"/>
        <v>0.40091310950688042</v>
      </c>
      <c r="AR415" s="3">
        <f t="shared" ca="1" si="225"/>
        <v>2.1379238256357013E-4</v>
      </c>
      <c r="AS415" s="3">
        <f t="shared" ca="1" si="226"/>
        <v>0.18437658745975491</v>
      </c>
      <c r="AT415" s="3">
        <f t="shared" ca="1" si="227"/>
        <v>0.70857531924539885</v>
      </c>
      <c r="AU415" s="3">
        <f t="shared" ca="1" si="228"/>
        <v>5.2996019724824234E-2</v>
      </c>
      <c r="AV415" s="10">
        <f t="shared" ca="1" si="232"/>
        <v>0.70857531924539885</v>
      </c>
      <c r="AW415" s="10">
        <f t="shared" ca="1" si="233"/>
        <v>0.70857531924539885</v>
      </c>
      <c r="AY415" s="3">
        <f t="shared" ca="1" si="239"/>
        <v>8.7042326103208794</v>
      </c>
      <c r="AZ415" s="3">
        <f t="shared" ca="1" si="234"/>
        <v>0.40100398704934942</v>
      </c>
      <c r="BA415" s="3">
        <f t="shared" ca="1" si="229"/>
        <v>2.1045654839945359E-4</v>
      </c>
      <c r="BB415" s="3">
        <f t="shared" ca="1" si="235"/>
        <v>0.18428928721051846</v>
      </c>
      <c r="BC415" s="3">
        <f t="shared" ca="1" si="236"/>
        <v>0.70833027966569484</v>
      </c>
      <c r="BD415" s="3">
        <f t="shared" ca="1" si="230"/>
        <v>5.3019492938372846E-2</v>
      </c>
      <c r="BE415" s="3">
        <f t="shared" ca="1" si="237"/>
        <v>0.70833027966569484</v>
      </c>
      <c r="BF415" s="3">
        <f t="shared" ca="1" si="238"/>
        <v>0.70833027966569484</v>
      </c>
    </row>
    <row r="416" spans="1:58" ht="15" x14ac:dyDescent="0.25">
      <c r="A416" s="72">
        <v>350</v>
      </c>
      <c r="B416" s="72">
        <v>1498730303.881</v>
      </c>
      <c r="C416" s="73">
        <v>3.5870392317650501E-4</v>
      </c>
      <c r="D416" s="73">
        <v>7.8899812155650503E-5</v>
      </c>
      <c r="E416" s="73">
        <v>1.3238178631955699E-2</v>
      </c>
      <c r="F416" s="73">
        <v>4.0425788308768798E-4</v>
      </c>
      <c r="G416" s="73">
        <v>0.24248991295017999</v>
      </c>
      <c r="H416" s="73">
        <v>4.3111779140062399E-5</v>
      </c>
      <c r="I416" s="73">
        <v>0.175116651917852</v>
      </c>
      <c r="J416" s="73">
        <v>2.1051582951942498</v>
      </c>
      <c r="K416" s="73"/>
      <c r="L416" s="73"/>
      <c r="M416" s="73"/>
      <c r="O416" s="13">
        <f t="shared" ca="1" si="200"/>
        <v>9.4016693904943422E-5</v>
      </c>
      <c r="P416" s="13">
        <f t="shared" ca="1" si="201"/>
        <v>6.7612336770810324E-5</v>
      </c>
      <c r="Q416" s="13">
        <f t="shared" ca="1" si="202"/>
        <v>1.2397439013983014E-2</v>
      </c>
      <c r="R416" s="13">
        <f t="shared" ca="1" si="203"/>
        <v>3.9448160419700684E-4</v>
      </c>
      <c r="S416" s="13">
        <f t="shared" ca="1" si="204"/>
        <v>0.24135483431693863</v>
      </c>
      <c r="T416" s="13">
        <f t="shared" ca="1" si="205"/>
        <v>4.2761957629038309E-5</v>
      </c>
      <c r="U416" s="13">
        <f t="shared" ca="1" si="206"/>
        <v>0.17446280792306348</v>
      </c>
      <c r="V416" s="13">
        <f t="shared" ca="1" si="207"/>
        <v>2.0980195142717957</v>
      </c>
      <c r="X416" s="3">
        <f t="shared" ca="1" si="208"/>
        <v>9.4016693904943422E-5</v>
      </c>
      <c r="Y416" s="3">
        <f t="shared" ca="1" si="209"/>
        <v>6.7612336770810324E-5</v>
      </c>
      <c r="Z416" s="3">
        <f t="shared" ca="1" si="210"/>
        <v>1.2397111853008047E-2</v>
      </c>
      <c r="AA416" s="3">
        <f t="shared" ca="1" si="211"/>
        <v>3.8656282150745881E-4</v>
      </c>
      <c r="AB416" s="3">
        <f t="shared" ca="1" si="212"/>
        <v>0.2412972465498677</v>
      </c>
      <c r="AC416" s="3">
        <f t="shared" ca="1" si="213"/>
        <v>4.2761957629038309E-5</v>
      </c>
      <c r="AD416" s="3">
        <f t="shared" ca="1" si="214"/>
        <v>0.17437776465826377</v>
      </c>
      <c r="AE416" s="3">
        <f t="shared" ca="1" si="215"/>
        <v>2.097985005693308</v>
      </c>
      <c r="AG416" s="3">
        <f t="shared" ca="1" si="216"/>
        <v>9.4016693904943422E-5</v>
      </c>
      <c r="AH416" s="3">
        <f t="shared" ca="1" si="217"/>
        <v>6.7612336770810324E-5</v>
      </c>
      <c r="AI416" s="3">
        <f t="shared" ca="1" si="218"/>
        <v>1.2342650474372299E-2</v>
      </c>
      <c r="AJ416" s="3">
        <f t="shared" ca="1" si="219"/>
        <v>3.5648910178461511E-4</v>
      </c>
      <c r="AK416" s="3">
        <f t="shared" ca="1" si="220"/>
        <v>0.2412972465498677</v>
      </c>
      <c r="AL416" s="3">
        <f t="shared" ca="1" si="221"/>
        <v>4.2761957629038309E-5</v>
      </c>
      <c r="AM416" s="3">
        <f t="shared" ca="1" si="222"/>
        <v>0.17437776465826377</v>
      </c>
      <c r="AN416" s="3">
        <f t="shared" ca="1" si="223"/>
        <v>2.097985005693308</v>
      </c>
      <c r="AP416" s="3">
        <f t="shared" ca="1" si="224"/>
        <v>8.6926765739307736</v>
      </c>
      <c r="AQ416" s="3">
        <f t="shared" ca="1" si="231"/>
        <v>0.40046514760223573</v>
      </c>
      <c r="AR416" s="3">
        <f t="shared" ca="1" si="225"/>
        <v>1.5797613385112107E-4</v>
      </c>
      <c r="AS416" s="3">
        <f t="shared" ca="1" si="226"/>
        <v>0.17430483178921236</v>
      </c>
      <c r="AT416" s="3">
        <f t="shared" ca="1" si="227"/>
        <v>0.70878812061857688</v>
      </c>
      <c r="AU416" s="3">
        <f t="shared" ca="1" si="228"/>
        <v>5.3359226353572514E-2</v>
      </c>
      <c r="AV416" s="10">
        <f t="shared" ca="1" si="232"/>
        <v>0.70878812061857688</v>
      </c>
      <c r="AW416" s="10">
        <f t="shared" ca="1" si="233"/>
        <v>0.70878812061857688</v>
      </c>
      <c r="AY416" s="3">
        <f t="shared" ca="1" si="239"/>
        <v>8.6946081469675125</v>
      </c>
      <c r="AZ416" s="3">
        <f t="shared" ca="1" si="234"/>
        <v>0.40055521315128856</v>
      </c>
      <c r="BA416" s="3">
        <f t="shared" ca="1" si="229"/>
        <v>1.427935681514479E-4</v>
      </c>
      <c r="BB416" s="3">
        <f t="shared" ca="1" si="235"/>
        <v>0.17423497109011232</v>
      </c>
      <c r="BC416" s="3">
        <f t="shared" ca="1" si="236"/>
        <v>0.70859384334156772</v>
      </c>
      <c r="BD416" s="3">
        <f t="shared" ca="1" si="230"/>
        <v>5.3148173756652116E-2</v>
      </c>
      <c r="BE416" s="3">
        <f t="shared" ca="1" si="237"/>
        <v>0.70859384334156772</v>
      </c>
      <c r="BF416" s="3">
        <f t="shared" ca="1" si="238"/>
        <v>0.70859384334156772</v>
      </c>
    </row>
    <row r="417" spans="1:58" ht="15" x14ac:dyDescent="0.25">
      <c r="A417" s="72">
        <v>351</v>
      </c>
      <c r="B417" s="72">
        <v>1498730304.408</v>
      </c>
      <c r="C417" s="73">
        <v>2.5663966259671103E-4</v>
      </c>
      <c r="D417" s="73">
        <v>7.0158982337740504E-5</v>
      </c>
      <c r="E417" s="73">
        <v>1.4826050751356901E-2</v>
      </c>
      <c r="F417" s="73">
        <v>5.1923373674794598E-4</v>
      </c>
      <c r="G417" s="73">
        <v>0.27144305676604302</v>
      </c>
      <c r="H417" s="73">
        <v>-5.7909608510880103E-5</v>
      </c>
      <c r="I417" s="73">
        <v>0.19587441554260199</v>
      </c>
      <c r="J417" s="73">
        <v>2.3539779751044501</v>
      </c>
      <c r="K417" s="73"/>
      <c r="L417" s="73"/>
      <c r="M417" s="73"/>
      <c r="O417" s="13">
        <f t="shared" ca="1" si="200"/>
        <v>-8.0475666748505573E-6</v>
      </c>
      <c r="P417" s="13">
        <f t="shared" ca="1" si="201"/>
        <v>5.8871506952900333E-5</v>
      </c>
      <c r="Q417" s="13">
        <f t="shared" ca="1" si="202"/>
        <v>1.3985311133384215E-2</v>
      </c>
      <c r="R417" s="13">
        <f t="shared" ca="1" si="203"/>
        <v>5.0945745785726485E-4</v>
      </c>
      <c r="S417" s="13">
        <f t="shared" ca="1" si="204"/>
        <v>0.27030797813280166</v>
      </c>
      <c r="T417" s="13">
        <f t="shared" ca="1" si="205"/>
        <v>-5.8259430021904193E-5</v>
      </c>
      <c r="U417" s="13">
        <f t="shared" ca="1" si="206"/>
        <v>0.19522057154781347</v>
      </c>
      <c r="V417" s="13">
        <f t="shared" ca="1" si="207"/>
        <v>2.3468391941819959</v>
      </c>
      <c r="X417" s="3">
        <f t="shared" ca="1" si="208"/>
        <v>-8.0475666748505573E-6</v>
      </c>
      <c r="Y417" s="3">
        <f t="shared" ca="1" si="209"/>
        <v>5.8871506952900333E-5</v>
      </c>
      <c r="Z417" s="3">
        <f t="shared" ca="1" si="210"/>
        <v>1.3985311133384215E-2</v>
      </c>
      <c r="AA417" s="3">
        <f t="shared" ca="1" si="211"/>
        <v>5.0945745785726485E-4</v>
      </c>
      <c r="AB417" s="3">
        <f t="shared" ca="1" si="212"/>
        <v>0.27030797813280166</v>
      </c>
      <c r="AC417" s="3">
        <f t="shared" ca="1" si="213"/>
        <v>-5.8259430021904193E-5</v>
      </c>
      <c r="AD417" s="3">
        <f t="shared" ca="1" si="214"/>
        <v>0.19522057154781347</v>
      </c>
      <c r="AE417" s="3">
        <f t="shared" ca="1" si="215"/>
        <v>2.3468391941819959</v>
      </c>
      <c r="AG417" s="3">
        <f t="shared" ca="1" si="216"/>
        <v>-8.0475666748505573E-6</v>
      </c>
      <c r="AH417" s="3">
        <f t="shared" ca="1" si="217"/>
        <v>5.8871506952900333E-5</v>
      </c>
      <c r="AI417" s="3">
        <f t="shared" ca="1" si="218"/>
        <v>1.3937890446803195E-2</v>
      </c>
      <c r="AJ417" s="3">
        <f t="shared" ca="1" si="219"/>
        <v>4.8327162721862726E-4</v>
      </c>
      <c r="AK417" s="3">
        <f t="shared" ca="1" si="220"/>
        <v>0.27030797813280166</v>
      </c>
      <c r="AL417" s="3">
        <f t="shared" ca="1" si="221"/>
        <v>-5.8259430021904193E-5</v>
      </c>
      <c r="AM417" s="3">
        <f t="shared" ca="1" si="222"/>
        <v>0.19522057154781347</v>
      </c>
      <c r="AN417" s="3">
        <f t="shared" ca="1" si="223"/>
        <v>2.3468391941819959</v>
      </c>
      <c r="AP417" s="3">
        <f t="shared" ca="1" si="224"/>
        <v>8.6820937006491139</v>
      </c>
      <c r="AQ417" s="3">
        <f t="shared" ca="1" si="231"/>
        <v>0.39997169281165534</v>
      </c>
      <c r="AR417" s="3">
        <f t="shared" ca="1" si="225"/>
        <v>2.0376856183469279E-4</v>
      </c>
      <c r="AS417" s="3">
        <f t="shared" ca="1" si="226"/>
        <v>0.19501680298597879</v>
      </c>
      <c r="AT417" s="3">
        <f t="shared" ca="1" si="227"/>
        <v>0.70850448207804873</v>
      </c>
      <c r="AU417" s="3">
        <f t="shared" ca="1" si="228"/>
        <v>5.367912907461566E-2</v>
      </c>
      <c r="AV417" s="10">
        <f t="shared" ca="1" si="232"/>
        <v>0.70850448207804873</v>
      </c>
      <c r="AW417" s="10">
        <f t="shared" ca="1" si="233"/>
        <v>0.70850448207804873</v>
      </c>
      <c r="AY417" s="3">
        <f t="shared" ca="1" si="239"/>
        <v>8.6820937006491139</v>
      </c>
      <c r="AZ417" s="3">
        <f t="shared" ca="1" si="234"/>
        <v>0.39997169281165534</v>
      </c>
      <c r="BA417" s="3">
        <f t="shared" ca="1" si="229"/>
        <v>1.9329497082647761E-4</v>
      </c>
      <c r="BB417" s="3">
        <f t="shared" ca="1" si="235"/>
        <v>0.19502727657698699</v>
      </c>
      <c r="BC417" s="3">
        <f t="shared" ca="1" si="236"/>
        <v>0.70854253308729065</v>
      </c>
      <c r="BD417" s="3">
        <f t="shared" ca="1" si="230"/>
        <v>5.3497116595128298E-2</v>
      </c>
      <c r="BE417" s="3">
        <f t="shared" ca="1" si="237"/>
        <v>0.70854253308729065</v>
      </c>
      <c r="BF417" s="3">
        <f t="shared" ca="1" si="238"/>
        <v>0.70854253308729065</v>
      </c>
    </row>
    <row r="418" spans="1:58" ht="15" x14ac:dyDescent="0.25">
      <c r="A418" s="72">
        <v>352</v>
      </c>
      <c r="B418" s="72">
        <v>1498730304.9349999</v>
      </c>
      <c r="C418" s="73">
        <v>2.64966192807493E-4</v>
      </c>
      <c r="D418" s="73">
        <v>-1.4174257846712699E-5</v>
      </c>
      <c r="E418" s="73">
        <v>1.41173892483483E-2</v>
      </c>
      <c r="F418" s="73">
        <v>6.9136518470109599E-4</v>
      </c>
      <c r="G418" s="73">
        <v>0.258639884704913</v>
      </c>
      <c r="H418" s="73">
        <v>-3.15835762817232E-5</v>
      </c>
      <c r="I418" s="73">
        <v>0.18683633944689301</v>
      </c>
      <c r="J418" s="73">
        <v>2.2471283929388601</v>
      </c>
      <c r="K418" s="73"/>
      <c r="L418" s="73"/>
      <c r="M418" s="73"/>
      <c r="O418" s="13">
        <f t="shared" ca="1" si="200"/>
        <v>2.789635359314209E-7</v>
      </c>
      <c r="P418" s="13">
        <f t="shared" ca="1" si="201"/>
        <v>-2.5461733231552872E-5</v>
      </c>
      <c r="Q418" s="13">
        <f t="shared" ca="1" si="202"/>
        <v>1.3276649630375614E-2</v>
      </c>
      <c r="R418" s="13">
        <f t="shared" ca="1" si="203"/>
        <v>6.8158890581041486E-4</v>
      </c>
      <c r="S418" s="13">
        <f t="shared" ca="1" si="204"/>
        <v>0.25750480607167164</v>
      </c>
      <c r="T418" s="13">
        <f t="shared" ca="1" si="205"/>
        <v>-3.193339779274729E-5</v>
      </c>
      <c r="U418" s="13">
        <f t="shared" ca="1" si="206"/>
        <v>0.1861824954521045</v>
      </c>
      <c r="V418" s="13">
        <f t="shared" ca="1" si="207"/>
        <v>2.239989612016406</v>
      </c>
      <c r="X418" s="3">
        <f t="shared" ca="1" si="208"/>
        <v>2.789635359314209E-7</v>
      </c>
      <c r="Y418" s="3">
        <f t="shared" ca="1" si="209"/>
        <v>-2.5461733231552872E-5</v>
      </c>
      <c r="Z418" s="3">
        <f t="shared" ca="1" si="210"/>
        <v>1.3276649630375614E-2</v>
      </c>
      <c r="AA418" s="3">
        <f t="shared" ca="1" si="211"/>
        <v>6.8158890581041486E-4</v>
      </c>
      <c r="AB418" s="3">
        <f t="shared" ca="1" si="212"/>
        <v>0.25750480607167164</v>
      </c>
      <c r="AC418" s="3">
        <f t="shared" ca="1" si="213"/>
        <v>-3.193339779274729E-5</v>
      </c>
      <c r="AD418" s="3">
        <f t="shared" ca="1" si="214"/>
        <v>0.1861824954521045</v>
      </c>
      <c r="AE418" s="3">
        <f t="shared" ca="1" si="215"/>
        <v>2.239989612016406</v>
      </c>
      <c r="AG418" s="3">
        <f t="shared" ca="1" si="216"/>
        <v>2.789635359314209E-7</v>
      </c>
      <c r="AH418" s="3">
        <f t="shared" ca="1" si="217"/>
        <v>-2.5461733231552872E-5</v>
      </c>
      <c r="AI418" s="3">
        <f t="shared" ca="1" si="218"/>
        <v>1.3276649630375614E-2</v>
      </c>
      <c r="AJ418" s="3">
        <f t="shared" ca="1" si="219"/>
        <v>6.8158890581041486E-4</v>
      </c>
      <c r="AK418" s="3">
        <f t="shared" ca="1" si="220"/>
        <v>0.25750480607167164</v>
      </c>
      <c r="AL418" s="3">
        <f t="shared" ca="1" si="221"/>
        <v>-3.193339779274729E-5</v>
      </c>
      <c r="AM418" s="3">
        <f t="shared" ca="1" si="222"/>
        <v>0.1861824954521045</v>
      </c>
      <c r="AN418" s="3">
        <f t="shared" ca="1" si="223"/>
        <v>2.239989612016406</v>
      </c>
      <c r="AP418" s="3">
        <f t="shared" ca="1" si="224"/>
        <v>8.6988264265364688</v>
      </c>
      <c r="AQ418" s="3">
        <f t="shared" ca="1" si="231"/>
        <v>0.40075190428733581</v>
      </c>
      <c r="AR418" s="3">
        <f t="shared" ca="1" si="225"/>
        <v>2.7314805194464533E-4</v>
      </c>
      <c r="AS418" s="3">
        <f t="shared" ca="1" si="226"/>
        <v>0.18590934740015985</v>
      </c>
      <c r="AT418" s="3">
        <f t="shared" ca="1" si="227"/>
        <v>0.70831137737038852</v>
      </c>
      <c r="AU418" s="3">
        <f t="shared" ca="1" si="228"/>
        <v>5.3598296418267577E-2</v>
      </c>
      <c r="AV418" s="10">
        <f t="shared" ca="1" si="232"/>
        <v>0.70831137737038852</v>
      </c>
      <c r="AW418" s="10">
        <f t="shared" ca="1" si="233"/>
        <v>0.70831137737038852</v>
      </c>
      <c r="AY418" s="3">
        <f t="shared" ca="1" si="239"/>
        <v>8.6988264265364688</v>
      </c>
      <c r="AZ418" s="3">
        <f t="shared" ca="1" si="234"/>
        <v>0.40075190428733581</v>
      </c>
      <c r="BA418" s="3">
        <f t="shared" ca="1" si="229"/>
        <v>2.7314805194464533E-4</v>
      </c>
      <c r="BB418" s="3">
        <f t="shared" ca="1" si="235"/>
        <v>0.18590934740015985</v>
      </c>
      <c r="BC418" s="3">
        <f t="shared" ca="1" si="236"/>
        <v>0.70831137737038852</v>
      </c>
      <c r="BD418" s="3">
        <f t="shared" ca="1" si="230"/>
        <v>5.3598296418267577E-2</v>
      </c>
      <c r="BE418" s="3">
        <f t="shared" ca="1" si="237"/>
        <v>0.70831137737038852</v>
      </c>
      <c r="BF418" s="3">
        <f t="shared" ca="1" si="238"/>
        <v>0.70831137737038852</v>
      </c>
    </row>
    <row r="419" spans="1:58" ht="15" x14ac:dyDescent="0.25">
      <c r="A419" s="72">
        <v>353</v>
      </c>
      <c r="B419" s="72">
        <v>1498730305.4619999</v>
      </c>
      <c r="C419" s="73">
        <v>2.5616386296745401E-4</v>
      </c>
      <c r="D419" s="73">
        <v>3.7558728675200001E-5</v>
      </c>
      <c r="E419" s="73">
        <v>1.42725240359594E-2</v>
      </c>
      <c r="F419" s="73">
        <v>5.9113012585852395E-4</v>
      </c>
      <c r="G419" s="73">
        <v>0.26452972592928897</v>
      </c>
      <c r="H419" s="73">
        <v>-9.7855271888447694E-6</v>
      </c>
      <c r="I419" s="73">
        <v>0.191019109558032</v>
      </c>
      <c r="J419" s="73">
        <v>2.2945048920686899</v>
      </c>
      <c r="K419" s="73"/>
      <c r="L419" s="73"/>
      <c r="M419" s="73"/>
      <c r="O419" s="13">
        <f t="shared" ca="1" si="200"/>
        <v>-8.52336630410757E-6</v>
      </c>
      <c r="P419" s="13">
        <f t="shared" ca="1" si="201"/>
        <v>2.627125329035983E-5</v>
      </c>
      <c r="Q419" s="13">
        <f t="shared" ca="1" si="202"/>
        <v>1.3431784417986715E-2</v>
      </c>
      <c r="R419" s="13">
        <f t="shared" ca="1" si="203"/>
        <v>5.8135384696784281E-4</v>
      </c>
      <c r="S419" s="13">
        <f t="shared" ca="1" si="204"/>
        <v>0.26339464729604761</v>
      </c>
      <c r="T419" s="13">
        <f t="shared" ca="1" si="205"/>
        <v>-1.0135348699868856E-5</v>
      </c>
      <c r="U419" s="13">
        <f t="shared" ca="1" si="206"/>
        <v>0.19036526556324349</v>
      </c>
      <c r="V419" s="13">
        <f t="shared" ca="1" si="207"/>
        <v>2.2873661111462358</v>
      </c>
      <c r="X419" s="3">
        <f t="shared" ca="1" si="208"/>
        <v>-8.52336630410757E-6</v>
      </c>
      <c r="Y419" s="3">
        <f t="shared" ca="1" si="209"/>
        <v>2.627125329035983E-5</v>
      </c>
      <c r="Z419" s="3">
        <f t="shared" ca="1" si="210"/>
        <v>1.3431784417986715E-2</v>
      </c>
      <c r="AA419" s="3">
        <f t="shared" ca="1" si="211"/>
        <v>5.8135384696784281E-4</v>
      </c>
      <c r="AB419" s="3">
        <f t="shared" ca="1" si="212"/>
        <v>0.26339464729604761</v>
      </c>
      <c r="AC419" s="3">
        <f t="shared" ca="1" si="213"/>
        <v>-1.0135348699868856E-5</v>
      </c>
      <c r="AD419" s="3">
        <f t="shared" ca="1" si="214"/>
        <v>0.19036526556324349</v>
      </c>
      <c r="AE419" s="3">
        <f t="shared" ca="1" si="215"/>
        <v>2.2873661111462358</v>
      </c>
      <c r="AG419" s="3">
        <f t="shared" ca="1" si="216"/>
        <v>-8.52336630410757E-6</v>
      </c>
      <c r="AH419" s="3">
        <f t="shared" ca="1" si="217"/>
        <v>2.627125329035983E-5</v>
      </c>
      <c r="AI419" s="3">
        <f t="shared" ca="1" si="218"/>
        <v>1.3410623062810781E-2</v>
      </c>
      <c r="AJ419" s="3">
        <f t="shared" ca="1" si="219"/>
        <v>5.6966848973931991E-4</v>
      </c>
      <c r="AK419" s="3">
        <f t="shared" ca="1" si="220"/>
        <v>0.26339464729604761</v>
      </c>
      <c r="AL419" s="3">
        <f t="shared" ca="1" si="221"/>
        <v>-1.0135348699868856E-5</v>
      </c>
      <c r="AM419" s="3">
        <f t="shared" ca="1" si="222"/>
        <v>0.19036526556324349</v>
      </c>
      <c r="AN419" s="3">
        <f t="shared" ca="1" si="223"/>
        <v>2.2873661111462358</v>
      </c>
      <c r="AP419" s="3">
        <f t="shared" ca="1" si="224"/>
        <v>8.6841784167895621</v>
      </c>
      <c r="AQ419" s="3">
        <f t="shared" ca="1" si="231"/>
        <v>0.40006889770448073</v>
      </c>
      <c r="AR419" s="3">
        <f t="shared" ca="1" si="225"/>
        <v>2.3258159273268424E-4</v>
      </c>
      <c r="AS419" s="3">
        <f t="shared" ca="1" si="226"/>
        <v>0.19013268397051081</v>
      </c>
      <c r="AT419" s="3">
        <f t="shared" ca="1" si="227"/>
        <v>0.70880497691460032</v>
      </c>
      <c r="AU419" s="3">
        <f t="shared" ca="1" si="228"/>
        <v>5.2920708913348179E-2</v>
      </c>
      <c r="AV419" s="10">
        <f t="shared" ca="1" si="232"/>
        <v>0.70880497691460032</v>
      </c>
      <c r="AW419" s="10">
        <f t="shared" ca="1" si="233"/>
        <v>0.70880497691460032</v>
      </c>
      <c r="AY419" s="3">
        <f t="shared" ca="1" si="239"/>
        <v>8.6841784167895621</v>
      </c>
      <c r="AZ419" s="3">
        <f t="shared" ca="1" si="234"/>
        <v>0.40006889770448073</v>
      </c>
      <c r="BA419" s="3">
        <f t="shared" ca="1" si="229"/>
        <v>2.2790664474698599E-4</v>
      </c>
      <c r="BB419" s="3">
        <f t="shared" ca="1" si="235"/>
        <v>0.19013735891849651</v>
      </c>
      <c r="BC419" s="3">
        <f t="shared" ca="1" si="236"/>
        <v>0.70882240488295323</v>
      </c>
      <c r="BD419" s="3">
        <f t="shared" ca="1" si="230"/>
        <v>5.2837333995866785E-2</v>
      </c>
      <c r="BE419" s="3">
        <f t="shared" ca="1" si="237"/>
        <v>0.70882240488295323</v>
      </c>
      <c r="BF419" s="3">
        <f t="shared" ca="1" si="238"/>
        <v>0.70882240488295323</v>
      </c>
    </row>
    <row r="420" spans="1:58" ht="15" x14ac:dyDescent="0.25">
      <c r="A420" s="72">
        <v>354</v>
      </c>
      <c r="B420" s="72">
        <v>1498730305.9879999</v>
      </c>
      <c r="C420" s="73">
        <v>2.7638554714323201E-4</v>
      </c>
      <c r="D420" s="73">
        <v>4.0629721364640602E-5</v>
      </c>
      <c r="E420" s="73">
        <v>1.5366669224152399E-2</v>
      </c>
      <c r="F420" s="73">
        <v>7.5232063688135604E-4</v>
      </c>
      <c r="G420" s="73">
        <v>0.28415432198572399</v>
      </c>
      <c r="H420" s="73">
        <v>2.2609540441962099E-6</v>
      </c>
      <c r="I420" s="73">
        <v>0.20515690430310801</v>
      </c>
      <c r="J420" s="73">
        <v>2.4672211341618402</v>
      </c>
      <c r="K420" s="73"/>
      <c r="L420" s="73"/>
      <c r="M420" s="73"/>
      <c r="O420" s="13">
        <f t="shared" ca="1" si="200"/>
        <v>1.1698317871670428E-5</v>
      </c>
      <c r="P420" s="13">
        <f t="shared" ca="1" si="201"/>
        <v>2.934224597980043E-5</v>
      </c>
      <c r="Q420" s="13">
        <f t="shared" ca="1" si="202"/>
        <v>1.4525929606179714E-2</v>
      </c>
      <c r="R420" s="13">
        <f t="shared" ca="1" si="203"/>
        <v>7.425443579906749E-4</v>
      </c>
      <c r="S420" s="13">
        <f t="shared" ca="1" si="204"/>
        <v>0.28301924335248263</v>
      </c>
      <c r="T420" s="13">
        <f t="shared" ca="1" si="205"/>
        <v>1.9111325331721234E-6</v>
      </c>
      <c r="U420" s="13">
        <f t="shared" ca="1" si="206"/>
        <v>0.2045030603083195</v>
      </c>
      <c r="V420" s="13">
        <f t="shared" ca="1" si="207"/>
        <v>2.4600823532393861</v>
      </c>
      <c r="X420" s="3">
        <f t="shared" ca="1" si="208"/>
        <v>1.1698317871670428E-5</v>
      </c>
      <c r="Y420" s="3">
        <f t="shared" ca="1" si="209"/>
        <v>2.934224597980043E-5</v>
      </c>
      <c r="Z420" s="3">
        <f t="shared" ca="1" si="210"/>
        <v>1.4525914984585719E-2</v>
      </c>
      <c r="AA420" s="3">
        <f t="shared" ca="1" si="211"/>
        <v>7.4219044895422709E-4</v>
      </c>
      <c r="AB420" s="3">
        <f t="shared" ca="1" si="212"/>
        <v>0.28301666961963073</v>
      </c>
      <c r="AC420" s="3">
        <f t="shared" ca="1" si="213"/>
        <v>1.9111325331721234E-6</v>
      </c>
      <c r="AD420" s="3">
        <f t="shared" ca="1" si="214"/>
        <v>0.20449925952465342</v>
      </c>
      <c r="AE420" s="3">
        <f t="shared" ca="1" si="215"/>
        <v>2.4600808109697923</v>
      </c>
      <c r="AG420" s="3">
        <f t="shared" ca="1" si="216"/>
        <v>1.1698317871670428E-5</v>
      </c>
      <c r="AH420" s="3">
        <f t="shared" ca="1" si="217"/>
        <v>2.934224597980043E-5</v>
      </c>
      <c r="AI420" s="3">
        <f t="shared" ca="1" si="218"/>
        <v>1.4502279961087773E-2</v>
      </c>
      <c r="AJ420" s="3">
        <f t="shared" ca="1" si="219"/>
        <v>7.2913912542688791E-4</v>
      </c>
      <c r="AK420" s="3">
        <f t="shared" ca="1" si="220"/>
        <v>0.28301666961963073</v>
      </c>
      <c r="AL420" s="3">
        <f t="shared" ca="1" si="221"/>
        <v>1.9111325331721234E-6</v>
      </c>
      <c r="AM420" s="3">
        <f t="shared" ca="1" si="222"/>
        <v>0.20449925952465342</v>
      </c>
      <c r="AN420" s="3">
        <f t="shared" ca="1" si="223"/>
        <v>2.4600808109697923</v>
      </c>
      <c r="AP420" s="3">
        <f t="shared" ca="1" si="224"/>
        <v>8.6922794510319168</v>
      </c>
      <c r="AQ420" s="3">
        <f t="shared" ca="1" si="231"/>
        <v>0.400446630552586</v>
      </c>
      <c r="AR420" s="3">
        <f t="shared" ca="1" si="225"/>
        <v>2.9734938619319898E-4</v>
      </c>
      <c r="AS420" s="3">
        <f t="shared" ca="1" si="226"/>
        <v>0.2042057109221263</v>
      </c>
      <c r="AT420" s="3">
        <f t="shared" ca="1" si="227"/>
        <v>0.70814944004737079</v>
      </c>
      <c r="AU420" s="3">
        <f t="shared" ca="1" si="228"/>
        <v>5.3313993290563036E-2</v>
      </c>
      <c r="AV420" s="10">
        <f t="shared" ca="1" si="232"/>
        <v>0.70814944004737079</v>
      </c>
      <c r="AW420" s="10">
        <f t="shared" ca="1" si="233"/>
        <v>0.70814944004737079</v>
      </c>
      <c r="AY420" s="3">
        <f t="shared" ca="1" si="239"/>
        <v>8.6923530485893146</v>
      </c>
      <c r="AZ420" s="3">
        <f t="shared" ca="1" si="234"/>
        <v>0.40045006225929636</v>
      </c>
      <c r="BA420" s="3">
        <f t="shared" ca="1" si="229"/>
        <v>2.9198380817288614E-4</v>
      </c>
      <c r="BB420" s="3">
        <f t="shared" ca="1" si="235"/>
        <v>0.20420727571648054</v>
      </c>
      <c r="BC420" s="3">
        <f t="shared" ca="1" si="236"/>
        <v>0.70815828685886895</v>
      </c>
      <c r="BD420" s="3">
        <f t="shared" ca="1" si="230"/>
        <v>5.3228138056433998E-2</v>
      </c>
      <c r="BE420" s="3">
        <f t="shared" ca="1" si="237"/>
        <v>0.70815828685886895</v>
      </c>
      <c r="BF420" s="3">
        <f t="shared" ca="1" si="238"/>
        <v>0.70815828685886895</v>
      </c>
    </row>
    <row r="421" spans="1:58" ht="15" x14ac:dyDescent="0.25">
      <c r="A421" s="72">
        <v>355</v>
      </c>
      <c r="B421" s="72">
        <v>1498730306.5150001</v>
      </c>
      <c r="C421" s="73">
        <v>2.57591262535424E-4</v>
      </c>
      <c r="D421" s="73">
        <v>-4.4892920784146004E-6</v>
      </c>
      <c r="E421" s="73">
        <v>1.54633505609431E-2</v>
      </c>
      <c r="F421" s="73">
        <v>6.2517558562571801E-4</v>
      </c>
      <c r="G421" s="73">
        <v>0.28720178594697399</v>
      </c>
      <c r="H421" s="73">
        <v>5.5401032973863298E-5</v>
      </c>
      <c r="I421" s="73">
        <v>0.207252272415963</v>
      </c>
      <c r="J421" s="73">
        <v>2.4927258525388001</v>
      </c>
      <c r="K421" s="73"/>
      <c r="L421" s="73"/>
      <c r="M421" s="73"/>
      <c r="O421" s="13">
        <f t="shared" ca="1" si="200"/>
        <v>-7.0959667361375793E-6</v>
      </c>
      <c r="P421" s="13">
        <f t="shared" ca="1" si="201"/>
        <v>-1.5776767463254774E-5</v>
      </c>
      <c r="Q421" s="13">
        <f t="shared" ca="1" si="202"/>
        <v>1.4622610942970415E-2</v>
      </c>
      <c r="R421" s="13">
        <f t="shared" ca="1" si="203"/>
        <v>6.1539930673503687E-4</v>
      </c>
      <c r="S421" s="13">
        <f t="shared" ca="1" si="204"/>
        <v>0.28606670731373263</v>
      </c>
      <c r="T421" s="13">
        <f t="shared" ca="1" si="205"/>
        <v>5.5051211462839208E-5</v>
      </c>
      <c r="U421" s="13">
        <f t="shared" ca="1" si="206"/>
        <v>0.20659842842117448</v>
      </c>
      <c r="V421" s="13">
        <f t="shared" ca="1" si="207"/>
        <v>2.485587071616346</v>
      </c>
      <c r="X421" s="3">
        <f t="shared" ca="1" si="208"/>
        <v>-7.0959667361375793E-6</v>
      </c>
      <c r="Y421" s="3">
        <f t="shared" ca="1" si="209"/>
        <v>-1.5776767463254774E-5</v>
      </c>
      <c r="Z421" s="3">
        <f t="shared" ca="1" si="210"/>
        <v>1.4622189760007474E-2</v>
      </c>
      <c r="AA421" s="3">
        <f t="shared" ca="1" si="211"/>
        <v>6.0520476456387708E-4</v>
      </c>
      <c r="AB421" s="3">
        <f t="shared" ca="1" si="212"/>
        <v>0.28599256953991514</v>
      </c>
      <c r="AC421" s="3">
        <f t="shared" ca="1" si="213"/>
        <v>5.5051211462839208E-5</v>
      </c>
      <c r="AD421" s="3">
        <f t="shared" ca="1" si="214"/>
        <v>0.20648894478166027</v>
      </c>
      <c r="AE421" s="3">
        <f t="shared" ca="1" si="215"/>
        <v>2.4855426457023575</v>
      </c>
      <c r="AG421" s="3">
        <f t="shared" ca="1" si="216"/>
        <v>-7.0959667361375793E-6</v>
      </c>
      <c r="AH421" s="3">
        <f t="shared" ca="1" si="217"/>
        <v>-1.5776767463254774E-5</v>
      </c>
      <c r="AI421" s="3">
        <f t="shared" ca="1" si="218"/>
        <v>1.4622189760007474E-2</v>
      </c>
      <c r="AJ421" s="3">
        <f t="shared" ca="1" si="219"/>
        <v>6.0520476456387708E-4</v>
      </c>
      <c r="AK421" s="3">
        <f t="shared" ca="1" si="220"/>
        <v>0.28599256953991514</v>
      </c>
      <c r="AL421" s="3">
        <f t="shared" ca="1" si="221"/>
        <v>5.5051211462839208E-5</v>
      </c>
      <c r="AM421" s="3">
        <f t="shared" ca="1" si="222"/>
        <v>0.20648894478166027</v>
      </c>
      <c r="AN421" s="3">
        <f t="shared" ca="1" si="223"/>
        <v>2.4855426457023575</v>
      </c>
      <c r="AP421" s="3">
        <f t="shared" ca="1" si="224"/>
        <v>8.6888372818944433</v>
      </c>
      <c r="AQ421" s="3">
        <f t="shared" ca="1" si="231"/>
        <v>0.40028612949295095</v>
      </c>
      <c r="AR421" s="3">
        <f t="shared" ca="1" si="225"/>
        <v>2.4633580658561322E-4</v>
      </c>
      <c r="AS421" s="3">
        <f t="shared" ca="1" si="226"/>
        <v>0.20635209261458887</v>
      </c>
      <c r="AT421" s="3">
        <f t="shared" ca="1" si="227"/>
        <v>0.70811074473375812</v>
      </c>
      <c r="AU421" s="3">
        <f t="shared" ca="1" si="228"/>
        <v>5.3075590635204027E-2</v>
      </c>
      <c r="AV421" s="10">
        <f t="shared" ca="1" si="232"/>
        <v>0.70811074473375812</v>
      </c>
      <c r="AW421" s="10">
        <f t="shared" ca="1" si="233"/>
        <v>0.70811074473375812</v>
      </c>
      <c r="AY421" s="3">
        <f t="shared" ca="1" si="239"/>
        <v>8.6909343473535863</v>
      </c>
      <c r="AZ421" s="3">
        <f t="shared" ca="1" si="234"/>
        <v>0.40038391112393784</v>
      </c>
      <c r="BA421" s="3">
        <f t="shared" ca="1" si="229"/>
        <v>2.4231425066692709E-4</v>
      </c>
      <c r="BB421" s="3">
        <f t="shared" ca="1" si="235"/>
        <v>0.20624663053099335</v>
      </c>
      <c r="BC421" s="3">
        <f t="shared" ca="1" si="236"/>
        <v>0.70784628554043028</v>
      </c>
      <c r="BD421" s="3">
        <f t="shared" ca="1" si="230"/>
        <v>5.310093102019546E-2</v>
      </c>
      <c r="BE421" s="3" t="str">
        <f t="shared" ca="1" si="237"/>
        <v>rejected</v>
      </c>
      <c r="BF421" s="3" t="e">
        <f t="shared" ca="1" si="238"/>
        <v>#N/A</v>
      </c>
    </row>
    <row r="422" spans="1:58" ht="15" x14ac:dyDescent="0.25">
      <c r="A422" s="72">
        <v>356</v>
      </c>
      <c r="B422" s="72">
        <v>1498730307.0420001</v>
      </c>
      <c r="C422" s="73">
        <v>3.78451826037309E-4</v>
      </c>
      <c r="D422" s="73">
        <v>-1.65465006674642E-6</v>
      </c>
      <c r="E422" s="73">
        <v>1.5998760910519501E-2</v>
      </c>
      <c r="F422" s="73">
        <v>6.2779451520760996E-4</v>
      </c>
      <c r="G422" s="73">
        <v>0.29705933211126101</v>
      </c>
      <c r="H422" s="73">
        <v>-2.6364761353265501E-5</v>
      </c>
      <c r="I422" s="73">
        <v>0.21451238819978399</v>
      </c>
      <c r="J422" s="73">
        <v>2.5771707978936398</v>
      </c>
      <c r="K422" s="73"/>
      <c r="L422" s="73"/>
      <c r="M422" s="73"/>
      <c r="O422" s="13">
        <f t="shared" ca="1" si="200"/>
        <v>1.1376459676574742E-4</v>
      </c>
      <c r="P422" s="13">
        <f t="shared" ca="1" si="201"/>
        <v>-1.2942125451586593E-5</v>
      </c>
      <c r="Q422" s="13">
        <f t="shared" ca="1" si="202"/>
        <v>1.5158021292546816E-2</v>
      </c>
      <c r="R422" s="13">
        <f t="shared" ca="1" si="203"/>
        <v>6.1801823631692883E-4</v>
      </c>
      <c r="S422" s="13">
        <f t="shared" ca="1" si="204"/>
        <v>0.29592425347801965</v>
      </c>
      <c r="T422" s="13">
        <f t="shared" ca="1" si="205"/>
        <v>-2.6714582864289588E-5</v>
      </c>
      <c r="U422" s="13">
        <f t="shared" ca="1" si="206"/>
        <v>0.21385854420499548</v>
      </c>
      <c r="V422" s="13">
        <f t="shared" ca="1" si="207"/>
        <v>2.5700320169711857</v>
      </c>
      <c r="X422" s="3">
        <f t="shared" ca="1" si="208"/>
        <v>1.1376459676574742E-4</v>
      </c>
      <c r="Y422" s="3">
        <f t="shared" ca="1" si="209"/>
        <v>-1.2942125451586593E-5</v>
      </c>
      <c r="Z422" s="3">
        <f t="shared" ca="1" si="210"/>
        <v>1.5158021292546816E-2</v>
      </c>
      <c r="AA422" s="3">
        <f t="shared" ca="1" si="211"/>
        <v>6.1801823631692883E-4</v>
      </c>
      <c r="AB422" s="3">
        <f t="shared" ca="1" si="212"/>
        <v>0.29592425347801965</v>
      </c>
      <c r="AC422" s="3">
        <f t="shared" ca="1" si="213"/>
        <v>-2.6714582864289588E-5</v>
      </c>
      <c r="AD422" s="3">
        <f t="shared" ca="1" si="214"/>
        <v>0.21385854420499548</v>
      </c>
      <c r="AE422" s="3">
        <f t="shared" ca="1" si="215"/>
        <v>2.5700320169711857</v>
      </c>
      <c r="AG422" s="3">
        <f t="shared" ca="1" si="216"/>
        <v>1.1376459676574742E-4</v>
      </c>
      <c r="AH422" s="3">
        <f t="shared" ca="1" si="217"/>
        <v>-1.2942125451586593E-5</v>
      </c>
      <c r="AI422" s="3">
        <f t="shared" ca="1" si="218"/>
        <v>1.5158021292546816E-2</v>
      </c>
      <c r="AJ422" s="3">
        <f t="shared" ca="1" si="219"/>
        <v>6.1801823631692883E-4</v>
      </c>
      <c r="AK422" s="3">
        <f t="shared" ca="1" si="220"/>
        <v>0.29592425347801965</v>
      </c>
      <c r="AL422" s="3">
        <f t="shared" ca="1" si="221"/>
        <v>-2.6714582864289588E-5</v>
      </c>
      <c r="AM422" s="3">
        <f t="shared" ca="1" si="222"/>
        <v>0.21385854420499548</v>
      </c>
      <c r="AN422" s="3">
        <f t="shared" ca="1" si="223"/>
        <v>2.5700320169711857</v>
      </c>
      <c r="AP422" s="3">
        <f t="shared" ca="1" si="224"/>
        <v>8.6847630323145513</v>
      </c>
      <c r="AQ422" s="3">
        <f t="shared" ca="1" si="231"/>
        <v>0.40009615685707434</v>
      </c>
      <c r="AR422" s="3">
        <f t="shared" ca="1" si="225"/>
        <v>2.4726672121799039E-4</v>
      </c>
      <c r="AS422" s="3">
        <f t="shared" ca="1" si="226"/>
        <v>0.21361127748377748</v>
      </c>
      <c r="AT422" s="3">
        <f t="shared" ca="1" si="227"/>
        <v>0.70877080169484274</v>
      </c>
      <c r="AU422" s="3">
        <f t="shared" ca="1" si="228"/>
        <v>5.3160707588390387E-2</v>
      </c>
      <c r="AV422" s="10">
        <f t="shared" ca="1" si="232"/>
        <v>0.70877080169484274</v>
      </c>
      <c r="AW422" s="10">
        <f t="shared" ca="1" si="233"/>
        <v>0.70877080169484274</v>
      </c>
      <c r="AY422" s="3">
        <f t="shared" ca="1" si="239"/>
        <v>8.6847630323145513</v>
      </c>
      <c r="AZ422" s="3">
        <f t="shared" ca="1" si="234"/>
        <v>0.40009615685707434</v>
      </c>
      <c r="BA422" s="3">
        <f t="shared" ca="1" si="229"/>
        <v>2.4726672121799039E-4</v>
      </c>
      <c r="BB422" s="3">
        <f t="shared" ca="1" si="235"/>
        <v>0.21361127748377748</v>
      </c>
      <c r="BC422" s="3">
        <f t="shared" ca="1" si="236"/>
        <v>0.70877080169484274</v>
      </c>
      <c r="BD422" s="3">
        <f t="shared" ca="1" si="230"/>
        <v>5.3160707588390387E-2</v>
      </c>
      <c r="BE422" s="3">
        <f t="shared" ca="1" si="237"/>
        <v>0.70877080169484274</v>
      </c>
      <c r="BF422" s="3">
        <f t="shared" ca="1" si="238"/>
        <v>0.70877080169484274</v>
      </c>
    </row>
    <row r="423" spans="1:58" ht="15" x14ac:dyDescent="0.25">
      <c r="A423" s="72">
        <v>357</v>
      </c>
      <c r="B423" s="72">
        <v>1498730307.569</v>
      </c>
      <c r="C423" s="73">
        <v>2.8399852258339099E-4</v>
      </c>
      <c r="D423" s="73">
        <v>3.6850039404414798E-5</v>
      </c>
      <c r="E423" s="73">
        <v>1.5895274415169601E-2</v>
      </c>
      <c r="F423" s="73">
        <v>6.5707937725675402E-4</v>
      </c>
      <c r="G423" s="73">
        <v>0.29582036013259499</v>
      </c>
      <c r="H423" s="73">
        <v>-1.49579789089589E-5</v>
      </c>
      <c r="I423" s="73">
        <v>0.21381258556125701</v>
      </c>
      <c r="J423" s="73">
        <v>2.5706499105498501</v>
      </c>
      <c r="K423" s="73"/>
      <c r="L423" s="73"/>
      <c r="M423" s="73"/>
      <c r="O423" s="13">
        <f t="shared" ca="1" si="200"/>
        <v>1.9311293311829406E-5</v>
      </c>
      <c r="P423" s="13">
        <f t="shared" ca="1" si="201"/>
        <v>2.5562564019574626E-5</v>
      </c>
      <c r="Q423" s="13">
        <f t="shared" ca="1" si="202"/>
        <v>1.5054534797196916E-2</v>
      </c>
      <c r="R423" s="13">
        <f t="shared" ca="1" si="203"/>
        <v>6.4730309836607289E-4</v>
      </c>
      <c r="S423" s="13">
        <f t="shared" ca="1" si="204"/>
        <v>0.29468528149935364</v>
      </c>
      <c r="T423" s="13">
        <f t="shared" ca="1" si="205"/>
        <v>-1.5307800419982987E-5</v>
      </c>
      <c r="U423" s="13">
        <f t="shared" ca="1" si="206"/>
        <v>0.2131587415664685</v>
      </c>
      <c r="V423" s="13">
        <f t="shared" ca="1" si="207"/>
        <v>2.563511129627396</v>
      </c>
      <c r="X423" s="3">
        <f t="shared" ca="1" si="208"/>
        <v>1.9311293311829406E-5</v>
      </c>
      <c r="Y423" s="3">
        <f t="shared" ca="1" si="209"/>
        <v>2.5562564019574626E-5</v>
      </c>
      <c r="Z423" s="3">
        <f t="shared" ca="1" si="210"/>
        <v>1.5054534797196916E-2</v>
      </c>
      <c r="AA423" s="3">
        <f t="shared" ca="1" si="211"/>
        <v>6.4730309836607289E-4</v>
      </c>
      <c r="AB423" s="3">
        <f t="shared" ca="1" si="212"/>
        <v>0.29468528149935364</v>
      </c>
      <c r="AC423" s="3">
        <f t="shared" ca="1" si="213"/>
        <v>-1.5307800419982987E-5</v>
      </c>
      <c r="AD423" s="3">
        <f t="shared" ca="1" si="214"/>
        <v>0.2131587415664685</v>
      </c>
      <c r="AE423" s="3">
        <f t="shared" ca="1" si="215"/>
        <v>2.563511129627396</v>
      </c>
      <c r="AG423" s="3">
        <f t="shared" ca="1" si="216"/>
        <v>1.9311293311829406E-5</v>
      </c>
      <c r="AH423" s="3">
        <f t="shared" ca="1" si="217"/>
        <v>2.5562564019574626E-5</v>
      </c>
      <c r="AI423" s="3">
        <f t="shared" ca="1" si="218"/>
        <v>1.5033944287469531E-2</v>
      </c>
      <c r="AJ423" s="3">
        <f t="shared" ca="1" si="219"/>
        <v>6.3593296352917395E-4</v>
      </c>
      <c r="AK423" s="3">
        <f t="shared" ca="1" si="220"/>
        <v>0.29468528149935364</v>
      </c>
      <c r="AL423" s="3">
        <f t="shared" ca="1" si="221"/>
        <v>-1.5307800419982987E-5</v>
      </c>
      <c r="AM423" s="3">
        <f t="shared" ca="1" si="222"/>
        <v>0.2131587415664685</v>
      </c>
      <c r="AN423" s="3">
        <f t="shared" ca="1" si="223"/>
        <v>2.563511129627396</v>
      </c>
      <c r="AP423" s="3">
        <f t="shared" ca="1" si="224"/>
        <v>8.6991488566524104</v>
      </c>
      <c r="AQ423" s="3">
        <f t="shared" ca="1" si="231"/>
        <v>0.40076693869782271</v>
      </c>
      <c r="AR423" s="3">
        <f t="shared" ca="1" si="225"/>
        <v>2.5941768114178665E-4</v>
      </c>
      <c r="AS423" s="3">
        <f t="shared" ca="1" si="226"/>
        <v>0.2128993238853267</v>
      </c>
      <c r="AT423" s="3">
        <f t="shared" ca="1" si="227"/>
        <v>0.70878751890638925</v>
      </c>
      <c r="AU423" s="3">
        <f t="shared" ca="1" si="228"/>
        <v>5.3109620403799289E-2</v>
      </c>
      <c r="AV423" s="10">
        <f t="shared" ca="1" si="232"/>
        <v>0.70878751890638925</v>
      </c>
      <c r="AW423" s="10">
        <f t="shared" ca="1" si="233"/>
        <v>0.70878751890638925</v>
      </c>
      <c r="AY423" s="3">
        <f t="shared" ca="1" si="239"/>
        <v>8.6991488566524104</v>
      </c>
      <c r="AZ423" s="3">
        <f t="shared" ca="1" si="234"/>
        <v>0.40076693869782271</v>
      </c>
      <c r="BA423" s="3">
        <f t="shared" ca="1" si="229"/>
        <v>2.5486090701062116E-4</v>
      </c>
      <c r="BB423" s="3">
        <f t="shared" ca="1" si="235"/>
        <v>0.21290388065945787</v>
      </c>
      <c r="BC423" s="3">
        <f t="shared" ca="1" si="236"/>
        <v>0.70880268938495972</v>
      </c>
      <c r="BD423" s="3">
        <f t="shared" ca="1" si="230"/>
        <v>5.3036980885522993E-2</v>
      </c>
      <c r="BE423" s="3">
        <f t="shared" ca="1" si="237"/>
        <v>0.70880268938495972</v>
      </c>
      <c r="BF423" s="3">
        <f t="shared" ca="1" si="238"/>
        <v>0.70880268938495972</v>
      </c>
    </row>
    <row r="424" spans="1:58" ht="15" x14ac:dyDescent="0.25">
      <c r="A424" s="72">
        <v>358</v>
      </c>
      <c r="B424" s="72">
        <v>1498730308.096</v>
      </c>
      <c r="C424" s="73">
        <v>1.95263382098559E-4</v>
      </c>
      <c r="D424" s="73">
        <v>-7.2045863474784396E-5</v>
      </c>
      <c r="E424" s="73">
        <v>1.5996348517552599E-2</v>
      </c>
      <c r="F424" s="73">
        <v>5.5875230354902698E-4</v>
      </c>
      <c r="G424" s="73">
        <v>0.29704347094498601</v>
      </c>
      <c r="H424" s="73">
        <v>-2.7356593474060501E-5</v>
      </c>
      <c r="I424" s="73">
        <v>0.21465708516194901</v>
      </c>
      <c r="J424" s="73">
        <v>2.57986908278244</v>
      </c>
      <c r="K424" s="73"/>
      <c r="L424" s="73"/>
      <c r="M424" s="73"/>
      <c r="O424" s="13">
        <f t="shared" ca="1" si="200"/>
        <v>-6.9423847173002583E-5</v>
      </c>
      <c r="P424" s="13">
        <f t="shared" ca="1" si="201"/>
        <v>-8.3333338859624574E-5</v>
      </c>
      <c r="Q424" s="13">
        <f t="shared" ca="1" si="202"/>
        <v>1.5155608899579913E-2</v>
      </c>
      <c r="R424" s="13">
        <f t="shared" ca="1" si="203"/>
        <v>5.4897602465834585E-4</v>
      </c>
      <c r="S424" s="13">
        <f t="shared" ca="1" si="204"/>
        <v>0.29590839231174465</v>
      </c>
      <c r="T424" s="13">
        <f t="shared" ca="1" si="205"/>
        <v>-2.7706414985084587E-5</v>
      </c>
      <c r="U424" s="13">
        <f t="shared" ca="1" si="206"/>
        <v>0.21400324116716049</v>
      </c>
      <c r="V424" s="13">
        <f t="shared" ca="1" si="207"/>
        <v>2.5727303018599859</v>
      </c>
      <c r="X424" s="3">
        <f t="shared" ca="1" si="208"/>
        <v>-6.9423847173002583E-5</v>
      </c>
      <c r="Y424" s="3">
        <f t="shared" ca="1" si="209"/>
        <v>-8.3333338859624574E-5</v>
      </c>
      <c r="Z424" s="3">
        <f t="shared" ca="1" si="210"/>
        <v>1.5155608899579913E-2</v>
      </c>
      <c r="AA424" s="3">
        <f t="shared" ca="1" si="211"/>
        <v>5.4897602465834585E-4</v>
      </c>
      <c r="AB424" s="3">
        <f t="shared" ca="1" si="212"/>
        <v>0.29590839231174465</v>
      </c>
      <c r="AC424" s="3">
        <f t="shared" ca="1" si="213"/>
        <v>-2.7706414985084587E-5</v>
      </c>
      <c r="AD424" s="3">
        <f t="shared" ca="1" si="214"/>
        <v>0.21400324116716049</v>
      </c>
      <c r="AE424" s="3">
        <f t="shared" ca="1" si="215"/>
        <v>2.5727303018599859</v>
      </c>
      <c r="AG424" s="3">
        <f t="shared" ca="1" si="216"/>
        <v>-6.9423847173002583E-5</v>
      </c>
      <c r="AH424" s="3">
        <f t="shared" ca="1" si="217"/>
        <v>-8.3333338859624574E-5</v>
      </c>
      <c r="AI424" s="3">
        <f t="shared" ca="1" si="218"/>
        <v>1.5155608899579913E-2</v>
      </c>
      <c r="AJ424" s="3">
        <f t="shared" ca="1" si="219"/>
        <v>5.4897602465834585E-4</v>
      </c>
      <c r="AK424" s="3">
        <f t="shared" ca="1" si="220"/>
        <v>0.29590839231174465</v>
      </c>
      <c r="AL424" s="3">
        <f t="shared" ca="1" si="221"/>
        <v>-2.7706414985084587E-5</v>
      </c>
      <c r="AM424" s="3">
        <f t="shared" ca="1" si="222"/>
        <v>0.21400324116716049</v>
      </c>
      <c r="AN424" s="3">
        <f t="shared" ca="1" si="223"/>
        <v>2.5727303018599859</v>
      </c>
      <c r="AP424" s="3">
        <f t="shared" ca="1" si="224"/>
        <v>8.6943471990127588</v>
      </c>
      <c r="AQ424" s="3">
        <f t="shared" ca="1" si="231"/>
        <v>0.40054304563405763</v>
      </c>
      <c r="AR424" s="3">
        <f t="shared" ca="1" si="225"/>
        <v>2.1988852889673138E-4</v>
      </c>
      <c r="AS424" s="3">
        <f t="shared" ca="1" si="226"/>
        <v>0.21378335263826376</v>
      </c>
      <c r="AT424" s="3">
        <f t="shared" ca="1" si="227"/>
        <v>0.70898586765628702</v>
      </c>
      <c r="AU424" s="3">
        <f t="shared" ca="1" si="228"/>
        <v>5.321512066578455E-2</v>
      </c>
      <c r="AV424" s="10">
        <f t="shared" ca="1" si="232"/>
        <v>0.70898586765628702</v>
      </c>
      <c r="AW424" s="10">
        <f t="shared" ca="1" si="233"/>
        <v>0.70898586765628702</v>
      </c>
      <c r="AY424" s="3">
        <f t="shared" ca="1" si="239"/>
        <v>8.6943471990127588</v>
      </c>
      <c r="AZ424" s="3">
        <f t="shared" ca="1" si="234"/>
        <v>0.40054304563405763</v>
      </c>
      <c r="BA424" s="3">
        <f t="shared" ca="1" si="229"/>
        <v>2.1988852889673138E-4</v>
      </c>
      <c r="BB424" s="3">
        <f t="shared" ca="1" si="235"/>
        <v>0.21378335263826376</v>
      </c>
      <c r="BC424" s="3">
        <f t="shared" ca="1" si="236"/>
        <v>0.70898586765628702</v>
      </c>
      <c r="BD424" s="3">
        <f t="shared" ca="1" si="230"/>
        <v>5.321512066578455E-2</v>
      </c>
      <c r="BE424" s="3">
        <f t="shared" ca="1" si="237"/>
        <v>0.70898586765628702</v>
      </c>
      <c r="BF424" s="3">
        <f t="shared" ca="1" si="238"/>
        <v>0.70898586765628702</v>
      </c>
    </row>
    <row r="425" spans="1:58" ht="15" x14ac:dyDescent="0.25">
      <c r="A425" s="72">
        <v>359</v>
      </c>
      <c r="B425" s="72">
        <v>1498730308.622</v>
      </c>
      <c r="C425" s="73">
        <v>3.3729097583718598E-4</v>
      </c>
      <c r="D425" s="73">
        <v>-8.5981786629383893E-5</v>
      </c>
      <c r="E425" s="73">
        <v>1.43567362332914E-2</v>
      </c>
      <c r="F425" s="73">
        <v>5.7327457935211698E-4</v>
      </c>
      <c r="G425" s="73">
        <v>0.26531961521372099</v>
      </c>
      <c r="H425" s="73">
        <v>-3.6495151208125301E-5</v>
      </c>
      <c r="I425" s="73">
        <v>0.19163255010761601</v>
      </c>
      <c r="J425" s="73">
        <v>2.30595232880572</v>
      </c>
      <c r="K425" s="73"/>
      <c r="L425" s="73"/>
      <c r="M425" s="73"/>
      <c r="O425" s="13">
        <f t="shared" ca="1" si="200"/>
        <v>7.2603746565624394E-5</v>
      </c>
      <c r="P425" s="13">
        <f t="shared" ca="1" si="201"/>
        <v>-9.7269262014224072E-5</v>
      </c>
      <c r="Q425" s="13">
        <f t="shared" ca="1" si="202"/>
        <v>1.3515996615318715E-2</v>
      </c>
      <c r="R425" s="13">
        <f t="shared" ca="1" si="203"/>
        <v>5.6349830046143585E-4</v>
      </c>
      <c r="S425" s="13">
        <f t="shared" ca="1" si="204"/>
        <v>0.26418453658047963</v>
      </c>
      <c r="T425" s="13">
        <f t="shared" ca="1" si="205"/>
        <v>-3.6844972719149391E-5</v>
      </c>
      <c r="U425" s="13">
        <f t="shared" ca="1" si="206"/>
        <v>0.1909787061128275</v>
      </c>
      <c r="V425" s="13">
        <f t="shared" ca="1" si="207"/>
        <v>2.2988135478832659</v>
      </c>
      <c r="X425" s="3">
        <f t="shared" ca="1" si="208"/>
        <v>7.2603746565624394E-5</v>
      </c>
      <c r="Y425" s="3">
        <f t="shared" ca="1" si="209"/>
        <v>-9.7269262014224072E-5</v>
      </c>
      <c r="Z425" s="3">
        <f t="shared" ca="1" si="210"/>
        <v>1.3515996615318715E-2</v>
      </c>
      <c r="AA425" s="3">
        <f t="shared" ca="1" si="211"/>
        <v>5.6349830046143585E-4</v>
      </c>
      <c r="AB425" s="3">
        <f t="shared" ca="1" si="212"/>
        <v>0.26418453658047963</v>
      </c>
      <c r="AC425" s="3">
        <f t="shared" ca="1" si="213"/>
        <v>-3.6844972719149391E-5</v>
      </c>
      <c r="AD425" s="3">
        <f t="shared" ca="1" si="214"/>
        <v>0.1909787061128275</v>
      </c>
      <c r="AE425" s="3">
        <f t="shared" ca="1" si="215"/>
        <v>2.2988135478832659</v>
      </c>
      <c r="AG425" s="3">
        <f t="shared" ca="1" si="216"/>
        <v>7.2603746565624394E-5</v>
      </c>
      <c r="AH425" s="3">
        <f t="shared" ca="1" si="217"/>
        <v>-9.7269262014224072E-5</v>
      </c>
      <c r="AI425" s="3">
        <f t="shared" ca="1" si="218"/>
        <v>1.3515996615318715E-2</v>
      </c>
      <c r="AJ425" s="3">
        <f t="shared" ca="1" si="219"/>
        <v>5.6349830046143585E-4</v>
      </c>
      <c r="AK425" s="3">
        <f t="shared" ca="1" si="220"/>
        <v>0.26418453658047963</v>
      </c>
      <c r="AL425" s="3">
        <f t="shared" ca="1" si="221"/>
        <v>-3.6844972719149391E-5</v>
      </c>
      <c r="AM425" s="3">
        <f t="shared" ca="1" si="222"/>
        <v>0.1909787061128275</v>
      </c>
      <c r="AN425" s="3">
        <f t="shared" ca="1" si="223"/>
        <v>2.2988135478832659</v>
      </c>
      <c r="AP425" s="3">
        <f t="shared" ca="1" si="224"/>
        <v>8.7015446764537216</v>
      </c>
      <c r="AQ425" s="3">
        <f t="shared" ca="1" si="231"/>
        <v>0.40087865222833668</v>
      </c>
      <c r="AR425" s="3">
        <f t="shared" ca="1" si="225"/>
        <v>2.2589443922193872E-4</v>
      </c>
      <c r="AS425" s="3">
        <f t="shared" ca="1" si="226"/>
        <v>0.19075281167360555</v>
      </c>
      <c r="AT425" s="3">
        <f t="shared" ca="1" si="227"/>
        <v>0.70827767483514437</v>
      </c>
      <c r="AU425" s="3">
        <f t="shared" ca="1" si="228"/>
        <v>5.3201926105333433E-2</v>
      </c>
      <c r="AV425" s="10">
        <f t="shared" ca="1" si="232"/>
        <v>0.70827767483514437</v>
      </c>
      <c r="AW425" s="10">
        <f t="shared" ca="1" si="233"/>
        <v>0.70827767483514437</v>
      </c>
      <c r="AY425" s="3">
        <f t="shared" ca="1" si="239"/>
        <v>8.7015446764537216</v>
      </c>
      <c r="AZ425" s="3">
        <f t="shared" ca="1" si="234"/>
        <v>0.40087865222833668</v>
      </c>
      <c r="BA425" s="3">
        <f t="shared" ca="1" si="229"/>
        <v>2.2589443922193872E-4</v>
      </c>
      <c r="BB425" s="3">
        <f t="shared" ca="1" si="235"/>
        <v>0.19075281167360555</v>
      </c>
      <c r="BC425" s="3">
        <f t="shared" ca="1" si="236"/>
        <v>0.70827767483514437</v>
      </c>
      <c r="BD425" s="3">
        <f t="shared" ca="1" si="230"/>
        <v>5.3201926105333433E-2</v>
      </c>
      <c r="BE425" s="3">
        <f t="shared" ca="1" si="237"/>
        <v>0.70827767483514437</v>
      </c>
      <c r="BF425" s="3">
        <f t="shared" ca="1" si="238"/>
        <v>0.70827767483514437</v>
      </c>
    </row>
    <row r="426" spans="1:58" ht="15" x14ac:dyDescent="0.25">
      <c r="A426" s="72">
        <v>360</v>
      </c>
      <c r="B426" s="72">
        <v>1498730309.1489999</v>
      </c>
      <c r="C426" s="73">
        <v>2.9184946429565E-4</v>
      </c>
      <c r="D426" s="73">
        <v>-5.5511463459465999E-5</v>
      </c>
      <c r="E426" s="73">
        <v>1.3868692422781799E-2</v>
      </c>
      <c r="F426" s="73">
        <v>4.9185733307219705E-4</v>
      </c>
      <c r="G426" s="73">
        <v>0.25560971607083</v>
      </c>
      <c r="H426" s="73">
        <v>3.9853740147272997E-6</v>
      </c>
      <c r="I426" s="73">
        <v>0.184623408571787</v>
      </c>
      <c r="J426" s="73">
        <v>2.2219213042877501</v>
      </c>
      <c r="K426" s="73"/>
      <c r="L426" s="73"/>
      <c r="M426" s="73"/>
      <c r="O426" s="13">
        <f t="shared" ca="1" si="200"/>
        <v>2.7162235024088416E-5</v>
      </c>
      <c r="P426" s="13">
        <f t="shared" ca="1" si="201"/>
        <v>-6.6798938844306178E-5</v>
      </c>
      <c r="Q426" s="13">
        <f t="shared" ca="1" si="202"/>
        <v>1.3027952804809114E-2</v>
      </c>
      <c r="R426" s="13">
        <f t="shared" ca="1" si="203"/>
        <v>4.8208105418151592E-4</v>
      </c>
      <c r="S426" s="13">
        <f t="shared" ca="1" si="204"/>
        <v>0.25447463743758864</v>
      </c>
      <c r="T426" s="13">
        <f t="shared" ca="1" si="205"/>
        <v>3.6355525037032133E-6</v>
      </c>
      <c r="U426" s="13">
        <f t="shared" ca="1" si="206"/>
        <v>0.18396956457699848</v>
      </c>
      <c r="V426" s="13">
        <f t="shared" ca="1" si="207"/>
        <v>2.214782523365296</v>
      </c>
      <c r="X426" s="3">
        <f t="shared" ca="1" si="208"/>
        <v>2.7162235024088416E-5</v>
      </c>
      <c r="Y426" s="3">
        <f t="shared" ca="1" si="209"/>
        <v>-6.6798938844306178E-5</v>
      </c>
      <c r="Z426" s="3">
        <f t="shared" ca="1" si="210"/>
        <v>1.3027924990111949E-2</v>
      </c>
      <c r="AA426" s="3">
        <f t="shared" ca="1" si="211"/>
        <v>4.8140781207966886E-4</v>
      </c>
      <c r="AB426" s="3">
        <f t="shared" ca="1" si="212"/>
        <v>0.2544697414187353</v>
      </c>
      <c r="AC426" s="3">
        <f t="shared" ca="1" si="213"/>
        <v>3.6355525037032133E-6</v>
      </c>
      <c r="AD426" s="3">
        <f t="shared" ca="1" si="214"/>
        <v>0.18396233433611597</v>
      </c>
      <c r="AE426" s="3">
        <f t="shared" ca="1" si="215"/>
        <v>2.2147795895017435</v>
      </c>
      <c r="AG426" s="3">
        <f t="shared" ca="1" si="216"/>
        <v>2.7162235024088416E-5</v>
      </c>
      <c r="AH426" s="3">
        <f t="shared" ca="1" si="217"/>
        <v>-6.6798938844306178E-5</v>
      </c>
      <c r="AI426" s="3">
        <f t="shared" ca="1" si="218"/>
        <v>1.3027924990111949E-2</v>
      </c>
      <c r="AJ426" s="3">
        <f t="shared" ca="1" si="219"/>
        <v>4.8140781207966886E-4</v>
      </c>
      <c r="AK426" s="3">
        <f t="shared" ca="1" si="220"/>
        <v>0.2544697414187353</v>
      </c>
      <c r="AL426" s="3">
        <f t="shared" ca="1" si="221"/>
        <v>3.6355525037032133E-6</v>
      </c>
      <c r="AM426" s="3">
        <f t="shared" ca="1" si="222"/>
        <v>0.18396233433611597</v>
      </c>
      <c r="AN426" s="3">
        <f t="shared" ca="1" si="223"/>
        <v>2.2147795895017435</v>
      </c>
      <c r="AP426" s="3">
        <f t="shared" ca="1" si="224"/>
        <v>8.7033527021272761</v>
      </c>
      <c r="AQ426" s="3">
        <f t="shared" ca="1" si="231"/>
        <v>0.40096295803586024</v>
      </c>
      <c r="AR426" s="3">
        <f t="shared" ca="1" si="225"/>
        <v>1.9329664549766644E-4</v>
      </c>
      <c r="AS426" s="3">
        <f t="shared" ca="1" si="226"/>
        <v>0.18377626793150081</v>
      </c>
      <c r="AT426" s="3">
        <f t="shared" ca="1" si="227"/>
        <v>0.70833627462184678</v>
      </c>
      <c r="AU426" s="3">
        <f t="shared" ca="1" si="228"/>
        <v>5.3248904133380265E-2</v>
      </c>
      <c r="AV426" s="10">
        <f t="shared" ca="1" si="232"/>
        <v>0.70833627462184678</v>
      </c>
      <c r="AW426" s="10">
        <f t="shared" ca="1" si="233"/>
        <v>0.70833627462184678</v>
      </c>
      <c r="AY426" s="3">
        <f t="shared" ca="1" si="239"/>
        <v>8.7035086260306187</v>
      </c>
      <c r="AZ426" s="3">
        <f t="shared" ca="1" si="234"/>
        <v>0.40097022856789177</v>
      </c>
      <c r="BA426" s="3">
        <f t="shared" ca="1" si="229"/>
        <v>1.9303020044395352E-4</v>
      </c>
      <c r="BB426" s="3">
        <f t="shared" ca="1" si="235"/>
        <v>0.18376930413567202</v>
      </c>
      <c r="BC426" s="3">
        <f t="shared" ca="1" si="236"/>
        <v>0.70831667126290843</v>
      </c>
      <c r="BD426" s="3">
        <f t="shared" ca="1" si="230"/>
        <v>5.3250791129830881E-2</v>
      </c>
      <c r="BE426" s="3">
        <f t="shared" ca="1" si="237"/>
        <v>0.70831667126290843</v>
      </c>
      <c r="BF426" s="3">
        <f t="shared" ca="1" si="238"/>
        <v>0.70831667126290843</v>
      </c>
    </row>
    <row r="427" spans="1:58" ht="15" x14ac:dyDescent="0.25">
      <c r="A427" s="72">
        <v>361</v>
      </c>
      <c r="B427" s="72">
        <v>1498730309.6760001</v>
      </c>
      <c r="C427" s="73">
        <v>2.6591780068102301E-4</v>
      </c>
      <c r="D427" s="73">
        <v>-4.1575112297952602E-5</v>
      </c>
      <c r="E427" s="73">
        <v>1.2431019625703E-2</v>
      </c>
      <c r="F427" s="73">
        <v>5.3446962550786304E-4</v>
      </c>
      <c r="G427" s="73">
        <v>0.226651994280992</v>
      </c>
      <c r="H427" s="73">
        <v>2.5035163051453598E-5</v>
      </c>
      <c r="I427" s="73">
        <v>0.16381791070931501</v>
      </c>
      <c r="J427" s="73">
        <v>1.97033713449508</v>
      </c>
      <c r="K427" s="73"/>
      <c r="L427" s="73"/>
      <c r="M427" s="73"/>
      <c r="O427" s="13">
        <f t="shared" ca="1" si="200"/>
        <v>1.2305714094614276E-6</v>
      </c>
      <c r="P427" s="13">
        <f t="shared" ca="1" si="201"/>
        <v>-5.2862587682792773E-5</v>
      </c>
      <c r="Q427" s="13">
        <f t="shared" ca="1" si="202"/>
        <v>1.1590280007730314E-2</v>
      </c>
      <c r="R427" s="13">
        <f t="shared" ca="1" si="203"/>
        <v>5.2469334661718191E-4</v>
      </c>
      <c r="S427" s="13">
        <f t="shared" ca="1" si="204"/>
        <v>0.22551691564775064</v>
      </c>
      <c r="T427" s="13">
        <f t="shared" ca="1" si="205"/>
        <v>2.4685341540429512E-5</v>
      </c>
      <c r="U427" s="13">
        <f t="shared" ca="1" si="206"/>
        <v>0.16316406671452649</v>
      </c>
      <c r="V427" s="13">
        <f t="shared" ca="1" si="207"/>
        <v>1.9631983535726258</v>
      </c>
      <c r="X427" s="3">
        <f t="shared" ca="1" si="208"/>
        <v>1.2305714094614276E-6</v>
      </c>
      <c r="Y427" s="3">
        <f t="shared" ca="1" si="209"/>
        <v>-5.2862587682792773E-5</v>
      </c>
      <c r="Z427" s="3">
        <f t="shared" ca="1" si="210"/>
        <v>1.1590091146395297E-2</v>
      </c>
      <c r="AA427" s="3">
        <f t="shared" ca="1" si="211"/>
        <v>5.2012204384915351E-4</v>
      </c>
      <c r="AB427" s="3">
        <f t="shared" ca="1" si="212"/>
        <v>0.22548367176048456</v>
      </c>
      <c r="AC427" s="3">
        <f t="shared" ca="1" si="213"/>
        <v>2.4685341540429512E-5</v>
      </c>
      <c r="AD427" s="3">
        <f t="shared" ca="1" si="214"/>
        <v>0.16311497349817972</v>
      </c>
      <c r="AE427" s="3">
        <f t="shared" ca="1" si="215"/>
        <v>1.9631784326874915</v>
      </c>
      <c r="AG427" s="3">
        <f t="shared" ca="1" si="216"/>
        <v>1.2305714094614276E-6</v>
      </c>
      <c r="AH427" s="3">
        <f t="shared" ca="1" si="217"/>
        <v>-5.2862587682792773E-5</v>
      </c>
      <c r="AI427" s="3">
        <f t="shared" ca="1" si="218"/>
        <v>1.1590091146395297E-2</v>
      </c>
      <c r="AJ427" s="3">
        <f t="shared" ca="1" si="219"/>
        <v>5.2012204384915351E-4</v>
      </c>
      <c r="AK427" s="3">
        <f t="shared" ca="1" si="220"/>
        <v>0.22548367176048456</v>
      </c>
      <c r="AL427" s="3">
        <f t="shared" ca="1" si="221"/>
        <v>2.4685341540429512E-5</v>
      </c>
      <c r="AM427" s="3">
        <f t="shared" ca="1" si="222"/>
        <v>0.16311497349817972</v>
      </c>
      <c r="AN427" s="3">
        <f t="shared" ca="1" si="223"/>
        <v>1.9631784326874915</v>
      </c>
      <c r="AP427" s="3">
        <f t="shared" ca="1" si="224"/>
        <v>8.705326374005006</v>
      </c>
      <c r="AQ427" s="3">
        <f t="shared" ca="1" si="231"/>
        <v>0.40105498794578903</v>
      </c>
      <c r="AR427" s="3">
        <f t="shared" ca="1" si="225"/>
        <v>2.1043088380278961E-4</v>
      </c>
      <c r="AS427" s="3">
        <f t="shared" ca="1" si="226"/>
        <v>0.1629536358307237</v>
      </c>
      <c r="AT427" s="3">
        <f t="shared" ca="1" si="227"/>
        <v>0.7086469140696956</v>
      </c>
      <c r="AU427" s="3">
        <f t="shared" ca="1" si="228"/>
        <v>5.3468077767746321E-2</v>
      </c>
      <c r="AV427" s="10">
        <f t="shared" ca="1" si="232"/>
        <v>0.7086469140696956</v>
      </c>
      <c r="AW427" s="10">
        <f t="shared" ca="1" si="233"/>
        <v>0.7086469140696956</v>
      </c>
      <c r="AY427" s="3">
        <f t="shared" ca="1" si="239"/>
        <v>8.7065214849474231</v>
      </c>
      <c r="AZ427" s="3">
        <f t="shared" ca="1" si="234"/>
        <v>0.40111071463289683</v>
      </c>
      <c r="BA427" s="3">
        <f t="shared" ca="1" si="229"/>
        <v>2.0862652470465687E-4</v>
      </c>
      <c r="BB427" s="3">
        <f t="shared" ca="1" si="235"/>
        <v>0.16290634697347506</v>
      </c>
      <c r="BC427" s="3">
        <f t="shared" ca="1" si="236"/>
        <v>0.70849673325736984</v>
      </c>
      <c r="BD427" s="3">
        <f t="shared" ca="1" si="230"/>
        <v>5.3482601413150949E-2</v>
      </c>
      <c r="BE427" s="3">
        <f t="shared" ca="1" si="237"/>
        <v>0.70849673325736984</v>
      </c>
      <c r="BF427" s="3">
        <f t="shared" ca="1" si="238"/>
        <v>0.70849673325736984</v>
      </c>
    </row>
    <row r="428" spans="1:58" ht="15" x14ac:dyDescent="0.25">
      <c r="A428" s="72">
        <v>362</v>
      </c>
      <c r="B428" s="72">
        <v>1498730310.2030001</v>
      </c>
      <c r="C428" s="73">
        <v>1.4507085607450601E-4</v>
      </c>
      <c r="D428" s="73">
        <v>-9.9208922449935802E-5</v>
      </c>
      <c r="E428" s="73">
        <v>1.32531231693746E-2</v>
      </c>
      <c r="F428" s="73">
        <v>4.9138122834167602E-4</v>
      </c>
      <c r="G428" s="73">
        <v>0.247205051960564</v>
      </c>
      <c r="H428" s="73">
        <v>-4.3106502535375397E-5</v>
      </c>
      <c r="I428" s="73">
        <v>0.178473381861354</v>
      </c>
      <c r="J428" s="73">
        <v>2.1465670043889702</v>
      </c>
      <c r="K428" s="73"/>
      <c r="L428" s="73"/>
      <c r="M428" s="73"/>
      <c r="O428" s="13">
        <f t="shared" ca="1" si="200"/>
        <v>-1.1961637319705558E-4</v>
      </c>
      <c r="P428" s="13">
        <f t="shared" ca="1" si="201"/>
        <v>-1.1049639783477598E-4</v>
      </c>
      <c r="Q428" s="13">
        <f t="shared" ca="1" si="202"/>
        <v>1.2412383551401915E-2</v>
      </c>
      <c r="R428" s="13">
        <f t="shared" ca="1" si="203"/>
        <v>4.8160494945099488E-4</v>
      </c>
      <c r="S428" s="13">
        <f t="shared" ca="1" si="204"/>
        <v>0.24606997332732264</v>
      </c>
      <c r="T428" s="13">
        <f t="shared" ca="1" si="205"/>
        <v>-4.3456324046399487E-5</v>
      </c>
      <c r="U428" s="13">
        <f t="shared" ca="1" si="206"/>
        <v>0.17781953786656549</v>
      </c>
      <c r="V428" s="13">
        <f t="shared" ca="1" si="207"/>
        <v>2.1394282234665161</v>
      </c>
      <c r="X428" s="3">
        <f t="shared" ca="1" si="208"/>
        <v>-1.1961637319705558E-4</v>
      </c>
      <c r="Y428" s="3">
        <f t="shared" ca="1" si="209"/>
        <v>-1.1049639783477598E-4</v>
      </c>
      <c r="Z428" s="3">
        <f t="shared" ca="1" si="210"/>
        <v>1.2412383551401915E-2</v>
      </c>
      <c r="AA428" s="3">
        <f t="shared" ca="1" si="211"/>
        <v>4.8160494945099488E-4</v>
      </c>
      <c r="AB428" s="3">
        <f t="shared" ca="1" si="212"/>
        <v>0.24606997332732264</v>
      </c>
      <c r="AC428" s="3">
        <f t="shared" ca="1" si="213"/>
        <v>-4.3456324046399487E-5</v>
      </c>
      <c r="AD428" s="3">
        <f t="shared" ca="1" si="214"/>
        <v>0.17781953786656549</v>
      </c>
      <c r="AE428" s="3">
        <f t="shared" ca="1" si="215"/>
        <v>2.1394282234665161</v>
      </c>
      <c r="AG428" s="3">
        <f t="shared" ca="1" si="216"/>
        <v>-1.1961637319705558E-4</v>
      </c>
      <c r="AH428" s="3">
        <f t="shared" ca="1" si="217"/>
        <v>-1.1049639783477598E-4</v>
      </c>
      <c r="AI428" s="3">
        <f t="shared" ca="1" si="218"/>
        <v>1.2412383551401915E-2</v>
      </c>
      <c r="AJ428" s="3">
        <f t="shared" ca="1" si="219"/>
        <v>4.8160494945099488E-4</v>
      </c>
      <c r="AK428" s="3">
        <f t="shared" ca="1" si="220"/>
        <v>0.24606997332732264</v>
      </c>
      <c r="AL428" s="3">
        <f t="shared" ca="1" si="221"/>
        <v>-4.3456324046399487E-5</v>
      </c>
      <c r="AM428" s="3">
        <f t="shared" ca="1" si="222"/>
        <v>0.17781953786656549</v>
      </c>
      <c r="AN428" s="3">
        <f t="shared" ca="1" si="223"/>
        <v>2.1394282234665161</v>
      </c>
      <c r="AP428" s="3">
        <f t="shared" ca="1" si="224"/>
        <v>8.6943896264037281</v>
      </c>
      <c r="AQ428" s="3">
        <f t="shared" ca="1" si="231"/>
        <v>0.40054502394399494</v>
      </c>
      <c r="AR428" s="3">
        <f t="shared" ca="1" si="225"/>
        <v>1.9290446600939522E-4</v>
      </c>
      <c r="AS428" s="3">
        <f t="shared" ca="1" si="226"/>
        <v>0.17762663340055609</v>
      </c>
      <c r="AT428" s="3">
        <f t="shared" ca="1" si="227"/>
        <v>0.70838502602182407</v>
      </c>
      <c r="AU428" s="3">
        <f t="shared" ca="1" si="228"/>
        <v>5.2410424551002116E-2</v>
      </c>
      <c r="AV428" s="10">
        <f t="shared" ca="1" si="232"/>
        <v>0.70838502602182407</v>
      </c>
      <c r="AW428" s="10">
        <f t="shared" ca="1" si="233"/>
        <v>0.70838502602182407</v>
      </c>
      <c r="AY428" s="3">
        <f t="shared" ca="1" si="239"/>
        <v>8.6943896264037281</v>
      </c>
      <c r="AZ428" s="3">
        <f t="shared" ca="1" si="234"/>
        <v>0.40054502394399494</v>
      </c>
      <c r="BA428" s="3">
        <f t="shared" ca="1" si="229"/>
        <v>1.9290446600939522E-4</v>
      </c>
      <c r="BB428" s="3">
        <f t="shared" ca="1" si="235"/>
        <v>0.17762663340055609</v>
      </c>
      <c r="BC428" s="3">
        <f t="shared" ca="1" si="236"/>
        <v>0.70838502602182407</v>
      </c>
      <c r="BD428" s="3">
        <f t="shared" ca="1" si="230"/>
        <v>5.2410424551002116E-2</v>
      </c>
      <c r="BE428" s="3">
        <f t="shared" ca="1" si="237"/>
        <v>0.70838502602182407</v>
      </c>
      <c r="BF428" s="3">
        <f t="shared" ca="1" si="238"/>
        <v>0.70838502602182407</v>
      </c>
    </row>
    <row r="429" spans="1:58" ht="15" x14ac:dyDescent="0.25">
      <c r="A429" s="72">
        <v>363</v>
      </c>
      <c r="B429" s="72">
        <v>1498730310.73</v>
      </c>
      <c r="C429" s="73">
        <v>2.9280109778847798E-4</v>
      </c>
      <c r="D429" s="73">
        <v>5.69297647555034E-5</v>
      </c>
      <c r="E429" s="73">
        <v>1.3310251903822E-2</v>
      </c>
      <c r="F429" s="73">
        <v>5.3827863400869103E-4</v>
      </c>
      <c r="G429" s="73">
        <v>0.24530133010510599</v>
      </c>
      <c r="H429" s="73">
        <v>4.3749837541722802E-5</v>
      </c>
      <c r="I429" s="73">
        <v>0.17719072501449801</v>
      </c>
      <c r="J429" s="73">
        <v>2.1283767730709</v>
      </c>
      <c r="K429" s="73"/>
      <c r="L429" s="73"/>
      <c r="M429" s="73"/>
      <c r="O429" s="13">
        <f t="shared" ca="1" si="200"/>
        <v>2.8113868516916392E-5</v>
      </c>
      <c r="P429" s="13">
        <f t="shared" ca="1" si="201"/>
        <v>4.5642289370663229E-5</v>
      </c>
      <c r="Q429" s="13">
        <f t="shared" ca="1" si="202"/>
        <v>1.2469512285849315E-2</v>
      </c>
      <c r="R429" s="13">
        <f t="shared" ca="1" si="203"/>
        <v>5.285023551180099E-4</v>
      </c>
      <c r="S429" s="13">
        <f t="shared" ca="1" si="204"/>
        <v>0.24416625147186463</v>
      </c>
      <c r="T429" s="13">
        <f t="shared" ca="1" si="205"/>
        <v>4.3400016030698712E-5</v>
      </c>
      <c r="U429" s="13">
        <f t="shared" ca="1" si="206"/>
        <v>0.17653688101970949</v>
      </c>
      <c r="V429" s="13">
        <f t="shared" ca="1" si="207"/>
        <v>2.1212379921484459</v>
      </c>
      <c r="X429" s="3">
        <f t="shared" ca="1" si="208"/>
        <v>2.8113868516916392E-5</v>
      </c>
      <c r="Y429" s="3">
        <f t="shared" ca="1" si="209"/>
        <v>4.5642289370663229E-5</v>
      </c>
      <c r="Z429" s="3">
        <f t="shared" ca="1" si="210"/>
        <v>1.2469180243250111E-2</v>
      </c>
      <c r="AA429" s="3">
        <f t="shared" ca="1" si="211"/>
        <v>5.204654149327312E-4</v>
      </c>
      <c r="AB429" s="3">
        <f t="shared" ca="1" si="212"/>
        <v>0.24410780442798202</v>
      </c>
      <c r="AC429" s="3">
        <f t="shared" ca="1" si="213"/>
        <v>4.3400016030698712E-5</v>
      </c>
      <c r="AD429" s="3">
        <f t="shared" ca="1" si="214"/>
        <v>0.17645056880997323</v>
      </c>
      <c r="AE429" s="3">
        <f t="shared" ca="1" si="215"/>
        <v>2.1212029686616223</v>
      </c>
      <c r="AG429" s="3">
        <f t="shared" ca="1" si="216"/>
        <v>2.8113868516916392E-5</v>
      </c>
      <c r="AH429" s="3">
        <f t="shared" ca="1" si="217"/>
        <v>4.5642289370663229E-5</v>
      </c>
      <c r="AI429" s="3">
        <f t="shared" ca="1" si="218"/>
        <v>1.2432415621260426E-2</v>
      </c>
      <c r="AJ429" s="3">
        <f t="shared" ca="1" si="219"/>
        <v>5.0016389181432234E-4</v>
      </c>
      <c r="AK429" s="3">
        <f t="shared" ca="1" si="220"/>
        <v>0.24410780442798202</v>
      </c>
      <c r="AL429" s="3">
        <f t="shared" ca="1" si="221"/>
        <v>4.3400016030698712E-5</v>
      </c>
      <c r="AM429" s="3">
        <f t="shared" ca="1" si="222"/>
        <v>0.17645056880997323</v>
      </c>
      <c r="AN429" s="3">
        <f t="shared" ca="1" si="223"/>
        <v>2.1212029686616223</v>
      </c>
      <c r="AP429" s="3">
        <f t="shared" ca="1" si="224"/>
        <v>8.6876789046862886</v>
      </c>
      <c r="AQ429" s="3">
        <f t="shared" ca="1" si="231"/>
        <v>0.40023211698949474</v>
      </c>
      <c r="AR429" s="3">
        <f t="shared" ca="1" si="225"/>
        <v>2.1152361642281484E-4</v>
      </c>
      <c r="AS429" s="3">
        <f t="shared" ca="1" si="226"/>
        <v>0.17632535740328667</v>
      </c>
      <c r="AT429" s="3">
        <f t="shared" ca="1" si="227"/>
        <v>0.70895377720578845</v>
      </c>
      <c r="AU429" s="3">
        <f t="shared" ca="1" si="228"/>
        <v>5.3020254762536148E-2</v>
      </c>
      <c r="AV429" s="10">
        <f t="shared" ca="1" si="232"/>
        <v>0.70895377720578845</v>
      </c>
      <c r="AW429" s="10">
        <f t="shared" ca="1" si="233"/>
        <v>0.70895377720578845</v>
      </c>
      <c r="AY429" s="3">
        <f t="shared" ca="1" si="239"/>
        <v>8.6896155312700412</v>
      </c>
      <c r="AZ429" s="3">
        <f t="shared" ca="1" si="234"/>
        <v>0.40032241754628273</v>
      </c>
      <c r="BA429" s="3">
        <f t="shared" ca="1" si="229"/>
        <v>2.0022681834046694E-4</v>
      </c>
      <c r="BB429" s="3">
        <f t="shared" ca="1" si="235"/>
        <v>0.17625034199163275</v>
      </c>
      <c r="BC429" s="3">
        <f t="shared" ca="1" si="236"/>
        <v>0.70874227674545887</v>
      </c>
      <c r="BD429" s="3">
        <f t="shared" ca="1" si="230"/>
        <v>5.288723784280859E-2</v>
      </c>
      <c r="BE429" s="3">
        <f t="shared" ca="1" si="237"/>
        <v>0.70874227674545887</v>
      </c>
      <c r="BF429" s="3">
        <f t="shared" ca="1" si="238"/>
        <v>0.70874227674545887</v>
      </c>
    </row>
    <row r="430" spans="1:58" ht="15" x14ac:dyDescent="0.25">
      <c r="A430" s="72">
        <v>364</v>
      </c>
      <c r="B430" s="72">
        <v>1498730311.257</v>
      </c>
      <c r="C430" s="73">
        <v>2.6805892171214801E-4</v>
      </c>
      <c r="D430" s="73">
        <v>4.9370291045424099E-5</v>
      </c>
      <c r="E430" s="73">
        <v>1.29747571462342E-2</v>
      </c>
      <c r="F430" s="73">
        <v>4.5257945570239698E-4</v>
      </c>
      <c r="G430" s="73">
        <v>0.23706886228202201</v>
      </c>
      <c r="H430" s="73">
        <v>8.7808364820424294E-6</v>
      </c>
      <c r="I430" s="73">
        <v>0.17139926627214999</v>
      </c>
      <c r="J430" s="73">
        <v>2.0615470189015102</v>
      </c>
      <c r="K430" s="73"/>
      <c r="L430" s="73"/>
      <c r="M430" s="73"/>
      <c r="O430" s="13">
        <f t="shared" ca="1" si="200"/>
        <v>3.3716924405864288E-6</v>
      </c>
      <c r="P430" s="13">
        <f t="shared" ca="1" si="201"/>
        <v>3.8082815660583928E-5</v>
      </c>
      <c r="Q430" s="13">
        <f t="shared" ca="1" si="202"/>
        <v>1.2134017528261515E-2</v>
      </c>
      <c r="R430" s="13">
        <f t="shared" ca="1" si="203"/>
        <v>4.4280317681171584E-4</v>
      </c>
      <c r="S430" s="13">
        <f t="shared" ca="1" si="204"/>
        <v>0.23593378364878065</v>
      </c>
      <c r="T430" s="13">
        <f t="shared" ca="1" si="205"/>
        <v>8.431014971018343E-6</v>
      </c>
      <c r="U430" s="13">
        <f t="shared" ca="1" si="206"/>
        <v>0.17074542227736147</v>
      </c>
      <c r="V430" s="13">
        <f t="shared" ca="1" si="207"/>
        <v>2.054408237979056</v>
      </c>
      <c r="X430" s="3">
        <f t="shared" ca="1" si="208"/>
        <v>3.3716924405864288E-6</v>
      </c>
      <c r="Y430" s="3">
        <f t="shared" ca="1" si="209"/>
        <v>3.8082815660583928E-5</v>
      </c>
      <c r="Z430" s="3">
        <f t="shared" ca="1" si="210"/>
        <v>1.2133953024687992E-2</v>
      </c>
      <c r="AA430" s="3">
        <f t="shared" ca="1" si="211"/>
        <v>4.4124189713441492E-4</v>
      </c>
      <c r="AB430" s="3">
        <f t="shared" ca="1" si="212"/>
        <v>0.23592242955385043</v>
      </c>
      <c r="AC430" s="3">
        <f t="shared" ca="1" si="213"/>
        <v>8.431014971018343E-6</v>
      </c>
      <c r="AD430" s="3">
        <f t="shared" ca="1" si="214"/>
        <v>0.17072865501322146</v>
      </c>
      <c r="AE430" s="3">
        <f t="shared" ca="1" si="215"/>
        <v>2.0544014342133261</v>
      </c>
      <c r="AG430" s="3">
        <f t="shared" ca="1" si="216"/>
        <v>3.3716924405864288E-6</v>
      </c>
      <c r="AH430" s="3">
        <f t="shared" ca="1" si="217"/>
        <v>3.8082815660583928E-5</v>
      </c>
      <c r="AI430" s="3">
        <f t="shared" ca="1" si="218"/>
        <v>1.2103277518674392E-2</v>
      </c>
      <c r="AJ430" s="3">
        <f t="shared" ca="1" si="219"/>
        <v>4.2430280023091061E-4</v>
      </c>
      <c r="AK430" s="3">
        <f t="shared" ca="1" si="220"/>
        <v>0.23592242955385043</v>
      </c>
      <c r="AL430" s="3">
        <f t="shared" ca="1" si="221"/>
        <v>8.431014971018343E-6</v>
      </c>
      <c r="AM430" s="3">
        <f t="shared" ca="1" si="222"/>
        <v>0.17072865501322146</v>
      </c>
      <c r="AN430" s="3">
        <f t="shared" ca="1" si="223"/>
        <v>2.0544014342133261</v>
      </c>
      <c r="AP430" s="3">
        <f t="shared" ca="1" si="224"/>
        <v>8.707562800914177</v>
      </c>
      <c r="AQ430" s="3">
        <f t="shared" ca="1" si="231"/>
        <v>0.40115927010787034</v>
      </c>
      <c r="AR430" s="3">
        <f t="shared" ca="1" si="225"/>
        <v>1.7763459921123418E-4</v>
      </c>
      <c r="AS430" s="3">
        <f t="shared" ca="1" si="226"/>
        <v>0.17056778767815023</v>
      </c>
      <c r="AT430" s="3">
        <f t="shared" ca="1" si="227"/>
        <v>0.7089174603719095</v>
      </c>
      <c r="AU430" s="3">
        <f t="shared" ca="1" si="228"/>
        <v>5.3519050841180013E-2</v>
      </c>
      <c r="AV430" s="10">
        <f t="shared" ca="1" si="232"/>
        <v>0.7089174603719095</v>
      </c>
      <c r="AW430" s="10">
        <f t="shared" ca="1" si="233"/>
        <v>0.7089174603719095</v>
      </c>
      <c r="AY430" s="3">
        <f t="shared" ca="1" si="239"/>
        <v>8.707953025485434</v>
      </c>
      <c r="AZ430" s="3">
        <f t="shared" ca="1" si="234"/>
        <v>0.4011774658898421</v>
      </c>
      <c r="BA430" s="3">
        <f t="shared" ca="1" si="229"/>
        <v>1.7022072216660061E-4</v>
      </c>
      <c r="BB430" s="3">
        <f t="shared" ca="1" si="235"/>
        <v>0.17055843429105486</v>
      </c>
      <c r="BC430" s="3">
        <f t="shared" ca="1" si="236"/>
        <v>0.70889670301146857</v>
      </c>
      <c r="BD430" s="3">
        <f t="shared" ca="1" si="230"/>
        <v>5.3388484293162987E-2</v>
      </c>
      <c r="BE430" s="3">
        <f t="shared" ca="1" si="237"/>
        <v>0.70889670301146857</v>
      </c>
      <c r="BF430" s="3">
        <f t="shared" ca="1" si="238"/>
        <v>0.70889670301146857</v>
      </c>
    </row>
    <row r="431" spans="1:58" ht="15" x14ac:dyDescent="0.25">
      <c r="A431" s="72">
        <v>365</v>
      </c>
      <c r="B431" s="72">
        <v>1498730311.783</v>
      </c>
      <c r="C431" s="73">
        <v>3.45618178575916E-4</v>
      </c>
      <c r="D431" s="73">
        <v>-3.2362840501754898E-5</v>
      </c>
      <c r="E431" s="73">
        <v>1.2114837127776499E-2</v>
      </c>
      <c r="F431" s="73">
        <v>5.1685315012120698E-4</v>
      </c>
      <c r="G431" s="73">
        <v>0.223268830596313</v>
      </c>
      <c r="H431" s="73">
        <v>-3.7152283620615202E-6</v>
      </c>
      <c r="I431" s="73">
        <v>0.161298711315013</v>
      </c>
      <c r="J431" s="73">
        <v>1.9403224772221801</v>
      </c>
      <c r="K431" s="73"/>
      <c r="L431" s="73"/>
      <c r="M431" s="73"/>
      <c r="O431" s="13">
        <f t="shared" ca="1" si="200"/>
        <v>8.0930949304354417E-5</v>
      </c>
      <c r="P431" s="13">
        <f t="shared" ca="1" si="201"/>
        <v>-4.365031588659507E-5</v>
      </c>
      <c r="Q431" s="13">
        <f t="shared" ca="1" si="202"/>
        <v>1.1274097509803814E-2</v>
      </c>
      <c r="R431" s="13">
        <f t="shared" ca="1" si="203"/>
        <v>5.0707687123052584E-4</v>
      </c>
      <c r="S431" s="13">
        <f t="shared" ca="1" si="204"/>
        <v>0.22213375196307164</v>
      </c>
      <c r="T431" s="13">
        <f t="shared" ca="1" si="205"/>
        <v>-4.0650498730856071E-6</v>
      </c>
      <c r="U431" s="13">
        <f t="shared" ca="1" si="206"/>
        <v>0.16064486732022448</v>
      </c>
      <c r="V431" s="13">
        <f t="shared" ca="1" si="207"/>
        <v>1.933183696299726</v>
      </c>
      <c r="X431" s="3">
        <f t="shared" ca="1" si="208"/>
        <v>8.0930949304354417E-5</v>
      </c>
      <c r="Y431" s="3">
        <f t="shared" ca="1" si="209"/>
        <v>-4.365031588659507E-5</v>
      </c>
      <c r="Z431" s="3">
        <f t="shared" ca="1" si="210"/>
        <v>1.1274097509803814E-2</v>
      </c>
      <c r="AA431" s="3">
        <f t="shared" ca="1" si="211"/>
        <v>5.0707687123052584E-4</v>
      </c>
      <c r="AB431" s="3">
        <f t="shared" ca="1" si="212"/>
        <v>0.22213375196307164</v>
      </c>
      <c r="AC431" s="3">
        <f t="shared" ca="1" si="213"/>
        <v>-4.0650498730856071E-6</v>
      </c>
      <c r="AD431" s="3">
        <f t="shared" ca="1" si="214"/>
        <v>0.16064486732022448</v>
      </c>
      <c r="AE431" s="3">
        <f t="shared" ca="1" si="215"/>
        <v>1.933183696299726</v>
      </c>
      <c r="AG431" s="3">
        <f t="shared" ca="1" si="216"/>
        <v>8.0930949304354417E-5</v>
      </c>
      <c r="AH431" s="3">
        <f t="shared" ca="1" si="217"/>
        <v>-4.365031588659507E-5</v>
      </c>
      <c r="AI431" s="3">
        <f t="shared" ca="1" si="218"/>
        <v>1.1274097509803814E-2</v>
      </c>
      <c r="AJ431" s="3">
        <f t="shared" ca="1" si="219"/>
        <v>5.0707687123052584E-4</v>
      </c>
      <c r="AK431" s="3">
        <f t="shared" ca="1" si="220"/>
        <v>0.22213375196307164</v>
      </c>
      <c r="AL431" s="3">
        <f t="shared" ca="1" si="221"/>
        <v>-4.0650498730856071E-6</v>
      </c>
      <c r="AM431" s="3">
        <f t="shared" ca="1" si="222"/>
        <v>0.16064486732022448</v>
      </c>
      <c r="AN431" s="3">
        <f t="shared" ca="1" si="223"/>
        <v>1.933183696299726</v>
      </c>
      <c r="AP431" s="3">
        <f t="shared" ca="1" si="224"/>
        <v>8.7027913552781744</v>
      </c>
      <c r="AQ431" s="3">
        <f t="shared" ca="1" si="231"/>
        <v>0.40093678316388798</v>
      </c>
      <c r="AR431" s="3">
        <f t="shared" ca="1" si="225"/>
        <v>2.0330576956797608E-4</v>
      </c>
      <c r="AS431" s="3">
        <f t="shared" ca="1" si="226"/>
        <v>0.1604415615506565</v>
      </c>
      <c r="AT431" s="3">
        <f t="shared" ca="1" si="227"/>
        <v>0.70845291936336274</v>
      </c>
      <c r="AU431" s="3">
        <f t="shared" ca="1" si="228"/>
        <v>5.2785856575374129E-2</v>
      </c>
      <c r="AV431" s="10">
        <f t="shared" ca="1" si="232"/>
        <v>0.70845291936336274</v>
      </c>
      <c r="AW431" s="10">
        <f t="shared" ca="1" si="233"/>
        <v>0.70845291936336274</v>
      </c>
      <c r="AY431" s="3">
        <f t="shared" ca="1" si="239"/>
        <v>8.7027913552781744</v>
      </c>
      <c r="AZ431" s="3">
        <f t="shared" ca="1" si="234"/>
        <v>0.40093678316388798</v>
      </c>
      <c r="BA431" s="3">
        <f t="shared" ca="1" si="229"/>
        <v>2.0330576956797608E-4</v>
      </c>
      <c r="BB431" s="3">
        <f t="shared" ca="1" si="235"/>
        <v>0.1604415615506565</v>
      </c>
      <c r="BC431" s="3">
        <f t="shared" ca="1" si="236"/>
        <v>0.70845291936336274</v>
      </c>
      <c r="BD431" s="3">
        <f t="shared" ca="1" si="230"/>
        <v>5.2785856575374129E-2</v>
      </c>
      <c r="BE431" s="3">
        <f t="shared" ca="1" si="237"/>
        <v>0.70845291936336274</v>
      </c>
      <c r="BF431" s="3">
        <f t="shared" ca="1" si="238"/>
        <v>0.70845291936336274</v>
      </c>
    </row>
    <row r="432" spans="1:58" ht="15" x14ac:dyDescent="0.25">
      <c r="A432" s="72">
        <v>366</v>
      </c>
      <c r="B432" s="72">
        <v>1498730312.3099999</v>
      </c>
      <c r="C432" s="73">
        <v>3.36101381114412E-4</v>
      </c>
      <c r="D432" s="73">
        <v>-1.04169052918801E-4</v>
      </c>
      <c r="E432" s="73">
        <v>1.10521486446097E-2</v>
      </c>
      <c r="F432" s="73">
        <v>4.7519380252758801E-4</v>
      </c>
      <c r="G432" s="73">
        <v>0.199813310603072</v>
      </c>
      <c r="H432" s="73">
        <v>3.8436397355934802E-6</v>
      </c>
      <c r="I432" s="73">
        <v>0.14454903542431</v>
      </c>
      <c r="J432" s="73">
        <v>1.73831513135007</v>
      </c>
      <c r="K432" s="73"/>
      <c r="L432" s="73"/>
      <c r="M432" s="73"/>
      <c r="O432" s="13">
        <f t="shared" ca="1" si="200"/>
        <v>7.1414151842850418E-5</v>
      </c>
      <c r="P432" s="13">
        <f t="shared" ca="1" si="201"/>
        <v>-1.1545652830364118E-4</v>
      </c>
      <c r="Q432" s="13">
        <f t="shared" ca="1" si="202"/>
        <v>1.0211409026637015E-2</v>
      </c>
      <c r="R432" s="13">
        <f t="shared" ca="1" si="203"/>
        <v>4.6541752363690687E-4</v>
      </c>
      <c r="S432" s="13">
        <f t="shared" ca="1" si="204"/>
        <v>0.19867823196983064</v>
      </c>
      <c r="T432" s="13">
        <f t="shared" ca="1" si="205"/>
        <v>3.4938182245693937E-6</v>
      </c>
      <c r="U432" s="13">
        <f t="shared" ca="1" si="206"/>
        <v>0.14389519142952148</v>
      </c>
      <c r="V432" s="13">
        <f t="shared" ca="1" si="207"/>
        <v>1.7311763504276159</v>
      </c>
      <c r="X432" s="3">
        <f t="shared" ca="1" si="208"/>
        <v>7.1414151842850418E-5</v>
      </c>
      <c r="Y432" s="3">
        <f t="shared" ca="1" si="209"/>
        <v>-1.1545652830364118E-4</v>
      </c>
      <c r="Z432" s="3">
        <f t="shared" ca="1" si="210"/>
        <v>1.0211382296313146E-2</v>
      </c>
      <c r="AA432" s="3">
        <f t="shared" ca="1" si="211"/>
        <v>4.6477052829779829E-4</v>
      </c>
      <c r="AB432" s="3">
        <f t="shared" ca="1" si="212"/>
        <v>0.1986735268253223</v>
      </c>
      <c r="AC432" s="3">
        <f t="shared" ca="1" si="213"/>
        <v>3.4938182245693937E-6</v>
      </c>
      <c r="AD432" s="3">
        <f t="shared" ca="1" si="214"/>
        <v>0.14388824306408388</v>
      </c>
      <c r="AE432" s="3">
        <f t="shared" ca="1" si="215"/>
        <v>1.7311735309425615</v>
      </c>
      <c r="AG432" s="3">
        <f t="shared" ca="1" si="216"/>
        <v>7.1414151842850418E-5</v>
      </c>
      <c r="AH432" s="3">
        <f t="shared" ca="1" si="217"/>
        <v>-1.1545652830364118E-4</v>
      </c>
      <c r="AI432" s="3">
        <f t="shared" ca="1" si="218"/>
        <v>1.0211382296313146E-2</v>
      </c>
      <c r="AJ432" s="3">
        <f t="shared" ca="1" si="219"/>
        <v>4.6477052829779829E-4</v>
      </c>
      <c r="AK432" s="3">
        <f t="shared" ca="1" si="220"/>
        <v>0.1986735268253223</v>
      </c>
      <c r="AL432" s="3">
        <f t="shared" ca="1" si="221"/>
        <v>3.4938182245693937E-6</v>
      </c>
      <c r="AM432" s="3">
        <f t="shared" ca="1" si="222"/>
        <v>0.14388824306408388</v>
      </c>
      <c r="AN432" s="3">
        <f t="shared" ca="1" si="223"/>
        <v>1.7311735309425615</v>
      </c>
      <c r="AP432" s="3">
        <f t="shared" ca="1" si="224"/>
        <v>8.7134676671095779</v>
      </c>
      <c r="AQ432" s="3">
        <f t="shared" ca="1" si="231"/>
        <v>0.40143460917756663</v>
      </c>
      <c r="AR432" s="3">
        <f t="shared" ca="1" si="225"/>
        <v>1.8683470170557259E-4</v>
      </c>
      <c r="AS432" s="3">
        <f t="shared" ca="1" si="226"/>
        <v>0.1437083567278159</v>
      </c>
      <c r="AT432" s="3">
        <f t="shared" ca="1" si="227"/>
        <v>0.70904249338464476</v>
      </c>
      <c r="AU432" s="3">
        <f t="shared" ca="1" si="228"/>
        <v>5.3521781034048553E-2</v>
      </c>
      <c r="AV432" s="10">
        <f t="shared" ca="1" si="232"/>
        <v>0.70904249338464476</v>
      </c>
      <c r="AW432" s="10">
        <f t="shared" ca="1" si="233"/>
        <v>0.70904249338464476</v>
      </c>
      <c r="AY432" s="3">
        <f t="shared" ca="1" si="239"/>
        <v>8.713659834833674</v>
      </c>
      <c r="AZ432" s="3">
        <f t="shared" ca="1" si="234"/>
        <v>0.40144356983902807</v>
      </c>
      <c r="BA432" s="3">
        <f t="shared" ca="1" si="229"/>
        <v>1.8657914003583916E-4</v>
      </c>
      <c r="BB432" s="3">
        <f t="shared" ca="1" si="235"/>
        <v>0.14370166392404804</v>
      </c>
      <c r="BC432" s="3">
        <f t="shared" ca="1" si="236"/>
        <v>0.70901838856718591</v>
      </c>
      <c r="BD432" s="3">
        <f t="shared" ca="1" si="230"/>
        <v>5.3524116317546534E-2</v>
      </c>
      <c r="BE432" s="3">
        <f t="shared" ca="1" si="237"/>
        <v>0.70901838856718591</v>
      </c>
      <c r="BF432" s="3">
        <f t="shared" ca="1" si="238"/>
        <v>0.70901838856718591</v>
      </c>
    </row>
    <row r="433" spans="1:58" ht="15" x14ac:dyDescent="0.25">
      <c r="A433" s="72">
        <v>367</v>
      </c>
      <c r="B433" s="72">
        <v>1498730312.8369999</v>
      </c>
      <c r="C433" s="73">
        <v>3.5656260778067702E-4</v>
      </c>
      <c r="D433" s="73">
        <v>-5.7401123121951302E-5</v>
      </c>
      <c r="E433" s="73">
        <v>1.19910881156355E-2</v>
      </c>
      <c r="F433" s="73">
        <v>4.1187492159639198E-4</v>
      </c>
      <c r="G433" s="73">
        <v>0.22197696000764799</v>
      </c>
      <c r="H433" s="73">
        <v>1.6458783802338399E-5</v>
      </c>
      <c r="I433" s="73">
        <v>0.160429757033211</v>
      </c>
      <c r="J433" s="73">
        <v>1.92493744352583</v>
      </c>
      <c r="K433" s="73"/>
      <c r="L433" s="73"/>
      <c r="M433" s="73"/>
      <c r="O433" s="13">
        <f t="shared" ca="1" si="200"/>
        <v>9.1875378509115432E-5</v>
      </c>
      <c r="P433" s="13">
        <f t="shared" ca="1" si="201"/>
        <v>-6.8688598506791481E-5</v>
      </c>
      <c r="Q433" s="13">
        <f t="shared" ca="1" si="202"/>
        <v>1.1150348497662815E-2</v>
      </c>
      <c r="R433" s="13">
        <f t="shared" ca="1" si="203"/>
        <v>4.0209864270571085E-4</v>
      </c>
      <c r="S433" s="13">
        <f t="shared" ca="1" si="204"/>
        <v>0.22084188137440663</v>
      </c>
      <c r="T433" s="13">
        <f t="shared" ca="1" si="205"/>
        <v>1.6108962291314313E-5</v>
      </c>
      <c r="U433" s="13">
        <f t="shared" ca="1" si="206"/>
        <v>0.15977591303842248</v>
      </c>
      <c r="V433" s="13">
        <f t="shared" ca="1" si="207"/>
        <v>1.9177986626033758</v>
      </c>
      <c r="X433" s="3">
        <f t="shared" ca="1" si="208"/>
        <v>9.1875378509115432E-5</v>
      </c>
      <c r="Y433" s="3">
        <f t="shared" ca="1" si="209"/>
        <v>-6.8688598506791481E-5</v>
      </c>
      <c r="Z433" s="3">
        <f t="shared" ca="1" si="210"/>
        <v>1.1150225252046824E-2</v>
      </c>
      <c r="AA433" s="3">
        <f t="shared" ca="1" si="211"/>
        <v>3.9911553859140299E-4</v>
      </c>
      <c r="AB433" s="3">
        <f t="shared" ca="1" si="212"/>
        <v>0.22082018734495565</v>
      </c>
      <c r="AC433" s="3">
        <f t="shared" ca="1" si="213"/>
        <v>1.6108962291314313E-5</v>
      </c>
      <c r="AD433" s="3">
        <f t="shared" ca="1" si="214"/>
        <v>0.15974387618085684</v>
      </c>
      <c r="AE433" s="3">
        <f t="shared" ca="1" si="215"/>
        <v>1.9177856627918515</v>
      </c>
      <c r="AG433" s="3">
        <f t="shared" ca="1" si="216"/>
        <v>9.1875378509115432E-5</v>
      </c>
      <c r="AH433" s="3">
        <f t="shared" ca="1" si="217"/>
        <v>-6.8688598506791481E-5</v>
      </c>
      <c r="AI433" s="3">
        <f t="shared" ca="1" si="218"/>
        <v>1.1150225252046824E-2</v>
      </c>
      <c r="AJ433" s="3">
        <f t="shared" ca="1" si="219"/>
        <v>3.9911553859140299E-4</v>
      </c>
      <c r="AK433" s="3">
        <f t="shared" ca="1" si="220"/>
        <v>0.22082018734495565</v>
      </c>
      <c r="AL433" s="3">
        <f t="shared" ca="1" si="221"/>
        <v>1.6108962291314313E-5</v>
      </c>
      <c r="AM433" s="3">
        <f t="shared" ca="1" si="222"/>
        <v>0.15974387618085684</v>
      </c>
      <c r="AN433" s="3">
        <f t="shared" ca="1" si="223"/>
        <v>1.9177856627918515</v>
      </c>
      <c r="AP433" s="3">
        <f t="shared" ca="1" si="224"/>
        <v>8.6840351597621801</v>
      </c>
      <c r="AQ433" s="3">
        <f t="shared" ca="1" si="231"/>
        <v>0.40006221799274244</v>
      </c>
      <c r="AR433" s="3">
        <f t="shared" ca="1" si="225"/>
        <v>1.6086447485271795E-4</v>
      </c>
      <c r="AS433" s="3">
        <f t="shared" ca="1" si="226"/>
        <v>0.15961504856356976</v>
      </c>
      <c r="AT433" s="3">
        <f t="shared" ca="1" si="227"/>
        <v>0.70969693304586257</v>
      </c>
      <c r="AU433" s="3">
        <f t="shared" ca="1" si="228"/>
        <v>5.2396051168543005E-2</v>
      </c>
      <c r="AV433" s="10" t="str">
        <f t="shared" ca="1" si="232"/>
        <v>rejected</v>
      </c>
      <c r="AW433" s="10" t="e">
        <f t="shared" ca="1" si="233"/>
        <v>#N/A</v>
      </c>
      <c r="AY433" s="3">
        <f t="shared" ca="1" si="239"/>
        <v>8.6848294345297816</v>
      </c>
      <c r="AZ433" s="3">
        <f t="shared" ca="1" si="234"/>
        <v>0.40009925302688676</v>
      </c>
      <c r="BA433" s="3">
        <f t="shared" ca="1" si="229"/>
        <v>1.5968582886184392E-4</v>
      </c>
      <c r="BB433" s="3">
        <f t="shared" ca="1" si="235"/>
        <v>0.159584190351995</v>
      </c>
      <c r="BC433" s="3">
        <f t="shared" ca="1" si="236"/>
        <v>0.70959675364916908</v>
      </c>
      <c r="BD433" s="3">
        <f t="shared" ca="1" si="230"/>
        <v>5.2405523715940122E-2</v>
      </c>
      <c r="BE433" s="3" t="str">
        <f t="shared" ca="1" si="237"/>
        <v>rejected</v>
      </c>
      <c r="BF433" s="3" t="e">
        <f t="shared" ca="1" si="238"/>
        <v>#N/A</v>
      </c>
    </row>
    <row r="434" spans="1:58" ht="15" x14ac:dyDescent="0.25">
      <c r="A434" s="72">
        <v>368</v>
      </c>
      <c r="B434" s="72">
        <v>1498730313.3640001</v>
      </c>
      <c r="C434" s="73">
        <v>3.0731362092480699E-4</v>
      </c>
      <c r="D434" s="73">
        <v>-2.3150483167629299E-5</v>
      </c>
      <c r="E434" s="73">
        <v>1.2299525786362399E-2</v>
      </c>
      <c r="F434" s="73">
        <v>5.4327797970820301E-4</v>
      </c>
      <c r="G434" s="73">
        <v>0.22344422648177301</v>
      </c>
      <c r="H434" s="73">
        <v>-2.81358831811432E-5</v>
      </c>
      <c r="I434" s="73">
        <v>0.161441978948941</v>
      </c>
      <c r="J434" s="73">
        <v>1.94069330552805</v>
      </c>
      <c r="K434" s="73"/>
      <c r="L434" s="73"/>
      <c r="M434" s="73"/>
      <c r="O434" s="13">
        <f t="shared" ca="1" si="200"/>
        <v>4.2626391653245407E-5</v>
      </c>
      <c r="P434" s="13">
        <f t="shared" ca="1" si="201"/>
        <v>-3.4437958552469471E-5</v>
      </c>
      <c r="Q434" s="13">
        <f t="shared" ca="1" si="202"/>
        <v>1.1458786168389714E-2</v>
      </c>
      <c r="R434" s="13">
        <f t="shared" ca="1" si="203"/>
        <v>5.3350170081752188E-4</v>
      </c>
      <c r="S434" s="13">
        <f t="shared" ca="1" si="204"/>
        <v>0.22230914784853165</v>
      </c>
      <c r="T434" s="13">
        <f t="shared" ca="1" si="205"/>
        <v>-2.8485704692167286E-5</v>
      </c>
      <c r="U434" s="13">
        <f t="shared" ca="1" si="206"/>
        <v>0.16078813495415248</v>
      </c>
      <c r="V434" s="13">
        <f t="shared" ca="1" si="207"/>
        <v>1.9335545246055958</v>
      </c>
      <c r="X434" s="3">
        <f t="shared" ca="1" si="208"/>
        <v>4.2626391653245407E-5</v>
      </c>
      <c r="Y434" s="3">
        <f t="shared" ca="1" si="209"/>
        <v>-3.4437958552469471E-5</v>
      </c>
      <c r="Z434" s="3">
        <f t="shared" ca="1" si="210"/>
        <v>1.1458786168389714E-2</v>
      </c>
      <c r="AA434" s="3">
        <f t="shared" ca="1" si="211"/>
        <v>5.3350170081752188E-4</v>
      </c>
      <c r="AB434" s="3">
        <f t="shared" ca="1" si="212"/>
        <v>0.22230914784853165</v>
      </c>
      <c r="AC434" s="3">
        <f t="shared" ca="1" si="213"/>
        <v>-2.8485704692167286E-5</v>
      </c>
      <c r="AD434" s="3">
        <f t="shared" ca="1" si="214"/>
        <v>0.16078813495415248</v>
      </c>
      <c r="AE434" s="3">
        <f t="shared" ca="1" si="215"/>
        <v>1.9335545246055958</v>
      </c>
      <c r="AG434" s="3">
        <f t="shared" ca="1" si="216"/>
        <v>4.2626391653245407E-5</v>
      </c>
      <c r="AH434" s="3">
        <f t="shared" ca="1" si="217"/>
        <v>-3.4437958552469471E-5</v>
      </c>
      <c r="AI434" s="3">
        <f t="shared" ca="1" si="218"/>
        <v>1.1458786168389714E-2</v>
      </c>
      <c r="AJ434" s="3">
        <f t="shared" ca="1" si="219"/>
        <v>5.3350170081752188E-4</v>
      </c>
      <c r="AK434" s="3">
        <f t="shared" ca="1" si="220"/>
        <v>0.22230914784853165</v>
      </c>
      <c r="AL434" s="3">
        <f t="shared" ca="1" si="221"/>
        <v>-2.8485704692167286E-5</v>
      </c>
      <c r="AM434" s="3">
        <f t="shared" ca="1" si="222"/>
        <v>0.16078813495415248</v>
      </c>
      <c r="AN434" s="3">
        <f t="shared" ca="1" si="223"/>
        <v>1.9335545246055958</v>
      </c>
      <c r="AP434" s="3">
        <f t="shared" ca="1" si="224"/>
        <v>8.6975931639259674</v>
      </c>
      <c r="AQ434" s="3">
        <f t="shared" ca="1" si="231"/>
        <v>0.40069439924888645</v>
      </c>
      <c r="AR434" s="3">
        <f t="shared" ca="1" si="225"/>
        <v>2.1377114350733608E-4</v>
      </c>
      <c r="AS434" s="3">
        <f t="shared" ca="1" si="226"/>
        <v>0.16057436381064513</v>
      </c>
      <c r="AT434" s="3">
        <f t="shared" ca="1" si="227"/>
        <v>0.70869311859907469</v>
      </c>
      <c r="AU434" s="3">
        <f t="shared" ca="1" si="228"/>
        <v>5.3575484187603377E-2</v>
      </c>
      <c r="AV434" s="10">
        <f t="shared" ca="1" si="232"/>
        <v>0.70869311859907469</v>
      </c>
      <c r="AW434" s="10">
        <f t="shared" ca="1" si="233"/>
        <v>0.70869311859907469</v>
      </c>
      <c r="AY434" s="3">
        <f t="shared" ca="1" si="239"/>
        <v>8.6975931639259674</v>
      </c>
      <c r="AZ434" s="3">
        <f t="shared" ca="1" si="234"/>
        <v>0.40069439924888645</v>
      </c>
      <c r="BA434" s="3">
        <f t="shared" ca="1" si="229"/>
        <v>2.1377114350733608E-4</v>
      </c>
      <c r="BB434" s="3">
        <f t="shared" ca="1" si="235"/>
        <v>0.16057436381064513</v>
      </c>
      <c r="BC434" s="3">
        <f t="shared" ca="1" si="236"/>
        <v>0.70869311859907469</v>
      </c>
      <c r="BD434" s="3">
        <f t="shared" ca="1" si="230"/>
        <v>5.3575484187603377E-2</v>
      </c>
      <c r="BE434" s="3">
        <f t="shared" ca="1" si="237"/>
        <v>0.70869311859907469</v>
      </c>
      <c r="BF434" s="3">
        <f t="shared" ca="1" si="238"/>
        <v>0.70869311859907469</v>
      </c>
    </row>
    <row r="435" spans="1:58" ht="15" x14ac:dyDescent="0.25">
      <c r="A435" s="72">
        <v>369</v>
      </c>
      <c r="B435" s="72">
        <v>1498730313.891</v>
      </c>
      <c r="C435" s="73">
        <v>2.2618894336928899E-4</v>
      </c>
      <c r="D435" s="73">
        <v>2.4802399248063101E-5</v>
      </c>
      <c r="E435" s="73">
        <v>1.17282319175149E-2</v>
      </c>
      <c r="F435" s="73">
        <v>5.3446962550786304E-4</v>
      </c>
      <c r="G435" s="73">
        <v>0.21598359548247101</v>
      </c>
      <c r="H435" s="73">
        <v>-2.1798799044327398E-6</v>
      </c>
      <c r="I435" s="73">
        <v>0.15578509221114101</v>
      </c>
      <c r="J435" s="73">
        <v>1.87528926925698</v>
      </c>
      <c r="K435" s="73"/>
      <c r="L435" s="73"/>
      <c r="M435" s="73"/>
      <c r="O435" s="13">
        <f t="shared" ca="1" si="200"/>
        <v>-3.8498285902272597E-5</v>
      </c>
      <c r="P435" s="13">
        <f t="shared" ca="1" si="201"/>
        <v>1.3514923863222928E-5</v>
      </c>
      <c r="Q435" s="13">
        <f t="shared" ca="1" si="202"/>
        <v>1.0887492299542214E-2</v>
      </c>
      <c r="R435" s="13">
        <f t="shared" ca="1" si="203"/>
        <v>5.2469334661718191E-4</v>
      </c>
      <c r="S435" s="13">
        <f t="shared" ca="1" si="204"/>
        <v>0.21484851684922965</v>
      </c>
      <c r="T435" s="13">
        <f t="shared" ca="1" si="205"/>
        <v>-2.5297014154568263E-6</v>
      </c>
      <c r="U435" s="13">
        <f t="shared" ca="1" si="206"/>
        <v>0.15513124821635249</v>
      </c>
      <c r="V435" s="13">
        <f t="shared" ca="1" si="207"/>
        <v>1.8681504883345259</v>
      </c>
      <c r="X435" s="3">
        <f t="shared" ca="1" si="208"/>
        <v>-3.8498285902272597E-5</v>
      </c>
      <c r="Y435" s="3">
        <f t="shared" ca="1" si="209"/>
        <v>1.3514923863222928E-5</v>
      </c>
      <c r="Z435" s="3">
        <f t="shared" ca="1" si="210"/>
        <v>1.0887492299542214E-2</v>
      </c>
      <c r="AA435" s="3">
        <f t="shared" ca="1" si="211"/>
        <v>5.2469334661718191E-4</v>
      </c>
      <c r="AB435" s="3">
        <f t="shared" ca="1" si="212"/>
        <v>0.21484851684922965</v>
      </c>
      <c r="AC435" s="3">
        <f t="shared" ca="1" si="213"/>
        <v>-2.5297014154568263E-6</v>
      </c>
      <c r="AD435" s="3">
        <f t="shared" ca="1" si="214"/>
        <v>0.15513124821635249</v>
      </c>
      <c r="AE435" s="3">
        <f t="shared" ca="1" si="215"/>
        <v>1.8681504883345259</v>
      </c>
      <c r="AG435" s="3">
        <f t="shared" ca="1" si="216"/>
        <v>-3.8498285902272597E-5</v>
      </c>
      <c r="AH435" s="3">
        <f t="shared" ca="1" si="217"/>
        <v>1.3514923863222928E-5</v>
      </c>
      <c r="AI435" s="3">
        <f t="shared" ca="1" si="218"/>
        <v>1.0876606100057003E-2</v>
      </c>
      <c r="AJ435" s="3">
        <f t="shared" ca="1" si="219"/>
        <v>5.1868195798975014E-4</v>
      </c>
      <c r="AK435" s="3">
        <f t="shared" ca="1" si="220"/>
        <v>0.21484851684922965</v>
      </c>
      <c r="AL435" s="3">
        <f t="shared" ca="1" si="221"/>
        <v>-2.5297014154568263E-6</v>
      </c>
      <c r="AM435" s="3">
        <f t="shared" ca="1" si="222"/>
        <v>0.15513124821635249</v>
      </c>
      <c r="AN435" s="3">
        <f t="shared" ca="1" si="223"/>
        <v>1.8681504883345259</v>
      </c>
      <c r="AP435" s="3">
        <f t="shared" ca="1" si="224"/>
        <v>8.695198439026246</v>
      </c>
      <c r="AQ435" s="3">
        <f t="shared" ca="1" si="231"/>
        <v>0.40058273738717348</v>
      </c>
      <c r="AR435" s="3">
        <f t="shared" ca="1" si="225"/>
        <v>2.1018309707674778E-4</v>
      </c>
      <c r="AS435" s="3">
        <f t="shared" ca="1" si="226"/>
        <v>0.15492106511927575</v>
      </c>
      <c r="AT435" s="3">
        <f t="shared" ca="1" si="227"/>
        <v>0.70758347117722331</v>
      </c>
      <c r="AU435" s="3">
        <f t="shared" ca="1" si="228"/>
        <v>5.2657223036123045E-2</v>
      </c>
      <c r="AV435" s="10" t="str">
        <f t="shared" ca="1" si="232"/>
        <v>rejected</v>
      </c>
      <c r="AW435" s="10" t="e">
        <f t="shared" ca="1" si="233"/>
        <v>#N/A</v>
      </c>
      <c r="AY435" s="3">
        <f t="shared" ca="1" si="239"/>
        <v>8.695198439026246</v>
      </c>
      <c r="AZ435" s="3">
        <f t="shared" ca="1" si="234"/>
        <v>0.40058273738717348</v>
      </c>
      <c r="BA435" s="3">
        <f t="shared" ca="1" si="229"/>
        <v>2.0777503856487302E-4</v>
      </c>
      <c r="BB435" s="3">
        <f t="shared" ca="1" si="235"/>
        <v>0.15492347317778762</v>
      </c>
      <c r="BC435" s="3">
        <f t="shared" ca="1" si="236"/>
        <v>0.70759446969701345</v>
      </c>
      <c r="BD435" s="3">
        <f t="shared" ca="1" si="230"/>
        <v>5.2604572065767588E-2</v>
      </c>
      <c r="BE435" s="3" t="str">
        <f t="shared" ca="1" si="237"/>
        <v>rejected</v>
      </c>
      <c r="BF435" s="3" t="e">
        <f t="shared" ca="1" si="238"/>
        <v>#N/A</v>
      </c>
    </row>
    <row r="436" spans="1:58" ht="15" x14ac:dyDescent="0.25">
      <c r="A436" s="72">
        <v>370</v>
      </c>
      <c r="B436" s="72">
        <v>1498730314.4189999</v>
      </c>
      <c r="C436" s="73">
        <v>2.15721723096392E-4</v>
      </c>
      <c r="D436" s="73">
        <v>-1.0158551806117601E-5</v>
      </c>
      <c r="E436" s="73">
        <v>1.17368964171087E-2</v>
      </c>
      <c r="F436" s="73">
        <v>3.2023628149942501E-4</v>
      </c>
      <c r="G436" s="73">
        <v>0.215689343736886</v>
      </c>
      <c r="H436" s="73">
        <v>1.8892226526661999E-5</v>
      </c>
      <c r="I436" s="73">
        <v>0.15573075209231299</v>
      </c>
      <c r="J436" s="73">
        <v>1.87289181484533</v>
      </c>
      <c r="K436" s="73"/>
      <c r="L436" s="73"/>
      <c r="M436" s="73"/>
      <c r="O436" s="13">
        <f t="shared" ca="1" si="200"/>
        <v>-4.8965506175169585E-5</v>
      </c>
      <c r="P436" s="13">
        <f t="shared" ca="1" si="201"/>
        <v>-2.1446027190957776E-5</v>
      </c>
      <c r="Q436" s="13">
        <f t="shared" ca="1" si="202"/>
        <v>1.0896156799136015E-2</v>
      </c>
      <c r="R436" s="13">
        <f t="shared" ca="1" si="203"/>
        <v>3.1046000260874387E-4</v>
      </c>
      <c r="S436" s="13">
        <f t="shared" ca="1" si="204"/>
        <v>0.21455426510364464</v>
      </c>
      <c r="T436" s="13">
        <f t="shared" ca="1" si="205"/>
        <v>1.8542405015637913E-5</v>
      </c>
      <c r="U436" s="13">
        <f t="shared" ca="1" si="206"/>
        <v>0.15507690809752447</v>
      </c>
      <c r="V436" s="13">
        <f t="shared" ca="1" si="207"/>
        <v>1.8657530339228758</v>
      </c>
      <c r="X436" s="3">
        <f t="shared" ca="1" si="208"/>
        <v>-4.8965506175169585E-5</v>
      </c>
      <c r="Y436" s="3">
        <f t="shared" ca="1" si="209"/>
        <v>-2.1446027190957776E-5</v>
      </c>
      <c r="Z436" s="3">
        <f t="shared" ca="1" si="210"/>
        <v>1.089601493586222E-2</v>
      </c>
      <c r="AA436" s="3">
        <f t="shared" ca="1" si="211"/>
        <v>3.0702626654983359E-4</v>
      </c>
      <c r="AB436" s="3">
        <f t="shared" ca="1" si="212"/>
        <v>0.21452929394329134</v>
      </c>
      <c r="AC436" s="3">
        <f t="shared" ca="1" si="213"/>
        <v>1.8542405015637913E-5</v>
      </c>
      <c r="AD436" s="3">
        <f t="shared" ca="1" si="214"/>
        <v>0.15504003170675096</v>
      </c>
      <c r="AE436" s="3">
        <f t="shared" ca="1" si="215"/>
        <v>1.8657380703413582</v>
      </c>
      <c r="AG436" s="3">
        <f t="shared" ca="1" si="216"/>
        <v>-4.8965506175169585E-5</v>
      </c>
      <c r="AH436" s="3">
        <f t="shared" ca="1" si="217"/>
        <v>-2.1446027190957776E-5</v>
      </c>
      <c r="AI436" s="3">
        <f t="shared" ca="1" si="218"/>
        <v>1.089601493586222E-2</v>
      </c>
      <c r="AJ436" s="3">
        <f t="shared" ca="1" si="219"/>
        <v>3.0702626654983359E-4</v>
      </c>
      <c r="AK436" s="3">
        <f t="shared" ca="1" si="220"/>
        <v>0.21452929394329134</v>
      </c>
      <c r="AL436" s="3">
        <f t="shared" ca="1" si="221"/>
        <v>1.8542405015637913E-5</v>
      </c>
      <c r="AM436" s="3">
        <f t="shared" ca="1" si="222"/>
        <v>0.15504003170675096</v>
      </c>
      <c r="AN436" s="3">
        <f t="shared" ca="1" si="223"/>
        <v>1.8657380703413582</v>
      </c>
      <c r="AP436" s="3">
        <f t="shared" ca="1" si="224"/>
        <v>8.6959494047885144</v>
      </c>
      <c r="AQ436" s="3">
        <f t="shared" ca="1" si="231"/>
        <v>0.40061775357587487</v>
      </c>
      <c r="AR436" s="3">
        <f t="shared" ca="1" si="225"/>
        <v>1.2437578882027521E-4</v>
      </c>
      <c r="AS436" s="3">
        <f t="shared" ca="1" si="226"/>
        <v>0.15495253230870421</v>
      </c>
      <c r="AT436" s="3">
        <f t="shared" ca="1" si="227"/>
        <v>0.70866698907368331</v>
      </c>
      <c r="AU436" s="3">
        <f t="shared" ca="1" si="228"/>
        <v>5.2776066925398782E-2</v>
      </c>
      <c r="AV436" s="10">
        <f t="shared" ca="1" si="232"/>
        <v>0.70866698907368331</v>
      </c>
      <c r="AW436" s="10">
        <f t="shared" ca="1" si="233"/>
        <v>0.70866698907368331</v>
      </c>
      <c r="AY436" s="3">
        <f t="shared" ca="1" si="239"/>
        <v>8.6968918605332632</v>
      </c>
      <c r="AZ436" s="3">
        <f t="shared" ca="1" si="234"/>
        <v>0.4006616986514453</v>
      </c>
      <c r="BA436" s="3">
        <f t="shared" ca="1" si="229"/>
        <v>1.2301366548646774E-4</v>
      </c>
      <c r="BB436" s="3">
        <f t="shared" ca="1" si="235"/>
        <v>0.15491701804126448</v>
      </c>
      <c r="BC436" s="3">
        <f t="shared" ca="1" si="236"/>
        <v>0.70854836559706902</v>
      </c>
      <c r="BD436" s="3">
        <f t="shared" ca="1" si="230"/>
        <v>5.278737624809858E-2</v>
      </c>
      <c r="BE436" s="3">
        <f t="shared" ca="1" si="237"/>
        <v>0.70854836559706902</v>
      </c>
      <c r="BF436" s="3">
        <f t="shared" ca="1" si="238"/>
        <v>0.70854836559706902</v>
      </c>
    </row>
    <row r="437" spans="1:58" ht="15" x14ac:dyDescent="0.25">
      <c r="A437" s="72">
        <v>371</v>
      </c>
      <c r="B437" s="72">
        <v>1498730314.9460001</v>
      </c>
      <c r="C437" s="73">
        <v>2.8923247686645501E-4</v>
      </c>
      <c r="D437" s="73">
        <v>2.1259003513172599E-5</v>
      </c>
      <c r="E437" s="73">
        <v>1.21656412048247E-2</v>
      </c>
      <c r="F437" s="73">
        <v>4.45200148057614E-4</v>
      </c>
      <c r="G437" s="73">
        <v>0.22254138955512401</v>
      </c>
      <c r="H437" s="73">
        <v>-7.2214816658394403E-5</v>
      </c>
      <c r="I437" s="73">
        <v>0.16078202765685601</v>
      </c>
      <c r="J437" s="73">
        <v>1.9310977232353801</v>
      </c>
      <c r="K437" s="73"/>
      <c r="L437" s="73"/>
      <c r="M437" s="73"/>
      <c r="O437" s="13">
        <f t="shared" ca="1" si="200"/>
        <v>2.454524759489343E-5</v>
      </c>
      <c r="P437" s="13">
        <f t="shared" ca="1" si="201"/>
        <v>9.9715281283324263E-6</v>
      </c>
      <c r="Q437" s="13">
        <f t="shared" ca="1" si="202"/>
        <v>1.1324901586852015E-2</v>
      </c>
      <c r="R437" s="13">
        <f t="shared" ca="1" si="203"/>
        <v>4.3542386916693287E-4</v>
      </c>
      <c r="S437" s="13">
        <f t="shared" ca="1" si="204"/>
        <v>0.22140631092188265</v>
      </c>
      <c r="T437" s="13">
        <f t="shared" ca="1" si="205"/>
        <v>-7.2564638169418492E-5</v>
      </c>
      <c r="U437" s="13">
        <f t="shared" ca="1" si="206"/>
        <v>0.16012818366206749</v>
      </c>
      <c r="V437" s="13">
        <f t="shared" ca="1" si="207"/>
        <v>1.923958942312926</v>
      </c>
      <c r="X437" s="3">
        <f t="shared" ca="1" si="208"/>
        <v>2.454524759489343E-5</v>
      </c>
      <c r="Y437" s="3">
        <f t="shared" ca="1" si="209"/>
        <v>9.9715281283324263E-6</v>
      </c>
      <c r="Z437" s="3">
        <f t="shared" ca="1" si="210"/>
        <v>1.1324901586852015E-2</v>
      </c>
      <c r="AA437" s="3">
        <f t="shared" ca="1" si="211"/>
        <v>4.3542386916693287E-4</v>
      </c>
      <c r="AB437" s="3">
        <f t="shared" ca="1" si="212"/>
        <v>0.22140631092188265</v>
      </c>
      <c r="AC437" s="3">
        <f t="shared" ca="1" si="213"/>
        <v>-7.2564638169418492E-5</v>
      </c>
      <c r="AD437" s="3">
        <f t="shared" ca="1" si="214"/>
        <v>0.16012818366206749</v>
      </c>
      <c r="AE437" s="3">
        <f t="shared" ca="1" si="215"/>
        <v>1.923958942312926</v>
      </c>
      <c r="AG437" s="3">
        <f t="shared" ca="1" si="216"/>
        <v>2.454524759489343E-5</v>
      </c>
      <c r="AH437" s="3">
        <f t="shared" ca="1" si="217"/>
        <v>9.9715281283324263E-6</v>
      </c>
      <c r="AI437" s="3">
        <f t="shared" ca="1" si="218"/>
        <v>1.131686957383618E-2</v>
      </c>
      <c r="AJ437" s="3">
        <f t="shared" ca="1" si="219"/>
        <v>4.3098856998245938E-4</v>
      </c>
      <c r="AK437" s="3">
        <f t="shared" ca="1" si="220"/>
        <v>0.22140631092188265</v>
      </c>
      <c r="AL437" s="3">
        <f t="shared" ca="1" si="221"/>
        <v>-7.2564638169418492E-5</v>
      </c>
      <c r="AM437" s="3">
        <f t="shared" ca="1" si="222"/>
        <v>0.16012818366206749</v>
      </c>
      <c r="AN437" s="3">
        <f t="shared" ca="1" si="223"/>
        <v>1.923958942312926</v>
      </c>
      <c r="AP437" s="3">
        <f t="shared" ca="1" si="224"/>
        <v>8.6897204253213172</v>
      </c>
      <c r="AQ437" s="3">
        <f t="shared" ca="1" si="231"/>
        <v>0.40032730852775011</v>
      </c>
      <c r="AR437" s="3">
        <f t="shared" ca="1" si="225"/>
        <v>1.7431206561233743E-4</v>
      </c>
      <c r="AS437" s="3">
        <f t="shared" ca="1" si="226"/>
        <v>0.15995387159645516</v>
      </c>
      <c r="AT437" s="3">
        <f t="shared" ca="1" si="227"/>
        <v>0.70915661146061471</v>
      </c>
      <c r="AU437" s="3">
        <f t="shared" ca="1" si="228"/>
        <v>5.3116180130424261E-2</v>
      </c>
      <c r="AV437" s="10">
        <f t="shared" ca="1" si="232"/>
        <v>0.70915661146061471</v>
      </c>
      <c r="AW437" s="10">
        <f t="shared" ca="1" si="233"/>
        <v>0.70915661146061471</v>
      </c>
      <c r="AY437" s="3">
        <f t="shared" ca="1" si="239"/>
        <v>8.6897204253213172</v>
      </c>
      <c r="AZ437" s="3">
        <f t="shared" ca="1" si="234"/>
        <v>0.40032730852775011</v>
      </c>
      <c r="BA437" s="3">
        <f t="shared" ca="1" si="229"/>
        <v>1.7253649422730184E-4</v>
      </c>
      <c r="BB437" s="3">
        <f t="shared" ca="1" si="235"/>
        <v>0.15995564716784019</v>
      </c>
      <c r="BC437" s="3">
        <f t="shared" ca="1" si="236"/>
        <v>0.70916448346880212</v>
      </c>
      <c r="BD437" s="3">
        <f t="shared" ca="1" si="230"/>
        <v>5.3078508293111844E-2</v>
      </c>
      <c r="BE437" s="3">
        <f t="shared" ca="1" si="237"/>
        <v>0.70916448346880212</v>
      </c>
      <c r="BF437" s="3">
        <f t="shared" ca="1" si="238"/>
        <v>0.70916448346880212</v>
      </c>
    </row>
    <row r="438" spans="1:58" ht="15" x14ac:dyDescent="0.25">
      <c r="A438" s="72">
        <v>372</v>
      </c>
      <c r="B438" s="72">
        <v>1498730315.473</v>
      </c>
      <c r="C438" s="73">
        <v>3.9653458562484298E-4</v>
      </c>
      <c r="D438" s="73">
        <v>1.14572645744603E-4</v>
      </c>
      <c r="E438" s="73">
        <v>1.30875403820586E-2</v>
      </c>
      <c r="F438" s="73">
        <v>4.9757060753857004E-4</v>
      </c>
      <c r="G438" s="73">
        <v>0.23864286971514301</v>
      </c>
      <c r="H438" s="73">
        <v>6.6311177377510203E-6</v>
      </c>
      <c r="I438" s="73">
        <v>0.172219310753777</v>
      </c>
      <c r="J438" s="73">
        <v>2.0692399406474302</v>
      </c>
      <c r="K438" s="73"/>
      <c r="L438" s="73"/>
      <c r="M438" s="73"/>
      <c r="O438" s="13">
        <f t="shared" ca="1" si="200"/>
        <v>1.318473563532814E-4</v>
      </c>
      <c r="P438" s="13">
        <f t="shared" ca="1" si="201"/>
        <v>1.0328517035976282E-4</v>
      </c>
      <c r="Q438" s="13">
        <f t="shared" ca="1" si="202"/>
        <v>1.2246800764085915E-2</v>
      </c>
      <c r="R438" s="13">
        <f t="shared" ca="1" si="203"/>
        <v>4.877943286478889E-4</v>
      </c>
      <c r="S438" s="13">
        <f t="shared" ca="1" si="204"/>
        <v>0.23750779108190165</v>
      </c>
      <c r="T438" s="13">
        <f t="shared" ca="1" si="205"/>
        <v>6.2812962267269338E-6</v>
      </c>
      <c r="U438" s="13">
        <f t="shared" ca="1" si="206"/>
        <v>0.17156546675898848</v>
      </c>
      <c r="V438" s="13">
        <f t="shared" ca="1" si="207"/>
        <v>2.0621011597249761</v>
      </c>
      <c r="X438" s="3">
        <f t="shared" ca="1" si="208"/>
        <v>1.318473563532814E-4</v>
      </c>
      <c r="Y438" s="3">
        <f t="shared" ca="1" si="209"/>
        <v>1.0328517035976282E-4</v>
      </c>
      <c r="Z438" s="3">
        <f t="shared" ca="1" si="210"/>
        <v>1.2246752707469437E-2</v>
      </c>
      <c r="AA438" s="3">
        <f t="shared" ca="1" si="211"/>
        <v>4.8663114008997424E-4</v>
      </c>
      <c r="AB438" s="3">
        <f t="shared" ca="1" si="212"/>
        <v>0.23749933202520582</v>
      </c>
      <c r="AC438" s="3">
        <f t="shared" ca="1" si="213"/>
        <v>6.2812962267269338E-6</v>
      </c>
      <c r="AD438" s="3">
        <f t="shared" ca="1" si="214"/>
        <v>0.17155297476919398</v>
      </c>
      <c r="AE438" s="3">
        <f t="shared" ca="1" si="215"/>
        <v>2.0620960907661194</v>
      </c>
      <c r="AG438" s="3">
        <f t="shared" ca="1" si="216"/>
        <v>1.318473563532814E-4</v>
      </c>
      <c r="AH438" s="3">
        <f t="shared" ca="1" si="217"/>
        <v>1.0328517035976282E-4</v>
      </c>
      <c r="AI438" s="3">
        <f t="shared" ca="1" si="218"/>
        <v>1.2163557050595627E-2</v>
      </c>
      <c r="AJ438" s="3">
        <f t="shared" ca="1" si="219"/>
        <v>4.4069027466100909E-4</v>
      </c>
      <c r="AK438" s="3">
        <f t="shared" ca="1" si="220"/>
        <v>0.23749933202520582</v>
      </c>
      <c r="AL438" s="3">
        <f t="shared" ca="1" si="221"/>
        <v>6.2812962267269338E-6</v>
      </c>
      <c r="AM438" s="3">
        <f t="shared" ca="1" si="222"/>
        <v>0.17155297476919398</v>
      </c>
      <c r="AN438" s="3">
        <f t="shared" ca="1" si="223"/>
        <v>2.0620960907661194</v>
      </c>
      <c r="AP438" s="3">
        <f t="shared" ca="1" si="224"/>
        <v>8.6822463816097972</v>
      </c>
      <c r="AQ438" s="3">
        <f t="shared" ca="1" si="231"/>
        <v>0.39997881191823537</v>
      </c>
      <c r="AR438" s="3">
        <f t="shared" ca="1" si="225"/>
        <v>1.9510739603303585E-4</v>
      </c>
      <c r="AS438" s="3">
        <f t="shared" ca="1" si="226"/>
        <v>0.17137035936295544</v>
      </c>
      <c r="AT438" s="3">
        <f t="shared" ca="1" si="227"/>
        <v>0.70857109871744384</v>
      </c>
      <c r="AU438" s="3">
        <f t="shared" ca="1" si="228"/>
        <v>5.3498893449322037E-2</v>
      </c>
      <c r="AV438" s="10">
        <f t="shared" ca="1" si="232"/>
        <v>0.70857109871744384</v>
      </c>
      <c r="AW438" s="10">
        <f t="shared" ca="1" si="233"/>
        <v>0.70857109871744384</v>
      </c>
      <c r="AY438" s="3">
        <f t="shared" ca="1" si="239"/>
        <v>8.682534275705958</v>
      </c>
      <c r="AZ438" s="3">
        <f t="shared" ca="1" si="234"/>
        <v>0.39999223565735675</v>
      </c>
      <c r="BA438" s="3">
        <f t="shared" ca="1" si="229"/>
        <v>1.7627268819411161E-4</v>
      </c>
      <c r="BB438" s="3">
        <f t="shared" ca="1" si="235"/>
        <v>0.17137670208099987</v>
      </c>
      <c r="BC438" s="3">
        <f t="shared" ca="1" si="236"/>
        <v>0.70861072969354011</v>
      </c>
      <c r="BD438" s="3">
        <f t="shared" ca="1" si="230"/>
        <v>5.3138947288757094E-2</v>
      </c>
      <c r="BE438" s="3">
        <f t="shared" ca="1" si="237"/>
        <v>0.70861072969354011</v>
      </c>
      <c r="BF438" s="3">
        <f t="shared" ca="1" si="238"/>
        <v>0.70861072969354011</v>
      </c>
    </row>
    <row r="439" spans="1:58" ht="15" x14ac:dyDescent="0.25">
      <c r="A439" s="72">
        <v>373</v>
      </c>
      <c r="B439" s="72">
        <v>1498730315.9990001</v>
      </c>
      <c r="C439" s="73">
        <v>2.3189838249243E-4</v>
      </c>
      <c r="D439" s="73">
        <v>-7.7242332284052301E-5</v>
      </c>
      <c r="E439" s="73">
        <v>1.3626567236163799E-2</v>
      </c>
      <c r="F439" s="73">
        <v>4.0306772606796699E-4</v>
      </c>
      <c r="G439" s="73">
        <v>0.25312576596764502</v>
      </c>
      <c r="H439" s="73">
        <v>1.6907666804455299E-5</v>
      </c>
      <c r="I439" s="73">
        <v>0.182839398345052</v>
      </c>
      <c r="J439" s="73">
        <v>2.1950451210496</v>
      </c>
      <c r="K439" s="73"/>
      <c r="L439" s="73"/>
      <c r="M439" s="73"/>
      <c r="O439" s="13">
        <f t="shared" ca="1" si="200"/>
        <v>-3.278884677913158E-5</v>
      </c>
      <c r="P439" s="13">
        <f t="shared" ca="1" si="201"/>
        <v>-8.8529807668892479E-5</v>
      </c>
      <c r="Q439" s="13">
        <f t="shared" ca="1" si="202"/>
        <v>1.2785827618191114E-2</v>
      </c>
      <c r="R439" s="13">
        <f t="shared" ca="1" si="203"/>
        <v>3.9329144717728585E-4</v>
      </c>
      <c r="S439" s="13">
        <f t="shared" ca="1" si="204"/>
        <v>0.25199068733440366</v>
      </c>
      <c r="T439" s="13">
        <f t="shared" ca="1" si="205"/>
        <v>1.6557845293431213E-5</v>
      </c>
      <c r="U439" s="13">
        <f t="shared" ca="1" si="206"/>
        <v>0.18218555435026348</v>
      </c>
      <c r="V439" s="13">
        <f t="shared" ca="1" si="207"/>
        <v>2.1879063401271459</v>
      </c>
      <c r="X439" s="3">
        <f t="shared" ca="1" si="208"/>
        <v>-3.278884677913158E-5</v>
      </c>
      <c r="Y439" s="3">
        <f t="shared" ca="1" si="209"/>
        <v>-8.8529807668892479E-5</v>
      </c>
      <c r="Z439" s="3">
        <f t="shared" ca="1" si="210"/>
        <v>1.2785700938284255E-2</v>
      </c>
      <c r="AA439" s="3">
        <f t="shared" ca="1" si="211"/>
        <v>3.9022521761353923E-4</v>
      </c>
      <c r="AB439" s="3">
        <f t="shared" ca="1" si="212"/>
        <v>0.25196838879170769</v>
      </c>
      <c r="AC439" s="3">
        <f t="shared" ca="1" si="213"/>
        <v>1.6557845293431213E-5</v>
      </c>
      <c r="AD439" s="3">
        <f t="shared" ca="1" si="214"/>
        <v>0.18215262477220212</v>
      </c>
      <c r="AE439" s="3">
        <f t="shared" ca="1" si="215"/>
        <v>2.1878929780704119</v>
      </c>
      <c r="AG439" s="3">
        <f t="shared" ca="1" si="216"/>
        <v>-3.278884677913158E-5</v>
      </c>
      <c r="AH439" s="3">
        <f t="shared" ca="1" si="217"/>
        <v>-8.8529807668892479E-5</v>
      </c>
      <c r="AI439" s="3">
        <f t="shared" ca="1" si="218"/>
        <v>1.2785700938284255E-2</v>
      </c>
      <c r="AJ439" s="3">
        <f t="shared" ca="1" si="219"/>
        <v>3.9022521761353923E-4</v>
      </c>
      <c r="AK439" s="3">
        <f t="shared" ca="1" si="220"/>
        <v>0.25196838879170769</v>
      </c>
      <c r="AL439" s="3">
        <f t="shared" ca="1" si="221"/>
        <v>1.6557845293431213E-5</v>
      </c>
      <c r="AM439" s="3">
        <f t="shared" ca="1" si="222"/>
        <v>0.18215262477220212</v>
      </c>
      <c r="AN439" s="3">
        <f t="shared" ca="1" si="223"/>
        <v>2.1878929780704119</v>
      </c>
      <c r="AP439" s="3">
        <f t="shared" ca="1" si="224"/>
        <v>8.6824888779468665</v>
      </c>
      <c r="AQ439" s="3">
        <f t="shared" ca="1" si="231"/>
        <v>0.39999011887974273</v>
      </c>
      <c r="AR439" s="3">
        <f t="shared" ca="1" si="225"/>
        <v>1.5731269271082864E-4</v>
      </c>
      <c r="AS439" s="3">
        <f t="shared" ca="1" si="226"/>
        <v>0.18202824165755266</v>
      </c>
      <c r="AT439" s="3">
        <f t="shared" ca="1" si="227"/>
        <v>0.70937154197293661</v>
      </c>
      <c r="AU439" s="3">
        <f t="shared" ca="1" si="228"/>
        <v>5.264495669499894E-2</v>
      </c>
      <c r="AV439" s="10">
        <f t="shared" ca="1" si="232"/>
        <v>0.70937154197293661</v>
      </c>
      <c r="AW439" s="10">
        <f t="shared" ca="1" si="233"/>
        <v>0.70937154197293661</v>
      </c>
      <c r="AY439" s="3">
        <f t="shared" ca="1" si="239"/>
        <v>8.6832042247928829</v>
      </c>
      <c r="AZ439" s="3">
        <f t="shared" ca="1" si="234"/>
        <v>0.40002347362959711</v>
      </c>
      <c r="BA439" s="3">
        <f t="shared" ca="1" si="229"/>
        <v>1.5609924704763342E-4</v>
      </c>
      <c r="BB439" s="3">
        <f t="shared" ca="1" si="235"/>
        <v>0.1819965255251545</v>
      </c>
      <c r="BC439" s="3">
        <f t="shared" ca="1" si="236"/>
        <v>0.70928128140295887</v>
      </c>
      <c r="BD439" s="3">
        <f t="shared" ca="1" si="230"/>
        <v>5.265353258882903E-2</v>
      </c>
      <c r="BE439" s="3">
        <f t="shared" ca="1" si="237"/>
        <v>0.70928128140295887</v>
      </c>
      <c r="BF439" s="3">
        <f t="shared" ca="1" si="238"/>
        <v>0.70928128140295887</v>
      </c>
    </row>
    <row r="440" spans="1:58" ht="15" x14ac:dyDescent="0.25">
      <c r="A440" s="72">
        <v>374</v>
      </c>
      <c r="B440" s="72">
        <v>1498730316.526</v>
      </c>
      <c r="C440" s="73">
        <v>2.11201820989177E-4</v>
      </c>
      <c r="D440" s="73">
        <v>3.2597914409521002E-5</v>
      </c>
      <c r="E440" s="73">
        <v>1.4037780316286001E-2</v>
      </c>
      <c r="F440" s="73">
        <v>4.73765512844254E-4</v>
      </c>
      <c r="G440" s="73">
        <v>0.25831460706737303</v>
      </c>
      <c r="H440" s="73">
        <v>6.9145944655922899E-6</v>
      </c>
      <c r="I440" s="73">
        <v>0.186711196768201</v>
      </c>
      <c r="J440" s="73">
        <v>2.2442264502636702</v>
      </c>
      <c r="K440" s="73"/>
      <c r="L440" s="73"/>
      <c r="M440" s="73"/>
      <c r="O440" s="13">
        <f t="shared" ca="1" si="200"/>
        <v>-5.3485408282384579E-5</v>
      </c>
      <c r="P440" s="13">
        <f t="shared" ca="1" si="201"/>
        <v>2.1310439024680831E-5</v>
      </c>
      <c r="Q440" s="13">
        <f t="shared" ca="1" si="202"/>
        <v>1.3197040698313315E-2</v>
      </c>
      <c r="R440" s="13">
        <f t="shared" ca="1" si="203"/>
        <v>4.6398923395357287E-4</v>
      </c>
      <c r="S440" s="13">
        <f t="shared" ca="1" si="204"/>
        <v>0.25717952843413167</v>
      </c>
      <c r="T440" s="13">
        <f t="shared" ca="1" si="205"/>
        <v>6.5647729545682034E-6</v>
      </c>
      <c r="U440" s="13">
        <f t="shared" ca="1" si="206"/>
        <v>0.18605735277341248</v>
      </c>
      <c r="V440" s="13">
        <f t="shared" ca="1" si="207"/>
        <v>2.2370876693412161</v>
      </c>
      <c r="X440" s="3">
        <f t="shared" ca="1" si="208"/>
        <v>-5.3485408282384579E-5</v>
      </c>
      <c r="Y440" s="3">
        <f t="shared" ca="1" si="209"/>
        <v>2.1310439024680831E-5</v>
      </c>
      <c r="Z440" s="3">
        <f t="shared" ca="1" si="210"/>
        <v>1.3196990472887742E-2</v>
      </c>
      <c r="AA440" s="3">
        <f t="shared" ca="1" si="211"/>
        <v>4.6277355035731613E-4</v>
      </c>
      <c r="AB440" s="3">
        <f t="shared" ca="1" si="212"/>
        <v>0.25717068761774386</v>
      </c>
      <c r="AC440" s="3">
        <f t="shared" ca="1" si="213"/>
        <v>6.5647729545682034E-6</v>
      </c>
      <c r="AD440" s="3">
        <f t="shared" ca="1" si="214"/>
        <v>0.18604429701648084</v>
      </c>
      <c r="AE440" s="3">
        <f t="shared" ca="1" si="215"/>
        <v>2.2370823716187704</v>
      </c>
      <c r="AG440" s="3">
        <f t="shared" ca="1" si="216"/>
        <v>-5.3485408282384579E-5</v>
      </c>
      <c r="AH440" s="3">
        <f t="shared" ca="1" si="217"/>
        <v>2.1310439024680831E-5</v>
      </c>
      <c r="AI440" s="3">
        <f t="shared" ca="1" si="218"/>
        <v>1.3179825027289383E-2</v>
      </c>
      <c r="AJ440" s="3">
        <f t="shared" ca="1" si="219"/>
        <v>4.5329474514205719E-4</v>
      </c>
      <c r="AK440" s="3">
        <f t="shared" ca="1" si="220"/>
        <v>0.25717068761774386</v>
      </c>
      <c r="AL440" s="3">
        <f t="shared" ca="1" si="221"/>
        <v>6.5647729545682034E-6</v>
      </c>
      <c r="AM440" s="3">
        <f t="shared" ca="1" si="222"/>
        <v>0.18604429701648084</v>
      </c>
      <c r="AN440" s="3">
        <f t="shared" ca="1" si="223"/>
        <v>2.2370823716187704</v>
      </c>
      <c r="AP440" s="3">
        <f t="shared" ca="1" si="224"/>
        <v>8.6985448762659772</v>
      </c>
      <c r="AQ440" s="3">
        <f t="shared" ca="1" si="231"/>
        <v>0.40073877604543912</v>
      </c>
      <c r="AR440" s="3">
        <f t="shared" ca="1" si="225"/>
        <v>1.859384777128157E-4</v>
      </c>
      <c r="AS440" s="3">
        <f t="shared" ca="1" si="226"/>
        <v>0.18587141429569967</v>
      </c>
      <c r="AT440" s="3">
        <f t="shared" ca="1" si="227"/>
        <v>0.70907409166582491</v>
      </c>
      <c r="AU440" s="3">
        <f t="shared" ca="1" si="228"/>
        <v>5.3342529692067042E-2</v>
      </c>
      <c r="AV440" s="10">
        <f t="shared" ca="1" si="232"/>
        <v>0.70907409166582491</v>
      </c>
      <c r="AW440" s="10">
        <f t="shared" ca="1" si="233"/>
        <v>0.70907409166582491</v>
      </c>
      <c r="AY440" s="3">
        <f t="shared" ca="1" si="239"/>
        <v>8.6988233081366921</v>
      </c>
      <c r="AZ440" s="3">
        <f t="shared" ca="1" si="234"/>
        <v>0.40075175888127934</v>
      </c>
      <c r="BA440" s="3">
        <f t="shared" ca="1" si="229"/>
        <v>1.8165866640732067E-4</v>
      </c>
      <c r="BB440" s="3">
        <f t="shared" ca="1" si="235"/>
        <v>0.18586263835007352</v>
      </c>
      <c r="BC440" s="3">
        <f t="shared" ca="1" si="236"/>
        <v>0.70905355796731817</v>
      </c>
      <c r="BD440" s="3">
        <f t="shared" ca="1" si="230"/>
        <v>5.3276520129412953E-2</v>
      </c>
      <c r="BE440" s="3">
        <f t="shared" ca="1" si="237"/>
        <v>0.70905355796731817</v>
      </c>
      <c r="BF440" s="3">
        <f t="shared" ca="1" si="238"/>
        <v>0.70905355796731817</v>
      </c>
    </row>
    <row r="441" spans="1:58" ht="15" x14ac:dyDescent="0.25">
      <c r="A441" s="72">
        <v>375</v>
      </c>
      <c r="B441" s="72">
        <v>1498730317.053</v>
      </c>
      <c r="C441" s="73">
        <v>2.2714051428953001E-4</v>
      </c>
      <c r="D441" s="73">
        <v>-2.1496974078984199E-5</v>
      </c>
      <c r="E441" s="73">
        <v>1.28350004979785E-2</v>
      </c>
      <c r="F441" s="73">
        <v>5.16377033476784E-4</v>
      </c>
      <c r="G441" s="73">
        <v>0.23675236249656201</v>
      </c>
      <c r="H441" s="73">
        <v>-3.4393593636718498E-5</v>
      </c>
      <c r="I441" s="73">
        <v>0.17078690582808501</v>
      </c>
      <c r="J441" s="73">
        <v>2.0553113656174902</v>
      </c>
      <c r="K441" s="73"/>
      <c r="L441" s="73"/>
      <c r="M441" s="73"/>
      <c r="O441" s="13">
        <f t="shared" ca="1" si="200"/>
        <v>-3.754671498203157E-5</v>
      </c>
      <c r="P441" s="13">
        <f t="shared" ca="1" si="201"/>
        <v>-3.2784449463824371E-5</v>
      </c>
      <c r="Q441" s="13">
        <f t="shared" ca="1" si="202"/>
        <v>1.1994260880005814E-2</v>
      </c>
      <c r="R441" s="13">
        <f t="shared" ca="1" si="203"/>
        <v>5.0660075458610287E-4</v>
      </c>
      <c r="S441" s="13">
        <f t="shared" ca="1" si="204"/>
        <v>0.23561728386332065</v>
      </c>
      <c r="T441" s="13">
        <f t="shared" ca="1" si="205"/>
        <v>-3.4743415147742588E-5</v>
      </c>
      <c r="U441" s="13">
        <f t="shared" ca="1" si="206"/>
        <v>0.17013306183329649</v>
      </c>
      <c r="V441" s="13">
        <f t="shared" ca="1" si="207"/>
        <v>2.048172584695036</v>
      </c>
      <c r="X441" s="3">
        <f t="shared" ca="1" si="208"/>
        <v>-3.754671498203157E-5</v>
      </c>
      <c r="Y441" s="3">
        <f t="shared" ca="1" si="209"/>
        <v>-3.2784449463824371E-5</v>
      </c>
      <c r="Z441" s="3">
        <f t="shared" ca="1" si="210"/>
        <v>1.1994260880005814E-2</v>
      </c>
      <c r="AA441" s="3">
        <f t="shared" ca="1" si="211"/>
        <v>5.0660075458610287E-4</v>
      </c>
      <c r="AB441" s="3">
        <f t="shared" ca="1" si="212"/>
        <v>0.23561728386332065</v>
      </c>
      <c r="AC441" s="3">
        <f t="shared" ca="1" si="213"/>
        <v>-3.4743415147742588E-5</v>
      </c>
      <c r="AD441" s="3">
        <f t="shared" ca="1" si="214"/>
        <v>0.17013306183329649</v>
      </c>
      <c r="AE441" s="3">
        <f t="shared" ca="1" si="215"/>
        <v>2.048172584695036</v>
      </c>
      <c r="AG441" s="3">
        <f t="shared" ca="1" si="216"/>
        <v>-3.754671498203157E-5</v>
      </c>
      <c r="AH441" s="3">
        <f t="shared" ca="1" si="217"/>
        <v>-3.2784449463824371E-5</v>
      </c>
      <c r="AI441" s="3">
        <f t="shared" ca="1" si="218"/>
        <v>1.1994260880005814E-2</v>
      </c>
      <c r="AJ441" s="3">
        <f t="shared" ca="1" si="219"/>
        <v>5.0660075458610287E-4</v>
      </c>
      <c r="AK441" s="3">
        <f t="shared" ca="1" si="220"/>
        <v>0.23561728386332065</v>
      </c>
      <c r="AL441" s="3">
        <f t="shared" ca="1" si="221"/>
        <v>-3.4743415147742588E-5</v>
      </c>
      <c r="AM441" s="3">
        <f t="shared" ca="1" si="222"/>
        <v>0.17013306183329649</v>
      </c>
      <c r="AN441" s="3">
        <f t="shared" ca="1" si="223"/>
        <v>2.048172584695036</v>
      </c>
      <c r="AP441" s="3">
        <f t="shared" ca="1" si="224"/>
        <v>8.692794310807697</v>
      </c>
      <c r="AQ441" s="3">
        <f t="shared" ca="1" si="231"/>
        <v>0.40047063744023031</v>
      </c>
      <c r="AR441" s="3">
        <f t="shared" ca="1" si="225"/>
        <v>2.0287872711679831E-4</v>
      </c>
      <c r="AS441" s="3">
        <f t="shared" ca="1" si="226"/>
        <v>0.16993018310617969</v>
      </c>
      <c r="AT441" s="3">
        <f t="shared" ca="1" si="227"/>
        <v>0.70782096853108134</v>
      </c>
      <c r="AU441" s="3">
        <f t="shared" ca="1" si="228"/>
        <v>5.2881761137142075E-2</v>
      </c>
      <c r="AV441" s="10" t="str">
        <f t="shared" ca="1" si="232"/>
        <v>rejected</v>
      </c>
      <c r="AW441" s="10" t="e">
        <f t="shared" ca="1" si="233"/>
        <v>#N/A</v>
      </c>
      <c r="AY441" s="3">
        <f t="shared" ca="1" si="239"/>
        <v>8.692794310807697</v>
      </c>
      <c r="AZ441" s="3">
        <f t="shared" ca="1" si="234"/>
        <v>0.40047063744023031</v>
      </c>
      <c r="BA441" s="3">
        <f t="shared" ca="1" si="229"/>
        <v>2.0287872711679831E-4</v>
      </c>
      <c r="BB441" s="3">
        <f t="shared" ca="1" si="235"/>
        <v>0.16993018310617969</v>
      </c>
      <c r="BC441" s="3">
        <f t="shared" ca="1" si="236"/>
        <v>0.70782096853108134</v>
      </c>
      <c r="BD441" s="3">
        <f t="shared" ca="1" si="230"/>
        <v>5.2881761137142075E-2</v>
      </c>
      <c r="BE441" s="3" t="str">
        <f t="shared" ca="1" si="237"/>
        <v>rejected</v>
      </c>
      <c r="BF441" s="3" t="e">
        <f t="shared" ca="1" si="238"/>
        <v>#N/A</v>
      </c>
    </row>
    <row r="442" spans="1:58" ht="15" x14ac:dyDescent="0.25">
      <c r="A442" s="72">
        <v>376</v>
      </c>
      <c r="B442" s="72">
        <v>1498730317.5799999</v>
      </c>
      <c r="C442" s="73">
        <v>2.5116798054822801E-4</v>
      </c>
      <c r="D442" s="73">
        <v>-1.4646692782986401E-5</v>
      </c>
      <c r="E442" s="73">
        <v>1.4474017613345399E-2</v>
      </c>
      <c r="F442" s="73">
        <v>5.9946282345394299E-4</v>
      </c>
      <c r="G442" s="73">
        <v>0.26854527223541302</v>
      </c>
      <c r="H442" s="73">
        <v>3.3777690223085201E-5</v>
      </c>
      <c r="I442" s="73">
        <v>0.19374174493501001</v>
      </c>
      <c r="J442" s="73">
        <v>2.3263932114296302</v>
      </c>
      <c r="K442" s="73"/>
      <c r="L442" s="73"/>
      <c r="M442" s="73"/>
      <c r="O442" s="13">
        <f t="shared" ca="1" si="200"/>
        <v>-1.3519248723333572E-5</v>
      </c>
      <c r="P442" s="13">
        <f t="shared" ca="1" si="201"/>
        <v>-2.5934168167826574E-5</v>
      </c>
      <c r="Q442" s="13">
        <f t="shared" ca="1" si="202"/>
        <v>1.3633277995372714E-2</v>
      </c>
      <c r="R442" s="13">
        <f t="shared" ca="1" si="203"/>
        <v>5.8968654456326185E-4</v>
      </c>
      <c r="S442" s="13">
        <f t="shared" ca="1" si="204"/>
        <v>0.26741019360217166</v>
      </c>
      <c r="T442" s="13">
        <f t="shared" ca="1" si="205"/>
        <v>3.3427868712061111E-5</v>
      </c>
      <c r="U442" s="13">
        <f t="shared" ca="1" si="206"/>
        <v>0.19308790094022149</v>
      </c>
      <c r="V442" s="13">
        <f t="shared" ca="1" si="207"/>
        <v>2.3192544305071761</v>
      </c>
      <c r="X442" s="3">
        <f t="shared" ca="1" si="208"/>
        <v>-1.3519248723333572E-5</v>
      </c>
      <c r="Y442" s="3">
        <f t="shared" ca="1" si="209"/>
        <v>-2.5934168167826574E-5</v>
      </c>
      <c r="Z442" s="3">
        <f t="shared" ca="1" si="210"/>
        <v>1.3633022247162733E-2</v>
      </c>
      <c r="AA442" s="3">
        <f t="shared" ca="1" si="211"/>
        <v>5.8349627538985531E-4</v>
      </c>
      <c r="AB442" s="3">
        <f t="shared" ca="1" si="212"/>
        <v>0.26736517610475569</v>
      </c>
      <c r="AC442" s="3">
        <f t="shared" ca="1" si="213"/>
        <v>3.3427868712061111E-5</v>
      </c>
      <c r="AD442" s="3">
        <f t="shared" ca="1" si="214"/>
        <v>0.19302142093677468</v>
      </c>
      <c r="AE442" s="3">
        <f t="shared" ca="1" si="215"/>
        <v>2.3192274544683067</v>
      </c>
      <c r="AG442" s="3">
        <f t="shared" ca="1" si="216"/>
        <v>-1.3519248723333572E-5</v>
      </c>
      <c r="AH442" s="3">
        <f t="shared" ca="1" si="217"/>
        <v>-2.5934168167826574E-5</v>
      </c>
      <c r="AI442" s="3">
        <f t="shared" ca="1" si="218"/>
        <v>1.3633022247162733E-2</v>
      </c>
      <c r="AJ442" s="3">
        <f t="shared" ca="1" si="219"/>
        <v>5.8349627538985531E-4</v>
      </c>
      <c r="AK442" s="3">
        <f t="shared" ca="1" si="220"/>
        <v>0.26736517610475569</v>
      </c>
      <c r="AL442" s="3">
        <f t="shared" ca="1" si="221"/>
        <v>3.3427868712061111E-5</v>
      </c>
      <c r="AM442" s="3">
        <f t="shared" ca="1" si="222"/>
        <v>0.19302142093677468</v>
      </c>
      <c r="AN442" s="3">
        <f t="shared" ca="1" si="223"/>
        <v>2.3192274544683067</v>
      </c>
      <c r="AP442" s="3">
        <f t="shared" ca="1" si="224"/>
        <v>8.6730217695348966</v>
      </c>
      <c r="AQ442" s="3">
        <f t="shared" ca="1" si="231"/>
        <v>0.39954869555042932</v>
      </c>
      <c r="AR442" s="3">
        <f t="shared" ca="1" si="225"/>
        <v>2.3560848966389138E-4</v>
      </c>
      <c r="AS442" s="3">
        <f t="shared" ca="1" si="226"/>
        <v>0.1928522924505576</v>
      </c>
      <c r="AT442" s="3">
        <f t="shared" ca="1" si="227"/>
        <v>0.70860616810757704</v>
      </c>
      <c r="AU442" s="3">
        <f t="shared" ca="1" si="228"/>
        <v>5.2838433772038534E-2</v>
      </c>
      <c r="AV442" s="10">
        <f t="shared" ca="1" si="232"/>
        <v>0.70860616810757704</v>
      </c>
      <c r="AW442" s="10">
        <f t="shared" ca="1" si="233"/>
        <v>0.70860616810757704</v>
      </c>
      <c r="AY442" s="3">
        <f t="shared" ca="1" si="239"/>
        <v>8.6743811900156214</v>
      </c>
      <c r="AZ442" s="3">
        <f t="shared" ca="1" si="234"/>
        <v>0.39961208095682105</v>
      </c>
      <c r="BA442" s="3">
        <f t="shared" ca="1" si="229"/>
        <v>2.331721608390944E-4</v>
      </c>
      <c r="BB442" s="3">
        <f t="shared" ca="1" si="235"/>
        <v>0.19278824877593559</v>
      </c>
      <c r="BC442" s="3">
        <f t="shared" ca="1" si="236"/>
        <v>0.70843420382098576</v>
      </c>
      <c r="BD442" s="3">
        <f t="shared" ca="1" si="230"/>
        <v>5.2854814857984093E-2</v>
      </c>
      <c r="BE442" s="3">
        <f t="shared" ca="1" si="237"/>
        <v>0.70843420382098576</v>
      </c>
      <c r="BF442" s="3">
        <f t="shared" ca="1" si="238"/>
        <v>0.70843420382098576</v>
      </c>
    </row>
    <row r="443" spans="1:58" ht="15" x14ac:dyDescent="0.25">
      <c r="A443" s="72">
        <v>377</v>
      </c>
      <c r="B443" s="72">
        <v>1498730318.1070001</v>
      </c>
      <c r="C443" s="73">
        <v>2.8566386869770201E-4</v>
      </c>
      <c r="D443" s="73">
        <v>3.8503648490334003E-5</v>
      </c>
      <c r="E443" s="73">
        <v>1.41441682056764E-2</v>
      </c>
      <c r="F443" s="73">
        <v>4.5138924110442197E-4</v>
      </c>
      <c r="G443" s="73">
        <v>0.26232939260923999</v>
      </c>
      <c r="H443" s="73">
        <v>5.0626949692358201E-5</v>
      </c>
      <c r="I443" s="73">
        <v>0.18967329179189901</v>
      </c>
      <c r="J443" s="73">
        <v>2.28148933205448</v>
      </c>
      <c r="K443" s="73"/>
      <c r="L443" s="73"/>
      <c r="M443" s="73"/>
      <c r="O443" s="13">
        <f t="shared" ca="1" si="200"/>
        <v>2.0976639426140424E-5</v>
      </c>
      <c r="P443" s="13">
        <f t="shared" ca="1" si="201"/>
        <v>2.7216173105493832E-5</v>
      </c>
      <c r="Q443" s="13">
        <f t="shared" ca="1" si="202"/>
        <v>1.3303428587703715E-2</v>
      </c>
      <c r="R443" s="13">
        <f t="shared" ca="1" si="203"/>
        <v>4.4161296221374084E-4</v>
      </c>
      <c r="S443" s="13">
        <f t="shared" ca="1" si="204"/>
        <v>0.26119431397599863</v>
      </c>
      <c r="T443" s="13">
        <f t="shared" ca="1" si="205"/>
        <v>5.0277128181334111E-5</v>
      </c>
      <c r="U443" s="13">
        <f t="shared" ca="1" si="206"/>
        <v>0.1890194477971105</v>
      </c>
      <c r="V443" s="13">
        <f t="shared" ca="1" si="207"/>
        <v>2.2743505511320259</v>
      </c>
      <c r="X443" s="3">
        <f t="shared" ca="1" si="208"/>
        <v>2.0976639426140424E-5</v>
      </c>
      <c r="Y443" s="3">
        <f t="shared" ca="1" si="209"/>
        <v>2.7216173105493832E-5</v>
      </c>
      <c r="Z443" s="3">
        <f t="shared" ca="1" si="210"/>
        <v>1.3303043930050362E-2</v>
      </c>
      <c r="AA443" s="3">
        <f t="shared" ca="1" si="211"/>
        <v>4.323024985587239E-4</v>
      </c>
      <c r="AB443" s="3">
        <f t="shared" ca="1" si="212"/>
        <v>0.26112660548678912</v>
      </c>
      <c r="AC443" s="3">
        <f t="shared" ca="1" si="213"/>
        <v>5.0277128181334111E-5</v>
      </c>
      <c r="AD443" s="3">
        <f t="shared" ca="1" si="214"/>
        <v>0.18891945866278725</v>
      </c>
      <c r="AE443" s="3">
        <f t="shared" ca="1" si="215"/>
        <v>2.2743099778673721</v>
      </c>
      <c r="AG443" s="3">
        <f t="shared" ca="1" si="216"/>
        <v>2.0976639426140424E-5</v>
      </c>
      <c r="AH443" s="3">
        <f t="shared" ca="1" si="217"/>
        <v>2.7216173105493832E-5</v>
      </c>
      <c r="AI443" s="3">
        <f t="shared" ca="1" si="218"/>
        <v>1.3281121446975434E-2</v>
      </c>
      <c r="AJ443" s="3">
        <f t="shared" ca="1" si="219"/>
        <v>4.2019684445779391E-4</v>
      </c>
      <c r="AK443" s="3">
        <f t="shared" ca="1" si="220"/>
        <v>0.26112660548678912</v>
      </c>
      <c r="AL443" s="3">
        <f t="shared" ca="1" si="221"/>
        <v>5.0277128181334111E-5</v>
      </c>
      <c r="AM443" s="3">
        <f t="shared" ca="1" si="222"/>
        <v>0.18891945866278725</v>
      </c>
      <c r="AN443" s="3">
        <f t="shared" ca="1" si="223"/>
        <v>2.2743099778673721</v>
      </c>
      <c r="AP443" s="3">
        <f t="shared" ca="1" si="224"/>
        <v>8.7075040666506158</v>
      </c>
      <c r="AQ443" s="3">
        <f t="shared" ca="1" si="231"/>
        <v>0.40115653138868501</v>
      </c>
      <c r="AR443" s="3">
        <f t="shared" ca="1" si="225"/>
        <v>1.7715592413794669E-4</v>
      </c>
      <c r="AS443" s="3">
        <f t="shared" ca="1" si="226"/>
        <v>0.18884229187297255</v>
      </c>
      <c r="AT443" s="3">
        <f t="shared" ca="1" si="227"/>
        <v>0.70896665331141473</v>
      </c>
      <c r="AU443" s="3">
        <f t="shared" ca="1" si="228"/>
        <v>5.3001820128733113E-2</v>
      </c>
      <c r="AV443" s="10">
        <f t="shared" ca="1" si="232"/>
        <v>0.70896665331141473</v>
      </c>
      <c r="AW443" s="10">
        <f t="shared" ca="1" si="233"/>
        <v>0.70896665331141473</v>
      </c>
      <c r="AY443" s="3">
        <f t="shared" ca="1" si="239"/>
        <v>8.7096064900304988</v>
      </c>
      <c r="AZ443" s="3">
        <f t="shared" ca="1" si="234"/>
        <v>0.40125456539970039</v>
      </c>
      <c r="BA443" s="3">
        <f t="shared" ca="1" si="229"/>
        <v>1.686059022052376E-4</v>
      </c>
      <c r="BB443" s="3">
        <f t="shared" ca="1" si="235"/>
        <v>0.18875085276058201</v>
      </c>
      <c r="BC443" s="3">
        <f t="shared" ca="1" si="236"/>
        <v>0.70872093704434624</v>
      </c>
      <c r="BD443" s="3">
        <f t="shared" ca="1" si="230"/>
        <v>5.2939743144031381E-2</v>
      </c>
      <c r="BE443" s="3">
        <f t="shared" ca="1" si="237"/>
        <v>0.70872093704434624</v>
      </c>
      <c r="BF443" s="3">
        <f t="shared" ca="1" si="238"/>
        <v>0.70872093704434624</v>
      </c>
    </row>
    <row r="444" spans="1:58" ht="15" x14ac:dyDescent="0.25">
      <c r="A444" s="72">
        <v>378</v>
      </c>
      <c r="B444" s="72">
        <v>1498730318.6340001</v>
      </c>
      <c r="C444" s="73">
        <v>1.95739152710025E-4</v>
      </c>
      <c r="D444" s="73">
        <v>5.9044348909844097E-6</v>
      </c>
      <c r="E444" s="73">
        <v>1.14546163459782E-2</v>
      </c>
      <c r="F444" s="73">
        <v>2.9453136777698601E-4</v>
      </c>
      <c r="G444" s="73">
        <v>0.209152041209512</v>
      </c>
      <c r="H444" s="73">
        <v>-1.17005565113034E-4</v>
      </c>
      <c r="I444" s="73">
        <v>0.151311515351817</v>
      </c>
      <c r="J444" s="73">
        <v>1.82015638714826</v>
      </c>
      <c r="K444" s="73"/>
      <c r="L444" s="73"/>
      <c r="M444" s="73"/>
      <c r="O444" s="13">
        <f t="shared" ca="1" si="200"/>
        <v>-6.8948076561536588E-5</v>
      </c>
      <c r="P444" s="13">
        <f t="shared" ca="1" si="201"/>
        <v>-5.3830404938557635E-6</v>
      </c>
      <c r="Q444" s="13">
        <f t="shared" ca="1" si="202"/>
        <v>1.0613876728005515E-2</v>
      </c>
      <c r="R444" s="13">
        <f t="shared" ca="1" si="203"/>
        <v>2.8475508888630487E-4</v>
      </c>
      <c r="S444" s="13">
        <f t="shared" ca="1" si="204"/>
        <v>0.20801696257627064</v>
      </c>
      <c r="T444" s="13">
        <f t="shared" ca="1" si="205"/>
        <v>-1.1735538662405809E-4</v>
      </c>
      <c r="U444" s="13">
        <f t="shared" ca="1" si="206"/>
        <v>0.15065767135702848</v>
      </c>
      <c r="V444" s="13">
        <f t="shared" ca="1" si="207"/>
        <v>1.8130176062258059</v>
      </c>
      <c r="X444" s="3">
        <f t="shared" ca="1" si="208"/>
        <v>-6.8948076561536588E-5</v>
      </c>
      <c r="Y444" s="3">
        <f t="shared" ca="1" si="209"/>
        <v>-5.3830404938557635E-6</v>
      </c>
      <c r="Z444" s="3">
        <f t="shared" ca="1" si="210"/>
        <v>1.0613876728005515E-2</v>
      </c>
      <c r="AA444" s="3">
        <f t="shared" ca="1" si="211"/>
        <v>2.8475508888630487E-4</v>
      </c>
      <c r="AB444" s="3">
        <f t="shared" ca="1" si="212"/>
        <v>0.20801696257627064</v>
      </c>
      <c r="AC444" s="3">
        <f t="shared" ca="1" si="213"/>
        <v>-1.1735538662405809E-4</v>
      </c>
      <c r="AD444" s="3">
        <f t="shared" ca="1" si="214"/>
        <v>0.15065767135702848</v>
      </c>
      <c r="AE444" s="3">
        <f t="shared" ca="1" si="215"/>
        <v>1.8130176062258059</v>
      </c>
      <c r="AG444" s="3">
        <f t="shared" ca="1" si="216"/>
        <v>-6.8948076561536588E-5</v>
      </c>
      <c r="AH444" s="3">
        <f t="shared" ca="1" si="217"/>
        <v>-5.3830404938557635E-6</v>
      </c>
      <c r="AI444" s="3">
        <f t="shared" ca="1" si="218"/>
        <v>1.0613876728005515E-2</v>
      </c>
      <c r="AJ444" s="3">
        <f t="shared" ca="1" si="219"/>
        <v>2.8475508888630487E-4</v>
      </c>
      <c r="AK444" s="3">
        <f t="shared" ca="1" si="220"/>
        <v>0.20801696257627064</v>
      </c>
      <c r="AL444" s="3">
        <f t="shared" ca="1" si="221"/>
        <v>-1.1735538662405809E-4</v>
      </c>
      <c r="AM444" s="3">
        <f t="shared" ca="1" si="222"/>
        <v>0.15065767135702848</v>
      </c>
      <c r="AN444" s="3">
        <f t="shared" ca="1" si="223"/>
        <v>1.8130176062258059</v>
      </c>
      <c r="AP444" s="3">
        <f t="shared" ca="1" si="224"/>
        <v>8.7157200248083253</v>
      </c>
      <c r="AQ444" s="3">
        <f t="shared" ca="1" si="231"/>
        <v>0.40153963536684772</v>
      </c>
      <c r="AR444" s="3">
        <f t="shared" ca="1" si="225"/>
        <v>1.1434045456026117E-4</v>
      </c>
      <c r="AS444" s="3">
        <f t="shared" ca="1" si="226"/>
        <v>0.15054333090246821</v>
      </c>
      <c r="AT444" s="3">
        <f t="shared" ca="1" si="227"/>
        <v>0.70932745571127054</v>
      </c>
      <c r="AU444" s="3">
        <f t="shared" ca="1" si="228"/>
        <v>5.3147802979615529E-2</v>
      </c>
      <c r="AV444" s="10">
        <f t="shared" ca="1" si="232"/>
        <v>0.70932745571127054</v>
      </c>
      <c r="AW444" s="10">
        <f t="shared" ca="1" si="233"/>
        <v>0.70932745571127054</v>
      </c>
      <c r="AY444" s="3">
        <f t="shared" ca="1" si="239"/>
        <v>8.7157200248083253</v>
      </c>
      <c r="AZ444" s="3">
        <f t="shared" ca="1" si="234"/>
        <v>0.40153963536684772</v>
      </c>
      <c r="BA444" s="3">
        <f t="shared" ca="1" si="229"/>
        <v>1.1434045456026117E-4</v>
      </c>
      <c r="BB444" s="3">
        <f t="shared" ca="1" si="235"/>
        <v>0.15054333090246821</v>
      </c>
      <c r="BC444" s="3">
        <f t="shared" ca="1" si="236"/>
        <v>0.70932745571127054</v>
      </c>
      <c r="BD444" s="3">
        <f t="shared" ca="1" si="230"/>
        <v>5.3147802979615529E-2</v>
      </c>
      <c r="BE444" s="3">
        <f t="shared" ca="1" si="237"/>
        <v>0.70932745571127054</v>
      </c>
      <c r="BF444" s="3">
        <f t="shared" ca="1" si="238"/>
        <v>0.70932745571127054</v>
      </c>
    </row>
    <row r="445" spans="1:58" ht="15" x14ac:dyDescent="0.25">
      <c r="A445" s="72">
        <v>379</v>
      </c>
      <c r="B445" s="72">
        <v>1498730319.161</v>
      </c>
      <c r="C445" s="73">
        <v>3.3919433034112101E-4</v>
      </c>
      <c r="D445" s="73">
        <v>1.4172250006651301E-5</v>
      </c>
      <c r="E445" s="73">
        <v>1.11303202042463E-2</v>
      </c>
      <c r="F445" s="73">
        <v>4.2282451621865401E-4</v>
      </c>
      <c r="G445" s="73">
        <v>0.202477918618227</v>
      </c>
      <c r="H445" s="73">
        <v>8.8517071241249495E-6</v>
      </c>
      <c r="I445" s="73">
        <v>0.14602750280716201</v>
      </c>
      <c r="J445" s="73">
        <v>1.7564334774425401</v>
      </c>
      <c r="K445" s="73"/>
      <c r="L445" s="73"/>
      <c r="M445" s="73"/>
      <c r="O445" s="13">
        <f t="shared" ca="1" si="200"/>
        <v>7.4507101069559429E-5</v>
      </c>
      <c r="P445" s="13">
        <f t="shared" ca="1" si="201"/>
        <v>2.8847746218111273E-6</v>
      </c>
      <c r="Q445" s="13">
        <f t="shared" ca="1" si="202"/>
        <v>1.0289580586273614E-2</v>
      </c>
      <c r="R445" s="13">
        <f t="shared" ca="1" si="203"/>
        <v>4.1304823732797287E-4</v>
      </c>
      <c r="S445" s="13">
        <f t="shared" ca="1" si="204"/>
        <v>0.20134283998498564</v>
      </c>
      <c r="T445" s="13">
        <f t="shared" ca="1" si="205"/>
        <v>8.5018856131008631E-6</v>
      </c>
      <c r="U445" s="13">
        <f t="shared" ca="1" si="206"/>
        <v>0.14537365881237349</v>
      </c>
      <c r="V445" s="13">
        <f t="shared" ca="1" si="207"/>
        <v>1.749294696520086</v>
      </c>
      <c r="X445" s="3">
        <f t="shared" ca="1" si="208"/>
        <v>7.4507101069559429E-5</v>
      </c>
      <c r="Y445" s="3">
        <f t="shared" ca="1" si="209"/>
        <v>2.8847746218111273E-6</v>
      </c>
      <c r="Z445" s="3">
        <f t="shared" ca="1" si="210"/>
        <v>1.0289515540486648E-2</v>
      </c>
      <c r="AA445" s="3">
        <f t="shared" ca="1" si="211"/>
        <v>4.1147383362069681E-4</v>
      </c>
      <c r="AB445" s="3">
        <f t="shared" ca="1" si="212"/>
        <v>0.20133139044816606</v>
      </c>
      <c r="AC445" s="3">
        <f t="shared" ca="1" si="213"/>
        <v>8.5018856131008631E-6</v>
      </c>
      <c r="AD445" s="3">
        <f t="shared" ca="1" si="214"/>
        <v>0.14535675060354536</v>
      </c>
      <c r="AE445" s="3">
        <f t="shared" ca="1" si="215"/>
        <v>1.7492878355622805</v>
      </c>
      <c r="AG445" s="3">
        <f t="shared" ca="1" si="216"/>
        <v>7.4507101069559429E-5</v>
      </c>
      <c r="AH445" s="3">
        <f t="shared" ca="1" si="217"/>
        <v>2.8847746218111273E-6</v>
      </c>
      <c r="AI445" s="3">
        <f t="shared" ca="1" si="218"/>
        <v>1.0287191869830362E-2</v>
      </c>
      <c r="AJ445" s="3">
        <f t="shared" ca="1" si="219"/>
        <v>4.1019069643622114E-4</v>
      </c>
      <c r="AK445" s="3">
        <f t="shared" ca="1" si="220"/>
        <v>0.20133139044816606</v>
      </c>
      <c r="AL445" s="3">
        <f t="shared" ca="1" si="221"/>
        <v>8.5018856131008631E-6</v>
      </c>
      <c r="AM445" s="3">
        <f t="shared" ca="1" si="222"/>
        <v>0.14535675060354536</v>
      </c>
      <c r="AN445" s="3">
        <f t="shared" ca="1" si="223"/>
        <v>1.7492878355622805</v>
      </c>
      <c r="AP445" s="3">
        <f t="shared" ca="1" si="224"/>
        <v>8.6881395765080729</v>
      </c>
      <c r="AQ445" s="3">
        <f t="shared" ca="1" si="231"/>
        <v>0.40025359706185254</v>
      </c>
      <c r="AR445" s="3">
        <f t="shared" ca="1" si="225"/>
        <v>1.6532404275057891E-4</v>
      </c>
      <c r="AS445" s="3">
        <f t="shared" ca="1" si="226"/>
        <v>0.14520833476962292</v>
      </c>
      <c r="AT445" s="3">
        <f t="shared" ca="1" si="227"/>
        <v>0.70799883281075349</v>
      </c>
      <c r="AU445" s="3">
        <f t="shared" ca="1" si="228"/>
        <v>5.3059484331736746E-2</v>
      </c>
      <c r="AV445" s="10">
        <f t="shared" ca="1" si="232"/>
        <v>0.70799883281075349</v>
      </c>
      <c r="AW445" s="10">
        <f t="shared" ca="1" si="233"/>
        <v>0.70799883281075349</v>
      </c>
      <c r="AY445" s="3">
        <f t="shared" ca="1" si="239"/>
        <v>8.6885995853321489</v>
      </c>
      <c r="AZ445" s="3">
        <f t="shared" ca="1" si="234"/>
        <v>0.40027504623392918</v>
      </c>
      <c r="BA445" s="3">
        <f t="shared" ca="1" si="229"/>
        <v>1.6418909998073603E-4</v>
      </c>
      <c r="BB445" s="3">
        <f t="shared" ca="1" si="235"/>
        <v>0.14519256150356463</v>
      </c>
      <c r="BC445" s="3">
        <f t="shared" ca="1" si="236"/>
        <v>0.70794330918270887</v>
      </c>
      <c r="BD445" s="3">
        <f t="shared" ca="1" si="230"/>
        <v>5.3053057511251091E-2</v>
      </c>
      <c r="BE445" s="3">
        <f t="shared" ca="1" si="237"/>
        <v>0.70794330918270887</v>
      </c>
      <c r="BF445" s="3">
        <f t="shared" ca="1" si="238"/>
        <v>0.70794330918270887</v>
      </c>
    </row>
    <row r="446" spans="1:58" ht="15" x14ac:dyDescent="0.25">
      <c r="A446" s="72">
        <v>380</v>
      </c>
      <c r="B446" s="72">
        <v>1498730319.687</v>
      </c>
      <c r="C446" s="73">
        <v>3.43238970707717E-4</v>
      </c>
      <c r="D446" s="73">
        <v>7.8663572499476905E-5</v>
      </c>
      <c r="E446" s="73">
        <v>1.16733584779623E-2</v>
      </c>
      <c r="F446" s="73">
        <v>4.91619280678633E-4</v>
      </c>
      <c r="G446" s="73">
        <v>0.21268747033535501</v>
      </c>
      <c r="H446" s="73">
        <v>1.6246155720887899E-5</v>
      </c>
      <c r="I446" s="73">
        <v>0.15351233107475801</v>
      </c>
      <c r="J446" s="73">
        <v>1.8464676101914099</v>
      </c>
      <c r="K446" s="73"/>
      <c r="L446" s="73"/>
      <c r="M446" s="73"/>
      <c r="O446" s="13">
        <f t="shared" ca="1" si="200"/>
        <v>7.8551741436155419E-5</v>
      </c>
      <c r="P446" s="13">
        <f t="shared" ca="1" si="201"/>
        <v>6.7376097114636726E-5</v>
      </c>
      <c r="Q446" s="13">
        <f t="shared" ca="1" si="202"/>
        <v>1.0832618859989615E-2</v>
      </c>
      <c r="R446" s="13">
        <f t="shared" ca="1" si="203"/>
        <v>4.8184300178795187E-4</v>
      </c>
      <c r="S446" s="13">
        <f t="shared" ca="1" si="204"/>
        <v>0.21155239170211365</v>
      </c>
      <c r="T446" s="13">
        <f t="shared" ca="1" si="205"/>
        <v>1.5896334209863812E-5</v>
      </c>
      <c r="U446" s="13">
        <f t="shared" ca="1" si="206"/>
        <v>0.15285848707996949</v>
      </c>
      <c r="V446" s="13">
        <f t="shared" ca="1" si="207"/>
        <v>1.8393288292689558</v>
      </c>
      <c r="X446" s="3">
        <f t="shared" ca="1" si="208"/>
        <v>7.8551741436155419E-5</v>
      </c>
      <c r="Y446" s="3">
        <f t="shared" ca="1" si="209"/>
        <v>6.7376097114636726E-5</v>
      </c>
      <c r="Z446" s="3">
        <f t="shared" ca="1" si="210"/>
        <v>1.083249724113756E-2</v>
      </c>
      <c r="AA446" s="3">
        <f t="shared" ca="1" si="211"/>
        <v>4.7889927275523661E-4</v>
      </c>
      <c r="AB446" s="3">
        <f t="shared" ca="1" si="212"/>
        <v>0.21153098402008699</v>
      </c>
      <c r="AC446" s="3">
        <f t="shared" ca="1" si="213"/>
        <v>1.5896334209863812E-5</v>
      </c>
      <c r="AD446" s="3">
        <f t="shared" ca="1" si="214"/>
        <v>0.15282687308859702</v>
      </c>
      <c r="AE446" s="3">
        <f t="shared" ca="1" si="215"/>
        <v>1.8393160010466956</v>
      </c>
      <c r="AG446" s="3">
        <f t="shared" ca="1" si="216"/>
        <v>7.8551741436155419E-5</v>
      </c>
      <c r="AH446" s="3">
        <f t="shared" ca="1" si="217"/>
        <v>6.7376097114636726E-5</v>
      </c>
      <c r="AI446" s="3">
        <f t="shared" ca="1" si="218"/>
        <v>1.0778226152291783E-2</v>
      </c>
      <c r="AJ446" s="3">
        <f t="shared" ca="1" si="219"/>
        <v>4.4893063156608225E-4</v>
      </c>
      <c r="AK446" s="3">
        <f t="shared" ca="1" si="220"/>
        <v>0.21153098402008699</v>
      </c>
      <c r="AL446" s="3">
        <f t="shared" ca="1" si="221"/>
        <v>1.5896334209863812E-5</v>
      </c>
      <c r="AM446" s="3">
        <f t="shared" ca="1" si="222"/>
        <v>0.15282687308859702</v>
      </c>
      <c r="AN446" s="3">
        <f t="shared" ca="1" si="223"/>
        <v>1.8393160010466956</v>
      </c>
      <c r="AP446" s="3">
        <f t="shared" ca="1" si="224"/>
        <v>8.6944364678179085</v>
      </c>
      <c r="AQ446" s="3">
        <f t="shared" ca="1" si="231"/>
        <v>0.40054720807171995</v>
      </c>
      <c r="AR446" s="3">
        <f t="shared" ca="1" si="225"/>
        <v>1.9300086909506089E-4</v>
      </c>
      <c r="AS446" s="3">
        <f t="shared" ca="1" si="226"/>
        <v>0.15266548621087442</v>
      </c>
      <c r="AT446" s="3">
        <f t="shared" ca="1" si="227"/>
        <v>0.70817673838321538</v>
      </c>
      <c r="AU446" s="3">
        <f t="shared" ca="1" si="228"/>
        <v>5.3203356298608367E-2</v>
      </c>
      <c r="AV446" s="10">
        <f t="shared" ca="1" si="232"/>
        <v>0.70817673838321538</v>
      </c>
      <c r="AW446" s="10">
        <f t="shared" ca="1" si="233"/>
        <v>0.70817673838321538</v>
      </c>
      <c r="AY446" s="3">
        <f t="shared" ca="1" si="239"/>
        <v>8.6952557308201897</v>
      </c>
      <c r="AZ446" s="3">
        <f t="shared" ca="1" si="234"/>
        <v>0.40058540879963728</v>
      </c>
      <c r="BA446" s="3">
        <f t="shared" ca="1" si="229"/>
        <v>1.7983506056857841E-4</v>
      </c>
      <c r="BB446" s="3">
        <f t="shared" ca="1" si="235"/>
        <v>0.15264703802802845</v>
      </c>
      <c r="BC446" s="3">
        <f t="shared" ca="1" si="236"/>
        <v>0.70812922130551159</v>
      </c>
      <c r="BD446" s="3">
        <f t="shared" ca="1" si="230"/>
        <v>5.2946673717868896E-2</v>
      </c>
      <c r="BE446" s="3">
        <f t="shared" ca="1" si="237"/>
        <v>0.70812922130551159</v>
      </c>
      <c r="BF446" s="3">
        <f t="shared" ca="1" si="238"/>
        <v>0.70812922130551159</v>
      </c>
    </row>
    <row r="447" spans="1:58" ht="15" x14ac:dyDescent="0.25">
      <c r="A447" s="72">
        <v>381</v>
      </c>
      <c r="B447" s="72">
        <v>1498730320.214</v>
      </c>
      <c r="C447" s="73">
        <v>2.69724241243925E-4</v>
      </c>
      <c r="D447" s="73">
        <v>1.05831501665981E-4</v>
      </c>
      <c r="E447" s="73">
        <v>1.1616322138845E-2</v>
      </c>
      <c r="F447" s="73">
        <v>3.9140426231951402E-4</v>
      </c>
      <c r="G447" s="73">
        <v>0.210865651940121</v>
      </c>
      <c r="H447" s="73">
        <v>5.8284501487004002E-5</v>
      </c>
      <c r="I447" s="73">
        <v>0.15234714965180499</v>
      </c>
      <c r="J447" s="73">
        <v>1.8314706163752199</v>
      </c>
      <c r="K447" s="73"/>
      <c r="L447" s="73"/>
      <c r="M447" s="73"/>
      <c r="O447" s="13">
        <f t="shared" ca="1" si="200"/>
        <v>5.0370119723634212E-6</v>
      </c>
      <c r="P447" s="13">
        <f t="shared" ca="1" si="201"/>
        <v>9.4544026281140819E-5</v>
      </c>
      <c r="Q447" s="13">
        <f t="shared" ca="1" si="202"/>
        <v>1.0775582520872315E-2</v>
      </c>
      <c r="R447" s="13">
        <f t="shared" ca="1" si="203"/>
        <v>3.8162798342883289E-4</v>
      </c>
      <c r="S447" s="13">
        <f t="shared" ca="1" si="204"/>
        <v>0.20973057330687964</v>
      </c>
      <c r="T447" s="13">
        <f t="shared" ca="1" si="205"/>
        <v>5.7934679975979912E-5</v>
      </c>
      <c r="U447" s="13">
        <f t="shared" ca="1" si="206"/>
        <v>0.15169330565701647</v>
      </c>
      <c r="V447" s="13">
        <f t="shared" ca="1" si="207"/>
        <v>1.8243318354527658</v>
      </c>
      <c r="X447" s="3">
        <f t="shared" ca="1" si="208"/>
        <v>5.0370119723634212E-6</v>
      </c>
      <c r="Y447" s="3">
        <f t="shared" ca="1" si="209"/>
        <v>9.4544026281140819E-5</v>
      </c>
      <c r="Z447" s="3">
        <f t="shared" ca="1" si="210"/>
        <v>1.0775139277217528E-2</v>
      </c>
      <c r="AA447" s="3">
        <f t="shared" ca="1" si="211"/>
        <v>3.7089947223909359E-4</v>
      </c>
      <c r="AB447" s="3">
        <f t="shared" ca="1" si="212"/>
        <v>0.20965255234991764</v>
      </c>
      <c r="AC447" s="3">
        <f t="shared" ca="1" si="213"/>
        <v>5.7934679975979912E-5</v>
      </c>
      <c r="AD447" s="3">
        <f t="shared" ca="1" si="214"/>
        <v>0.15157808749107032</v>
      </c>
      <c r="AE447" s="3">
        <f t="shared" ca="1" si="215"/>
        <v>1.8242850826013537</v>
      </c>
      <c r="AG447" s="3">
        <f t="shared" ca="1" si="216"/>
        <v>5.0370119723634212E-6</v>
      </c>
      <c r="AH447" s="3">
        <f t="shared" ca="1" si="217"/>
        <v>9.4544026281140819E-5</v>
      </c>
      <c r="AI447" s="3">
        <f t="shared" ca="1" si="218"/>
        <v>1.0698984565533783E-2</v>
      </c>
      <c r="AJ447" s="3">
        <f t="shared" ca="1" si="219"/>
        <v>3.2884663567634803E-4</v>
      </c>
      <c r="AK447" s="3">
        <f t="shared" ca="1" si="220"/>
        <v>0.20965255234991764</v>
      </c>
      <c r="AL447" s="3">
        <f t="shared" ca="1" si="221"/>
        <v>5.7934679975979912E-5</v>
      </c>
      <c r="AM447" s="3">
        <f t="shared" ca="1" si="222"/>
        <v>0.15157808749107032</v>
      </c>
      <c r="AN447" s="3">
        <f t="shared" ca="1" si="223"/>
        <v>1.8242850826013537</v>
      </c>
      <c r="AP447" s="3">
        <f t="shared" ca="1" si="224"/>
        <v>8.6984544346016133</v>
      </c>
      <c r="AQ447" s="3">
        <f t="shared" ca="1" si="231"/>
        <v>0.40073455889538168</v>
      </c>
      <c r="AR447" s="3">
        <f t="shared" ca="1" si="225"/>
        <v>1.5293152160148737E-4</v>
      </c>
      <c r="AS447" s="3">
        <f t="shared" ca="1" si="226"/>
        <v>0.15154037413541499</v>
      </c>
      <c r="AT447" s="3">
        <f t="shared" ca="1" si="227"/>
        <v>0.70889888713533944</v>
      </c>
      <c r="AU447" s="3">
        <f t="shared" ca="1" si="228"/>
        <v>5.3408187525099314E-2</v>
      </c>
      <c r="AV447" s="10">
        <f t="shared" ca="1" si="232"/>
        <v>0.70889888713533944</v>
      </c>
      <c r="AW447" s="10">
        <f t="shared" ca="1" si="233"/>
        <v>0.70889888713533944</v>
      </c>
      <c r="AY447" s="3">
        <f t="shared" ca="1" si="239"/>
        <v>8.7014685113709298</v>
      </c>
      <c r="AZ447" s="3">
        <f t="shared" ca="1" si="234"/>
        <v>0.40087510075754051</v>
      </c>
      <c r="BA447" s="3">
        <f t="shared" ca="1" si="229"/>
        <v>1.3182642821053423E-4</v>
      </c>
      <c r="BB447" s="3">
        <f t="shared" ca="1" si="235"/>
        <v>0.1514462610628598</v>
      </c>
      <c r="BC447" s="3">
        <f t="shared" ca="1" si="236"/>
        <v>0.70859864030927688</v>
      </c>
      <c r="BD447" s="3">
        <f t="shared" ca="1" si="230"/>
        <v>5.3067080096055062E-2</v>
      </c>
      <c r="BE447" s="3">
        <f t="shared" ca="1" si="237"/>
        <v>0.70859864030927688</v>
      </c>
      <c r="BF447" s="3">
        <f t="shared" ca="1" si="238"/>
        <v>0.70859864030927688</v>
      </c>
    </row>
    <row r="448" spans="1:58" ht="15" x14ac:dyDescent="0.25">
      <c r="A448" s="72">
        <v>382</v>
      </c>
      <c r="B448" s="72">
        <v>1498730320.7409999</v>
      </c>
      <c r="C448" s="73">
        <v>3.47045706017584E-4</v>
      </c>
      <c r="D448" s="73">
        <v>-2.9055850274793799E-5</v>
      </c>
      <c r="E448" s="73">
        <v>1.1590572609800899E-2</v>
      </c>
      <c r="F448" s="73">
        <v>4.6329145090355002E-4</v>
      </c>
      <c r="G448" s="73">
        <v>0.20962682754682099</v>
      </c>
      <c r="H448" s="73">
        <v>9.8141674881770607E-5</v>
      </c>
      <c r="I448" s="73">
        <v>0.15123505925531799</v>
      </c>
      <c r="J448" s="73">
        <v>1.8169724060764501</v>
      </c>
      <c r="K448" s="73"/>
      <c r="L448" s="73"/>
      <c r="M448" s="73"/>
      <c r="O448" s="13">
        <f t="shared" ca="1" si="200"/>
        <v>8.235847674602242E-5</v>
      </c>
      <c r="P448" s="13">
        <f t="shared" ca="1" si="201"/>
        <v>-4.0343325659633974E-5</v>
      </c>
      <c r="Q448" s="13">
        <f t="shared" ca="1" si="202"/>
        <v>1.0749832991828214E-2</v>
      </c>
      <c r="R448" s="13">
        <f t="shared" ca="1" si="203"/>
        <v>4.5351517201286888E-4</v>
      </c>
      <c r="S448" s="13">
        <f t="shared" ca="1" si="204"/>
        <v>0.20849174891357963</v>
      </c>
      <c r="T448" s="13">
        <f t="shared" ca="1" si="205"/>
        <v>9.7791853370746517E-5</v>
      </c>
      <c r="U448" s="13">
        <f t="shared" ca="1" si="206"/>
        <v>0.15058121526052948</v>
      </c>
      <c r="V448" s="13">
        <f t="shared" ca="1" si="207"/>
        <v>1.8098336251539959</v>
      </c>
      <c r="X448" s="3">
        <f t="shared" ca="1" si="208"/>
        <v>8.235847674602242E-5</v>
      </c>
      <c r="Y448" s="3">
        <f t="shared" ca="1" si="209"/>
        <v>-4.0343325659633974E-5</v>
      </c>
      <c r="Z448" s="3">
        <f t="shared" ca="1" si="210"/>
        <v>1.0749084810971525E-2</v>
      </c>
      <c r="AA448" s="3">
        <f t="shared" ca="1" si="211"/>
        <v>4.3540579445889969E-4</v>
      </c>
      <c r="AB448" s="3">
        <f t="shared" ca="1" si="212"/>
        <v>0.20836005207869185</v>
      </c>
      <c r="AC448" s="3">
        <f t="shared" ca="1" si="213"/>
        <v>9.7791853370746517E-5</v>
      </c>
      <c r="AD448" s="3">
        <f t="shared" ca="1" si="214"/>
        <v>0.15038673074806608</v>
      </c>
      <c r="AE448" s="3">
        <f t="shared" ca="1" si="215"/>
        <v>1.8097547078631462</v>
      </c>
      <c r="AG448" s="3">
        <f t="shared" ca="1" si="216"/>
        <v>8.235847674602242E-5</v>
      </c>
      <c r="AH448" s="3">
        <f t="shared" ca="1" si="217"/>
        <v>-4.0343325659633974E-5</v>
      </c>
      <c r="AI448" s="3">
        <f t="shared" ca="1" si="218"/>
        <v>1.0749084810971525E-2</v>
      </c>
      <c r="AJ448" s="3">
        <f t="shared" ca="1" si="219"/>
        <v>4.3540579445889969E-4</v>
      </c>
      <c r="AK448" s="3">
        <f t="shared" ca="1" si="220"/>
        <v>0.20836005207869185</v>
      </c>
      <c r="AL448" s="3">
        <f t="shared" ca="1" si="221"/>
        <v>9.7791853370746517E-5</v>
      </c>
      <c r="AM448" s="3">
        <f t="shared" ca="1" si="222"/>
        <v>0.15038673074806608</v>
      </c>
      <c r="AN448" s="3">
        <f t="shared" ca="1" si="223"/>
        <v>1.8097547078631462</v>
      </c>
      <c r="AP448" s="3">
        <f t="shared" ca="1" si="224"/>
        <v>8.6806007172215551</v>
      </c>
      <c r="AQ448" s="3">
        <f t="shared" ca="1" si="231"/>
        <v>0.39990207905053449</v>
      </c>
      <c r="AR448" s="3">
        <f t="shared" ca="1" si="225"/>
        <v>1.8136166016890704E-4</v>
      </c>
      <c r="AS448" s="3">
        <f t="shared" ca="1" si="226"/>
        <v>0.15039985360036057</v>
      </c>
      <c r="AT448" s="3">
        <f t="shared" ca="1" si="227"/>
        <v>0.70847672473304291</v>
      </c>
      <c r="AU448" s="3">
        <f t="shared" ca="1" si="228"/>
        <v>5.3484582786303921E-2</v>
      </c>
      <c r="AV448" s="10">
        <f t="shared" ca="1" si="232"/>
        <v>0.70847672473304291</v>
      </c>
      <c r="AW448" s="10">
        <f t="shared" ca="1" si="233"/>
        <v>0.70847672473304291</v>
      </c>
      <c r="AY448" s="3">
        <f t="shared" ca="1" si="239"/>
        <v>8.6857086558015055</v>
      </c>
      <c r="AZ448" s="3">
        <f t="shared" ca="1" si="234"/>
        <v>0.40014024895071254</v>
      </c>
      <c r="BA448" s="3">
        <f t="shared" ca="1" si="229"/>
        <v>1.7422338298936691E-4</v>
      </c>
      <c r="BB448" s="3">
        <f t="shared" ca="1" si="235"/>
        <v>0.15021250736507671</v>
      </c>
      <c r="BC448" s="3">
        <f t="shared" ca="1" si="236"/>
        <v>0.70783173099863372</v>
      </c>
      <c r="BD448" s="3">
        <f t="shared" ca="1" si="230"/>
        <v>5.3546885692331785E-2</v>
      </c>
      <c r="BE448" s="3" t="str">
        <f t="shared" ca="1" si="237"/>
        <v>rejected</v>
      </c>
      <c r="BF448" s="3" t="e">
        <f t="shared" ca="1" si="238"/>
        <v>#N/A</v>
      </c>
    </row>
    <row r="449" spans="1:58" ht="15" x14ac:dyDescent="0.25">
      <c r="A449" s="72">
        <v>383</v>
      </c>
      <c r="B449" s="72">
        <v>1498730321.2679999</v>
      </c>
      <c r="C449" s="73">
        <v>3.9296559398139901E-4</v>
      </c>
      <c r="D449" s="73">
        <v>1.11028929404352E-4</v>
      </c>
      <c r="E449" s="73">
        <v>1.24671473010188E-2</v>
      </c>
      <c r="F449" s="73">
        <v>6.3684177931923097E-4</v>
      </c>
      <c r="G449" s="73">
        <v>0.226350085335421</v>
      </c>
      <c r="H449" s="73">
        <v>5.1075987341234502E-5</v>
      </c>
      <c r="I449" s="73">
        <v>0.16344895503736401</v>
      </c>
      <c r="J449" s="73">
        <v>1.96477328581939</v>
      </c>
      <c r="K449" s="73"/>
      <c r="L449" s="73"/>
      <c r="M449" s="73"/>
      <c r="O449" s="13">
        <f t="shared" ca="1" si="200"/>
        <v>1.2827836470983742E-4</v>
      </c>
      <c r="P449" s="13">
        <f t="shared" ca="1" si="201"/>
        <v>9.9741454019511825E-5</v>
      </c>
      <c r="Q449" s="13">
        <f t="shared" ca="1" si="202"/>
        <v>1.1626407683046115E-2</v>
      </c>
      <c r="R449" s="13">
        <f t="shared" ca="1" si="203"/>
        <v>6.2706550042854984E-4</v>
      </c>
      <c r="S449" s="13">
        <f t="shared" ca="1" si="204"/>
        <v>0.22521500670217964</v>
      </c>
      <c r="T449" s="13">
        <f t="shared" ca="1" si="205"/>
        <v>5.0726165830210412E-5</v>
      </c>
      <c r="U449" s="13">
        <f t="shared" ca="1" si="206"/>
        <v>0.16279511104257549</v>
      </c>
      <c r="V449" s="13">
        <f t="shared" ca="1" si="207"/>
        <v>1.9576345048969359</v>
      </c>
      <c r="X449" s="3">
        <f t="shared" ca="1" si="208"/>
        <v>1.2827836470983742E-4</v>
      </c>
      <c r="Y449" s="3">
        <f t="shared" ca="1" si="209"/>
        <v>9.9741454019511825E-5</v>
      </c>
      <c r="Z449" s="3">
        <f t="shared" ca="1" si="210"/>
        <v>1.162601958991873E-2</v>
      </c>
      <c r="AA449" s="3">
        <f t="shared" ca="1" si="211"/>
        <v>6.1767188268616101E-4</v>
      </c>
      <c r="AB449" s="3">
        <f t="shared" ca="1" si="212"/>
        <v>0.22514669349146152</v>
      </c>
      <c r="AC449" s="3">
        <f t="shared" ca="1" si="213"/>
        <v>5.0726165830210412E-5</v>
      </c>
      <c r="AD449" s="3">
        <f t="shared" ca="1" si="214"/>
        <v>0.16269422888020124</v>
      </c>
      <c r="AE449" s="3">
        <f t="shared" ca="1" si="215"/>
        <v>1.9575935692622739</v>
      </c>
      <c r="AG449" s="3">
        <f t="shared" ca="1" si="216"/>
        <v>1.2827836470983742E-4</v>
      </c>
      <c r="AH449" s="3">
        <f t="shared" ca="1" si="217"/>
        <v>9.9741454019511825E-5</v>
      </c>
      <c r="AI449" s="3">
        <f t="shared" ca="1" si="218"/>
        <v>1.1545678377760214E-2</v>
      </c>
      <c r="AJ449" s="3">
        <f t="shared" ca="1" si="219"/>
        <v>5.7330724930424403E-4</v>
      </c>
      <c r="AK449" s="3">
        <f t="shared" ca="1" si="220"/>
        <v>0.22514669349146152</v>
      </c>
      <c r="AL449" s="3">
        <f t="shared" ca="1" si="221"/>
        <v>5.0726165830210412E-5</v>
      </c>
      <c r="AM449" s="3">
        <f t="shared" ca="1" si="222"/>
        <v>0.16269422888020124</v>
      </c>
      <c r="AN449" s="3">
        <f t="shared" ca="1" si="223"/>
        <v>1.9575935692622739</v>
      </c>
      <c r="AP449" s="3">
        <f t="shared" ca="1" si="224"/>
        <v>8.6922915731174051</v>
      </c>
      <c r="AQ449" s="3">
        <f t="shared" ca="1" si="231"/>
        <v>0.40044719578113158</v>
      </c>
      <c r="AR449" s="3">
        <f t="shared" ca="1" si="225"/>
        <v>2.5110662121770474E-4</v>
      </c>
      <c r="AS449" s="3">
        <f t="shared" ca="1" si="226"/>
        <v>0.16254400442135777</v>
      </c>
      <c r="AT449" s="3">
        <f t="shared" ca="1" si="227"/>
        <v>0.70834742975529541</v>
      </c>
      <c r="AU449" s="3">
        <f t="shared" ca="1" si="228"/>
        <v>5.3624355462160198E-2</v>
      </c>
      <c r="AV449" s="10">
        <f t="shared" ca="1" si="232"/>
        <v>0.70834742975529541</v>
      </c>
      <c r="AW449" s="10">
        <f t="shared" ca="1" si="233"/>
        <v>0.70834742975529541</v>
      </c>
      <c r="AY449" s="3">
        <f t="shared" ca="1" si="239"/>
        <v>8.6947471397642975</v>
      </c>
      <c r="AZ449" s="3">
        <f t="shared" ca="1" si="234"/>
        <v>0.40056169412839854</v>
      </c>
      <c r="BA449" s="3">
        <f t="shared" ca="1" si="229"/>
        <v>2.2964492303740013E-4</v>
      </c>
      <c r="BB449" s="3">
        <f t="shared" ca="1" si="235"/>
        <v>0.16246458395716384</v>
      </c>
      <c r="BC449" s="3">
        <f t="shared" ca="1" si="236"/>
        <v>0.70811541125593813</v>
      </c>
      <c r="BD449" s="3">
        <f t="shared" ca="1" si="230"/>
        <v>5.3283564239286874E-2</v>
      </c>
      <c r="BE449" s="3">
        <f t="shared" ca="1" si="237"/>
        <v>0.70811541125593813</v>
      </c>
      <c r="BF449" s="3">
        <f t="shared" ca="1" si="238"/>
        <v>0.70811541125593813</v>
      </c>
    </row>
    <row r="450" spans="1:58" ht="15" x14ac:dyDescent="0.25">
      <c r="A450" s="72">
        <v>384</v>
      </c>
      <c r="B450" s="72">
        <v>1498730321.7950001</v>
      </c>
      <c r="C450" s="73">
        <v>3.06361973601578E-4</v>
      </c>
      <c r="D450" s="73">
        <v>1.1953386988345101E-4</v>
      </c>
      <c r="E450" s="73">
        <v>1.11471579470355E-2</v>
      </c>
      <c r="F450" s="73">
        <v>3.9568878419699602E-4</v>
      </c>
      <c r="G450" s="73">
        <v>0.202943340881548</v>
      </c>
      <c r="H450" s="73">
        <v>3.71567652901274E-5</v>
      </c>
      <c r="I450" s="73">
        <v>0.14666343585573799</v>
      </c>
      <c r="J450" s="73">
        <v>1.7631295227582799</v>
      </c>
      <c r="K450" s="73"/>
      <c r="L450" s="73"/>
      <c r="M450" s="73"/>
      <c r="O450" s="13">
        <f t="shared" ca="1" si="200"/>
        <v>4.1674744330016413E-5</v>
      </c>
      <c r="P450" s="13">
        <f t="shared" ca="1" si="201"/>
        <v>1.0824639449861083E-4</v>
      </c>
      <c r="Q450" s="13">
        <f t="shared" ca="1" si="202"/>
        <v>1.0306418329062815E-2</v>
      </c>
      <c r="R450" s="13">
        <f t="shared" ca="1" si="203"/>
        <v>3.8591250530631489E-4</v>
      </c>
      <c r="S450" s="13">
        <f t="shared" ca="1" si="204"/>
        <v>0.20180826224830664</v>
      </c>
      <c r="T450" s="13">
        <f t="shared" ca="1" si="205"/>
        <v>3.680694377910331E-5</v>
      </c>
      <c r="U450" s="13">
        <f t="shared" ca="1" si="206"/>
        <v>0.14600959186094947</v>
      </c>
      <c r="V450" s="13">
        <f t="shared" ca="1" si="207"/>
        <v>1.7559907418358258</v>
      </c>
      <c r="X450" s="3">
        <f t="shared" ca="1" si="208"/>
        <v>4.1674744330016413E-5</v>
      </c>
      <c r="Y450" s="3">
        <f t="shared" ca="1" si="209"/>
        <v>1.0824639449861083E-4</v>
      </c>
      <c r="Z450" s="3">
        <f t="shared" ca="1" si="210"/>
        <v>1.0306136728399983E-2</v>
      </c>
      <c r="AA450" s="3">
        <f t="shared" ca="1" si="211"/>
        <v>3.7909648926276484E-4</v>
      </c>
      <c r="AB450" s="3">
        <f t="shared" ca="1" si="212"/>
        <v>0.20175869413163314</v>
      </c>
      <c r="AC450" s="3">
        <f t="shared" ca="1" si="213"/>
        <v>3.680694377910331E-5</v>
      </c>
      <c r="AD450" s="3">
        <f t="shared" ca="1" si="214"/>
        <v>0.14593639168865077</v>
      </c>
      <c r="AE450" s="3">
        <f t="shared" ca="1" si="215"/>
        <v>1.7559610389087681</v>
      </c>
      <c r="AG450" s="3">
        <f t="shared" ca="1" si="216"/>
        <v>4.1674744330016413E-5</v>
      </c>
      <c r="AH450" s="3">
        <f t="shared" ca="1" si="217"/>
        <v>1.0824639449861083E-4</v>
      </c>
      <c r="AI450" s="3">
        <f t="shared" ca="1" si="218"/>
        <v>1.0218944831797933E-2</v>
      </c>
      <c r="AJ450" s="3">
        <f t="shared" ca="1" si="219"/>
        <v>3.3094888951045153E-4</v>
      </c>
      <c r="AK450" s="3">
        <f t="shared" ca="1" si="220"/>
        <v>0.20175869413163314</v>
      </c>
      <c r="AL450" s="3">
        <f t="shared" ca="1" si="221"/>
        <v>3.680694377910331E-5</v>
      </c>
      <c r="AM450" s="3">
        <f t="shared" ca="1" si="222"/>
        <v>0.14593639168865077</v>
      </c>
      <c r="AN450" s="3">
        <f t="shared" ca="1" si="223"/>
        <v>1.7559610389087681</v>
      </c>
      <c r="AP450" s="3">
        <f t="shared" ca="1" si="224"/>
        <v>8.7012827040512324</v>
      </c>
      <c r="AQ450" s="3">
        <f t="shared" ca="1" si="231"/>
        <v>0.40086643682487005</v>
      </c>
      <c r="AR450" s="3">
        <f t="shared" ca="1" si="225"/>
        <v>1.5469937092830121E-4</v>
      </c>
      <c r="AS450" s="3">
        <f t="shared" ca="1" si="226"/>
        <v>0.14585489249002118</v>
      </c>
      <c r="AT450" s="3">
        <f t="shared" ca="1" si="227"/>
        <v>0.70897127869067178</v>
      </c>
      <c r="AU450" s="3">
        <f t="shared" ca="1" si="228"/>
        <v>5.31058199913544E-2</v>
      </c>
      <c r="AV450" s="10">
        <f t="shared" ca="1" si="232"/>
        <v>0.70897127869067178</v>
      </c>
      <c r="AW450" s="10">
        <f t="shared" ca="1" si="233"/>
        <v>0.70897127869067178</v>
      </c>
      <c r="AY450" s="3">
        <f t="shared" ca="1" si="239"/>
        <v>8.7032732168811968</v>
      </c>
      <c r="AZ450" s="3">
        <f t="shared" ca="1" si="234"/>
        <v>0.40095925174118391</v>
      </c>
      <c r="BA450" s="3">
        <f t="shared" ca="1" si="229"/>
        <v>1.326970191026864E-4</v>
      </c>
      <c r="BB450" s="3">
        <f t="shared" ca="1" si="235"/>
        <v>0.1458036946695481</v>
      </c>
      <c r="BC450" s="3">
        <f t="shared" ca="1" si="236"/>
        <v>0.70881488289428152</v>
      </c>
      <c r="BD450" s="3">
        <f t="shared" ca="1" si="230"/>
        <v>5.2680360687668314E-2</v>
      </c>
      <c r="BE450" s="3">
        <f t="shared" ca="1" si="237"/>
        <v>0.70881488289428152</v>
      </c>
      <c r="BF450" s="3">
        <f t="shared" ca="1" si="238"/>
        <v>0.70881488289428152</v>
      </c>
    </row>
    <row r="451" spans="1:58" ht="15" x14ac:dyDescent="0.25">
      <c r="A451" s="72">
        <v>385</v>
      </c>
      <c r="B451" s="72">
        <v>1498730322.322</v>
      </c>
      <c r="C451" s="73">
        <v>3.5227999076349701E-4</v>
      </c>
      <c r="D451" s="73">
        <v>-4.8425207670815099E-5</v>
      </c>
      <c r="E451" s="73">
        <v>1.1382194014421801E-2</v>
      </c>
      <c r="F451" s="73">
        <v>3.5403448962165402E-4</v>
      </c>
      <c r="G451" s="73">
        <v>0.20777268245839201</v>
      </c>
      <c r="H451" s="73">
        <v>4.8594065451613902E-6</v>
      </c>
      <c r="I451" s="73">
        <v>0.15017112077790501</v>
      </c>
      <c r="J451" s="73">
        <v>1.8029213371820501</v>
      </c>
      <c r="K451" s="73"/>
      <c r="L451" s="73"/>
      <c r="M451" s="73"/>
      <c r="O451" s="13">
        <f t="shared" ref="O451:O514" ca="1" si="240">C451-AVERAGE(OFFSET(C$67,$J$2,0,$J$3))</f>
        <v>8.7592761491935424E-5</v>
      </c>
      <c r="P451" s="13">
        <f t="shared" ref="P451:P514" ca="1" si="241">D451-AVERAGE(OFFSET(D$67,$J$2,0,$J$3))</f>
        <v>-5.9712683055655271E-5</v>
      </c>
      <c r="Q451" s="13">
        <f t="shared" ref="Q451:Q514" ca="1" si="242">E451-AVERAGE(OFFSET(E$67,$J$2,0,$J$3))</f>
        <v>1.0541454396449115E-2</v>
      </c>
      <c r="R451" s="13">
        <f t="shared" ref="R451:R514" ca="1" si="243">F451-AVERAGE(OFFSET(F$67,$J$2,0,$J$3))</f>
        <v>3.4425821073097288E-4</v>
      </c>
      <c r="S451" s="13">
        <f t="shared" ref="S451:S514" ca="1" si="244">G451-AVERAGE(OFFSET(G$67,$J$2,0,$J$3))</f>
        <v>0.20663760382515065</v>
      </c>
      <c r="T451" s="13">
        <f t="shared" ref="T451:T514" ca="1" si="245">H451-AVERAGE(OFFSET(H$67,$J$2,0,$J$3))</f>
        <v>4.5095850341373037E-6</v>
      </c>
      <c r="U451" s="13">
        <f t="shared" ref="U451:U514" ca="1" si="246">I451-AVERAGE(OFFSET(I$67,$J$2,0,$J$3))</f>
        <v>0.14951727678311649</v>
      </c>
      <c r="V451" s="13">
        <f t="shared" ref="V451:V514" ca="1" si="247">J451-AVERAGE(OFFSET(J$67,$J$2,0,$J$3))</f>
        <v>1.7957825562595959</v>
      </c>
      <c r="X451" s="3">
        <f t="shared" ref="X451:X514" ca="1" si="248">O451</f>
        <v>8.7592761491935424E-5</v>
      </c>
      <c r="Y451" s="3">
        <f t="shared" ref="Y451:Y514" ca="1" si="249">P451</f>
        <v>-5.9712683055655271E-5</v>
      </c>
      <c r="Z451" s="3">
        <f t="shared" ref="Z451:Z514" ca="1" si="250">IF($T451&gt;0,Q451-($B$14/$B$18*$T451), Q451)</f>
        <v>1.0541419894749047E-2</v>
      </c>
      <c r="AA451" s="3">
        <f t="shared" ref="AA451:AA514" ca="1" si="251">IF($T451&gt;0,R451-($B$15/$B$18*$T451), R451)</f>
        <v>3.4342311276340179E-4</v>
      </c>
      <c r="AB451" s="3">
        <f t="shared" ref="AB451:AB514" ca="1" si="252">IF($T451&gt;0,S451-($B$17/$B$18*$T451), S451)</f>
        <v>0.20663153074180901</v>
      </c>
      <c r="AC451" s="3">
        <f t="shared" ref="AC451:AC514" ca="1" si="253">T451</f>
        <v>4.5095850341373037E-6</v>
      </c>
      <c r="AD451" s="3">
        <f t="shared" ref="AD451:AD514" ca="1" si="254">IF($T451&gt;0,U451-($B$19/$B$18*$T451), U451)</f>
        <v>0.1495083083014225</v>
      </c>
      <c r="AE451" s="3">
        <f t="shared" ref="AE451:AE514" ca="1" si="255">IF($T451&gt;0,V451-($B$20/$B$18*$T451), V451)</f>
        <v>1.7957789170583589</v>
      </c>
      <c r="AG451" s="3">
        <f t="shared" ref="AG451:AG514" ca="1" si="256">X451</f>
        <v>8.7592761491935424E-5</v>
      </c>
      <c r="AH451" s="3">
        <f t="shared" ref="AH451:AH514" ca="1" si="257">Y451</f>
        <v>-5.9712683055655271E-5</v>
      </c>
      <c r="AI451" s="3">
        <f t="shared" ref="AI451:AI514" ca="1" si="258">IF($Y451&gt;0,Z451-($B$25/$B$23*$Y451),Z451)</f>
        <v>1.0541419894749047E-2</v>
      </c>
      <c r="AJ451" s="3">
        <f t="shared" ref="AJ451:AJ514" ca="1" si="259">IF($Y451&gt;0,AA451-($B$26/$B$23*$Y451),AA451)</f>
        <v>3.4342311276340179E-4</v>
      </c>
      <c r="AK451" s="3">
        <f t="shared" ref="AK451:AK514" ca="1" si="260">AB451</f>
        <v>0.20663153074180901</v>
      </c>
      <c r="AL451" s="3">
        <f t="shared" ref="AL451:AL514" ca="1" si="261">AC451</f>
        <v>4.5095850341373037E-6</v>
      </c>
      <c r="AM451" s="3">
        <f t="shared" ref="AM451:AM514" ca="1" si="262">AD451</f>
        <v>0.1495083083014225</v>
      </c>
      <c r="AN451" s="3">
        <f t="shared" ref="AN451:AN514" ca="1" si="263">AE451</f>
        <v>1.7957789170583589</v>
      </c>
      <c r="AP451" s="3">
        <f t="shared" ref="AP451:AP514" ca="1" si="264">IF(AND(S451&gt;0,V451&gt;0),V451/S451, #N/A)</f>
        <v>8.6904925483898037</v>
      </c>
      <c r="AQ451" s="3">
        <f t="shared" ca="1" si="231"/>
        <v>0.40036331096910721</v>
      </c>
      <c r="AR451" s="3">
        <f t="shared" ref="AR451:AR514" ca="1" si="265">AQ451*R451</f>
        <v>1.3782835707655295E-4</v>
      </c>
      <c r="AS451" s="3">
        <f t="shared" ref="AS451:AS514" ca="1" si="266">U451-AR451</f>
        <v>0.14937944842603995</v>
      </c>
      <c r="AT451" s="3">
        <f t="shared" ref="AT451:AT514" ca="1" si="267">(AS451/S451)/((AP451/$B$10)^$B$12)</f>
        <v>0.70957688168920552</v>
      </c>
      <c r="AU451" s="3">
        <f t="shared" ref="AU451:AU514" ca="1" si="268">(Q451/S451)/((AP451/$B$10)^$B$13)</f>
        <v>5.2980134425339005E-2</v>
      </c>
      <c r="AV451" s="10" t="str">
        <f t="shared" ca="1" si="232"/>
        <v>rejected</v>
      </c>
      <c r="AW451" s="10" t="e">
        <f t="shared" ca="1" si="233"/>
        <v>#N/A</v>
      </c>
      <c r="AY451" s="3">
        <f t="shared" ca="1" si="239"/>
        <v>8.6907303576153012</v>
      </c>
      <c r="AZ451" s="3">
        <f t="shared" ca="1" si="234"/>
        <v>0.40037439951066039</v>
      </c>
      <c r="BA451" s="3">
        <f t="shared" ref="BA451:BA514" ca="1" si="269">AZ451*AJ451</f>
        <v>1.374978225507288E-4</v>
      </c>
      <c r="BB451" s="3">
        <f t="shared" ca="1" si="235"/>
        <v>0.14937081047887177</v>
      </c>
      <c r="BC451" s="3">
        <f t="shared" ca="1" si="236"/>
        <v>0.70954692608061454</v>
      </c>
      <c r="BD451" s="3">
        <f t="shared" ref="BD451:BD514" ca="1" si="270">(AI451/AK451)/((AY451/$B$10)^$B$13)</f>
        <v>5.2983001662743404E-2</v>
      </c>
      <c r="BE451" s="3" t="str">
        <f t="shared" ca="1" si="237"/>
        <v>rejected</v>
      </c>
      <c r="BF451" s="3" t="e">
        <f t="shared" ca="1" si="238"/>
        <v>#N/A</v>
      </c>
    </row>
    <row r="452" spans="1:58" ht="15" x14ac:dyDescent="0.25">
      <c r="A452" s="72">
        <v>386</v>
      </c>
      <c r="B452" s="72">
        <v>1498730322.848</v>
      </c>
      <c r="C452" s="73">
        <v>3.5775222687806801E-4</v>
      </c>
      <c r="D452" s="73">
        <v>3.8267418452135801E-5</v>
      </c>
      <c r="E452" s="73">
        <v>1.23968199489769E-2</v>
      </c>
      <c r="F452" s="73">
        <v>4.24252733062043E-4</v>
      </c>
      <c r="G452" s="73">
        <v>0.22842498193148</v>
      </c>
      <c r="H452" s="73">
        <v>3.4510207213998503E-5</v>
      </c>
      <c r="I452" s="73">
        <v>0.164949743236673</v>
      </c>
      <c r="J452" s="73">
        <v>1.98118076143708</v>
      </c>
      <c r="K452" s="73"/>
      <c r="L452" s="73"/>
      <c r="M452" s="73"/>
      <c r="O452" s="13">
        <f t="shared" ca="1" si="240"/>
        <v>9.3064997606506425E-5</v>
      </c>
      <c r="P452" s="13">
        <f t="shared" ca="1" si="241"/>
        <v>2.6979943067295629E-5</v>
      </c>
      <c r="Q452" s="13">
        <f t="shared" ca="1" si="242"/>
        <v>1.1556080331004215E-2</v>
      </c>
      <c r="R452" s="13">
        <f t="shared" ca="1" si="243"/>
        <v>4.1447645417136186E-4</v>
      </c>
      <c r="S452" s="13">
        <f t="shared" ca="1" si="244"/>
        <v>0.22728990329823864</v>
      </c>
      <c r="T452" s="13">
        <f t="shared" ca="1" si="245"/>
        <v>3.4160385702974413E-5</v>
      </c>
      <c r="U452" s="13">
        <f t="shared" ca="1" si="246"/>
        <v>0.16429589924188448</v>
      </c>
      <c r="V452" s="13">
        <f t="shared" ca="1" si="247"/>
        <v>1.9740419805146259</v>
      </c>
      <c r="X452" s="3">
        <f t="shared" ca="1" si="248"/>
        <v>9.3064997606506425E-5</v>
      </c>
      <c r="Y452" s="3">
        <f t="shared" ca="1" si="249"/>
        <v>2.6979943067295629E-5</v>
      </c>
      <c r="Z452" s="3">
        <f t="shared" ca="1" si="250"/>
        <v>1.1555818978491105E-2</v>
      </c>
      <c r="AA452" s="3">
        <f t="shared" ca="1" si="251"/>
        <v>4.0815053538813701E-4</v>
      </c>
      <c r="AB452" s="3">
        <f t="shared" ca="1" si="252"/>
        <v>0.22724389931610148</v>
      </c>
      <c r="AC452" s="3">
        <f t="shared" ca="1" si="253"/>
        <v>3.4160385702974413E-5</v>
      </c>
      <c r="AD452" s="3">
        <f t="shared" ca="1" si="254"/>
        <v>0.16422796243805055</v>
      </c>
      <c r="AE452" s="3">
        <f t="shared" ca="1" si="255"/>
        <v>1.974014413340049</v>
      </c>
      <c r="AG452" s="3">
        <f t="shared" ca="1" si="256"/>
        <v>9.3064997606506425E-5</v>
      </c>
      <c r="AH452" s="3">
        <f t="shared" ca="1" si="257"/>
        <v>2.6979943067295629E-5</v>
      </c>
      <c r="AI452" s="3">
        <f t="shared" ca="1" si="258"/>
        <v>1.1534086777458921E-2</v>
      </c>
      <c r="AJ452" s="3">
        <f t="shared" ca="1" si="259"/>
        <v>3.9614995554285615E-4</v>
      </c>
      <c r="AK452" s="3">
        <f t="shared" ca="1" si="260"/>
        <v>0.22724389931610148</v>
      </c>
      <c r="AL452" s="3">
        <f t="shared" ca="1" si="261"/>
        <v>3.4160385702974413E-5</v>
      </c>
      <c r="AM452" s="3">
        <f t="shared" ca="1" si="262"/>
        <v>0.16422796243805055</v>
      </c>
      <c r="AN452" s="3">
        <f t="shared" ca="1" si="263"/>
        <v>1.974014413340049</v>
      </c>
      <c r="AP452" s="3">
        <f t="shared" ca="1" si="264"/>
        <v>8.6851283399262353</v>
      </c>
      <c r="AQ452" s="3">
        <f t="shared" ref="AQ452:AQ515" ca="1" si="271">$B$8*((AP452/$B$10)^$B$11)</f>
        <v>0.40011319024416409</v>
      </c>
      <c r="AR452" s="3">
        <f t="shared" ca="1" si="265"/>
        <v>1.6583749635959267E-4</v>
      </c>
      <c r="AS452" s="3">
        <f t="shared" ca="1" si="266"/>
        <v>0.16413006174552489</v>
      </c>
      <c r="AT452" s="3">
        <f t="shared" ca="1" si="267"/>
        <v>0.70902409023008217</v>
      </c>
      <c r="AU452" s="3">
        <f t="shared" ca="1" si="268"/>
        <v>5.2768882997425416E-2</v>
      </c>
      <c r="AV452" s="10">
        <f t="shared" ref="AV452:AV515" ca="1" si="272">IF(AND(AT452&lt;$M$3,AT452&gt;$M$4),AT452,"rejected")</f>
        <v>0.70902409023008217</v>
      </c>
      <c r="AW452" s="10">
        <f t="shared" ref="AW452:AW515" ca="1" si="273">IF(AND(AT452&lt;$M$3,AT452&gt;$M$4),AT452,#N/A)</f>
        <v>0.70902409023008217</v>
      </c>
      <c r="AY452" s="3">
        <f t="shared" ca="1" si="239"/>
        <v>8.6867652741433989</v>
      </c>
      <c r="AZ452" s="3">
        <f t="shared" ref="AZ452:AZ515" ca="1" si="274">$B$8*((AY452/$B$10)^$B$11)</f>
        <v>0.40018951652987345</v>
      </c>
      <c r="BA452" s="3">
        <f t="shared" ca="1" si="269"/>
        <v>1.5853505918202645E-4</v>
      </c>
      <c r="BB452" s="3">
        <f t="shared" ref="BB452:BB515" ca="1" si="275">AM452-BA452</f>
        <v>0.16406942737886851</v>
      </c>
      <c r="BC452" s="3">
        <f t="shared" ref="BC452:BC515" ca="1" si="276">(BB452/AK452)/((AY452/$B$10)^$B$12)</f>
        <v>0.708838364154733</v>
      </c>
      <c r="BD452" s="3">
        <f t="shared" ca="1" si="270"/>
        <v>5.2689275125782128E-2</v>
      </c>
      <c r="BE452" s="3">
        <f t="shared" ref="BE452:BE515" ca="1" si="277">IF(AND(BC452&lt;$P$3,BC452&gt;$P$4),BC452,"rejected")</f>
        <v>0.708838364154733</v>
      </c>
      <c r="BF452" s="3">
        <f t="shared" ref="BF452:BF515" ca="1" si="278">IF(AND(BC452&lt;$P$3,BC452&gt;$P$4),BC452,#N/A)</f>
        <v>0.708838364154733</v>
      </c>
    </row>
    <row r="453" spans="1:58" ht="15" x14ac:dyDescent="0.25">
      <c r="A453" s="72">
        <v>387</v>
      </c>
      <c r="B453" s="72">
        <v>1498730323.375</v>
      </c>
      <c r="C453" s="73">
        <v>1.6196000261127101E-4</v>
      </c>
      <c r="D453" s="73">
        <v>-3.5197394780369103E-5</v>
      </c>
      <c r="E453" s="73">
        <v>1.2144693242922701E-2</v>
      </c>
      <c r="F453" s="73">
        <v>5.1209199388811005E-4</v>
      </c>
      <c r="G453" s="73">
        <v>0.222012162282817</v>
      </c>
      <c r="H453" s="73">
        <v>2.9831643364374501E-5</v>
      </c>
      <c r="I453" s="73">
        <v>0.160408721935791</v>
      </c>
      <c r="J453" s="73">
        <v>1.9275782525646801</v>
      </c>
      <c r="K453" s="73"/>
      <c r="L453" s="73"/>
      <c r="M453" s="73"/>
      <c r="O453" s="13">
        <f t="shared" ca="1" si="240"/>
        <v>-1.0272722666029057E-4</v>
      </c>
      <c r="P453" s="13">
        <f t="shared" ca="1" si="241"/>
        <v>-4.6484870165209274E-5</v>
      </c>
      <c r="Q453" s="13">
        <f t="shared" ca="1" si="242"/>
        <v>1.1303953624950016E-2</v>
      </c>
      <c r="R453" s="13">
        <f t="shared" ca="1" si="243"/>
        <v>5.0231571499742892E-4</v>
      </c>
      <c r="S453" s="13">
        <f t="shared" ca="1" si="244"/>
        <v>0.22087708364957565</v>
      </c>
      <c r="T453" s="13">
        <f t="shared" ca="1" si="245"/>
        <v>2.9481821853350414E-5</v>
      </c>
      <c r="U453" s="13">
        <f t="shared" ca="1" si="246"/>
        <v>0.15975487794100249</v>
      </c>
      <c r="V453" s="13">
        <f t="shared" ca="1" si="247"/>
        <v>1.9204394716422259</v>
      </c>
      <c r="X453" s="3">
        <f t="shared" ca="1" si="248"/>
        <v>-1.0272722666029057E-4</v>
      </c>
      <c r="Y453" s="3">
        <f t="shared" ca="1" si="249"/>
        <v>-4.6484870165209274E-5</v>
      </c>
      <c r="Z453" s="3">
        <f t="shared" ca="1" si="250"/>
        <v>1.1303728066951362E-2</v>
      </c>
      <c r="AA453" s="3">
        <f t="shared" ca="1" si="251"/>
        <v>4.968561861663607E-4</v>
      </c>
      <c r="AB453" s="3">
        <f t="shared" ca="1" si="252"/>
        <v>0.2208373803154943</v>
      </c>
      <c r="AC453" s="3">
        <f t="shared" ca="1" si="253"/>
        <v>2.9481821853350414E-5</v>
      </c>
      <c r="AD453" s="3">
        <f t="shared" ca="1" si="254"/>
        <v>0.15969624567714771</v>
      </c>
      <c r="AE453" s="3">
        <f t="shared" ca="1" si="255"/>
        <v>1.9204156800335204</v>
      </c>
      <c r="AG453" s="3">
        <f t="shared" ca="1" si="256"/>
        <v>-1.0272722666029057E-4</v>
      </c>
      <c r="AH453" s="3">
        <f t="shared" ca="1" si="257"/>
        <v>-4.6484870165209274E-5</v>
      </c>
      <c r="AI453" s="3">
        <f t="shared" ca="1" si="258"/>
        <v>1.1303728066951362E-2</v>
      </c>
      <c r="AJ453" s="3">
        <f t="shared" ca="1" si="259"/>
        <v>4.968561861663607E-4</v>
      </c>
      <c r="AK453" s="3">
        <f t="shared" ca="1" si="260"/>
        <v>0.2208373803154943</v>
      </c>
      <c r="AL453" s="3">
        <f t="shared" ca="1" si="261"/>
        <v>2.9481821853350414E-5</v>
      </c>
      <c r="AM453" s="3">
        <f t="shared" ca="1" si="262"/>
        <v>0.15969624567714771</v>
      </c>
      <c r="AN453" s="3">
        <f t="shared" ca="1" si="263"/>
        <v>1.9204156800335204</v>
      </c>
      <c r="AP453" s="3">
        <f t="shared" ca="1" si="264"/>
        <v>8.6946071539455314</v>
      </c>
      <c r="AQ453" s="3">
        <f t="shared" ca="1" si="271"/>
        <v>0.40055516684851422</v>
      </c>
      <c r="AR453" s="3">
        <f t="shared" ca="1" si="265"/>
        <v>2.0120515503142586E-4</v>
      </c>
      <c r="AS453" s="3">
        <f t="shared" ca="1" si="266"/>
        <v>0.15955367278597107</v>
      </c>
      <c r="AT453" s="3">
        <f t="shared" ca="1" si="267"/>
        <v>0.70887650839349536</v>
      </c>
      <c r="AU453" s="3">
        <f t="shared" ca="1" si="268"/>
        <v>5.3175543649318757E-2</v>
      </c>
      <c r="AV453" s="10">
        <f t="shared" ca="1" si="272"/>
        <v>0.70887650839349536</v>
      </c>
      <c r="AW453" s="10">
        <f t="shared" ca="1" si="273"/>
        <v>0.70887650839349536</v>
      </c>
      <c r="AY453" s="3">
        <f t="shared" ref="AY453:AY516" ca="1" si="279">IF(AND(AN453&gt;0, AK453&gt;0),AN453/AK453, #N/A)</f>
        <v>8.6960625836530134</v>
      </c>
      <c r="AZ453" s="3">
        <f t="shared" ca="1" si="274"/>
        <v>0.40062303090683155</v>
      </c>
      <c r="BA453" s="3">
        <f t="shared" ca="1" si="269"/>
        <v>1.9905203122677636E-4</v>
      </c>
      <c r="BB453" s="3">
        <f t="shared" ca="1" si="275"/>
        <v>0.15949719364592094</v>
      </c>
      <c r="BC453" s="3">
        <f t="shared" ca="1" si="276"/>
        <v>0.70869323985874377</v>
      </c>
      <c r="BD453" s="3">
        <f t="shared" ca="1" si="270"/>
        <v>5.3193152312714841E-2</v>
      </c>
      <c r="BE453" s="3">
        <f t="shared" ca="1" si="277"/>
        <v>0.70869323985874377</v>
      </c>
      <c r="BF453" s="3">
        <f t="shared" ca="1" si="278"/>
        <v>0.70869323985874377</v>
      </c>
    </row>
    <row r="454" spans="1:58" ht="15" x14ac:dyDescent="0.25">
      <c r="A454" s="72">
        <v>388</v>
      </c>
      <c r="B454" s="72">
        <v>1498730323.902</v>
      </c>
      <c r="C454" s="73">
        <v>2.4641002052965699E-4</v>
      </c>
      <c r="D454" s="73">
        <v>-1.19521680535776E-4</v>
      </c>
      <c r="E454" s="73">
        <v>1.23245709136879E-2</v>
      </c>
      <c r="F454" s="73">
        <v>4.3115580992800798E-4</v>
      </c>
      <c r="G454" s="73">
        <v>0.225847262454027</v>
      </c>
      <c r="H454" s="73">
        <v>-4.2657889064867898E-5</v>
      </c>
      <c r="I454" s="73">
        <v>0.16318762343878401</v>
      </c>
      <c r="J454" s="73">
        <v>1.96159337091911</v>
      </c>
      <c r="K454" s="73"/>
      <c r="L454" s="73"/>
      <c r="M454" s="73"/>
      <c r="O454" s="13">
        <f t="shared" ca="1" si="240"/>
        <v>-1.8277208741904595E-5</v>
      </c>
      <c r="P454" s="13">
        <f t="shared" ca="1" si="241"/>
        <v>-1.3080915592061617E-4</v>
      </c>
      <c r="Q454" s="13">
        <f t="shared" ca="1" si="242"/>
        <v>1.1483831295715214E-2</v>
      </c>
      <c r="R454" s="13">
        <f t="shared" ca="1" si="243"/>
        <v>4.2137953103732684E-4</v>
      </c>
      <c r="S454" s="13">
        <f t="shared" ca="1" si="244"/>
        <v>0.22471218382078564</v>
      </c>
      <c r="T454" s="13">
        <f t="shared" ca="1" si="245"/>
        <v>-4.3007710575891987E-5</v>
      </c>
      <c r="U454" s="13">
        <f t="shared" ca="1" si="246"/>
        <v>0.1625337794439955</v>
      </c>
      <c r="V454" s="13">
        <f t="shared" ca="1" si="247"/>
        <v>1.9544545899966559</v>
      </c>
      <c r="X454" s="3">
        <f t="shared" ca="1" si="248"/>
        <v>-1.8277208741904595E-5</v>
      </c>
      <c r="Y454" s="3">
        <f t="shared" ca="1" si="249"/>
        <v>-1.3080915592061617E-4</v>
      </c>
      <c r="Z454" s="3">
        <f t="shared" ca="1" si="250"/>
        <v>1.1483831295715214E-2</v>
      </c>
      <c r="AA454" s="3">
        <f t="shared" ca="1" si="251"/>
        <v>4.2137953103732684E-4</v>
      </c>
      <c r="AB454" s="3">
        <f t="shared" ca="1" si="252"/>
        <v>0.22471218382078564</v>
      </c>
      <c r="AC454" s="3">
        <f t="shared" ca="1" si="253"/>
        <v>-4.3007710575891987E-5</v>
      </c>
      <c r="AD454" s="3">
        <f t="shared" ca="1" si="254"/>
        <v>0.1625337794439955</v>
      </c>
      <c r="AE454" s="3">
        <f t="shared" ca="1" si="255"/>
        <v>1.9544545899966559</v>
      </c>
      <c r="AG454" s="3">
        <f t="shared" ca="1" si="256"/>
        <v>-1.8277208741904595E-5</v>
      </c>
      <c r="AH454" s="3">
        <f t="shared" ca="1" si="257"/>
        <v>-1.3080915592061617E-4</v>
      </c>
      <c r="AI454" s="3">
        <f t="shared" ca="1" si="258"/>
        <v>1.1483831295715214E-2</v>
      </c>
      <c r="AJ454" s="3">
        <f t="shared" ca="1" si="259"/>
        <v>4.2137953103732684E-4</v>
      </c>
      <c r="AK454" s="3">
        <f t="shared" ca="1" si="260"/>
        <v>0.22471218382078564</v>
      </c>
      <c r="AL454" s="3">
        <f t="shared" ca="1" si="261"/>
        <v>-4.3007710575891987E-5</v>
      </c>
      <c r="AM454" s="3">
        <f t="shared" ca="1" si="262"/>
        <v>0.1625337794439955</v>
      </c>
      <c r="AN454" s="3">
        <f t="shared" ca="1" si="263"/>
        <v>1.9544545899966559</v>
      </c>
      <c r="AP454" s="3">
        <f t="shared" ca="1" si="264"/>
        <v>8.6975906546989421</v>
      </c>
      <c r="AQ454" s="3">
        <f t="shared" ca="1" si="271"/>
        <v>0.40069428224779435</v>
      </c>
      <c r="AR454" s="3">
        <f t="shared" ca="1" si="265"/>
        <v>1.6884436874291386E-4</v>
      </c>
      <c r="AS454" s="3">
        <f t="shared" ca="1" si="266"/>
        <v>0.16236493507525257</v>
      </c>
      <c r="AT454" s="3">
        <f t="shared" ca="1" si="267"/>
        <v>0.70893272726986112</v>
      </c>
      <c r="AU454" s="3">
        <f t="shared" ca="1" si="268"/>
        <v>5.311838699876302E-2</v>
      </c>
      <c r="AV454" s="10">
        <f t="shared" ca="1" si="272"/>
        <v>0.70893272726986112</v>
      </c>
      <c r="AW454" s="10">
        <f t="shared" ca="1" si="273"/>
        <v>0.70893272726986112</v>
      </c>
      <c r="AY454" s="3">
        <f t="shared" ca="1" si="279"/>
        <v>8.6975906546989421</v>
      </c>
      <c r="AZ454" s="3">
        <f t="shared" ca="1" si="274"/>
        <v>0.40069428224779435</v>
      </c>
      <c r="BA454" s="3">
        <f t="shared" ca="1" si="269"/>
        <v>1.6884436874291386E-4</v>
      </c>
      <c r="BB454" s="3">
        <f t="shared" ca="1" si="275"/>
        <v>0.16236493507525257</v>
      </c>
      <c r="BC454" s="3">
        <f t="shared" ca="1" si="276"/>
        <v>0.70893272726986112</v>
      </c>
      <c r="BD454" s="3">
        <f t="shared" ca="1" si="270"/>
        <v>5.311838699876302E-2</v>
      </c>
      <c r="BE454" s="3">
        <f t="shared" ca="1" si="277"/>
        <v>0.70893272726986112</v>
      </c>
      <c r="BF454" s="3">
        <f t="shared" ca="1" si="278"/>
        <v>0.70893272726986112</v>
      </c>
    </row>
    <row r="455" spans="1:58" ht="15" x14ac:dyDescent="0.25">
      <c r="A455" s="72">
        <v>389</v>
      </c>
      <c r="B455" s="72">
        <v>1498730324.4289999</v>
      </c>
      <c r="C455" s="73">
        <v>2.3213627649774899E-4</v>
      </c>
      <c r="D455" s="73">
        <v>2.8818263045869799E-5</v>
      </c>
      <c r="E455" s="73">
        <v>1.21271165522736E-2</v>
      </c>
      <c r="F455" s="73">
        <v>3.2142633982399201E-4</v>
      </c>
      <c r="G455" s="73">
        <v>0.22141281713036901</v>
      </c>
      <c r="H455" s="73">
        <v>8.6154718474827893E-6</v>
      </c>
      <c r="I455" s="73">
        <v>0.16005734261895899</v>
      </c>
      <c r="J455" s="73">
        <v>1.9241390960750999</v>
      </c>
      <c r="K455" s="73"/>
      <c r="L455" s="73"/>
      <c r="M455" s="73"/>
      <c r="O455" s="13">
        <f t="shared" ca="1" si="240"/>
        <v>-3.2550952773812596E-5</v>
      </c>
      <c r="P455" s="13">
        <f t="shared" ca="1" si="241"/>
        <v>1.7530787661029624E-5</v>
      </c>
      <c r="Q455" s="13">
        <f t="shared" ca="1" si="242"/>
        <v>1.1286376934300915E-2</v>
      </c>
      <c r="R455" s="13">
        <f t="shared" ca="1" si="243"/>
        <v>3.1165006093331087E-4</v>
      </c>
      <c r="S455" s="13">
        <f t="shared" ca="1" si="244"/>
        <v>0.22027773849712765</v>
      </c>
      <c r="T455" s="13">
        <f t="shared" ca="1" si="245"/>
        <v>8.2656503364587028E-6</v>
      </c>
      <c r="U455" s="13">
        <f t="shared" ca="1" si="246"/>
        <v>0.15940349862417047</v>
      </c>
      <c r="V455" s="13">
        <f t="shared" ca="1" si="247"/>
        <v>1.9170003151526458</v>
      </c>
      <c r="X455" s="3">
        <f t="shared" ca="1" si="248"/>
        <v>-3.2550952773812596E-5</v>
      </c>
      <c r="Y455" s="3">
        <f t="shared" ca="1" si="249"/>
        <v>1.7530787661029624E-5</v>
      </c>
      <c r="Z455" s="3">
        <f t="shared" ca="1" si="250"/>
        <v>1.1286313695890591E-2</v>
      </c>
      <c r="AA455" s="3">
        <f t="shared" ca="1" si="251"/>
        <v>3.101194039561439E-4</v>
      </c>
      <c r="AB455" s="3">
        <f t="shared" ca="1" si="252"/>
        <v>0.22026660709967397</v>
      </c>
      <c r="AC455" s="3">
        <f t="shared" ca="1" si="253"/>
        <v>8.2656503364587028E-6</v>
      </c>
      <c r="AD455" s="3">
        <f t="shared" ca="1" si="254"/>
        <v>0.15938706023057767</v>
      </c>
      <c r="AE455" s="3">
        <f t="shared" ca="1" si="255"/>
        <v>1.9169936448349334</v>
      </c>
      <c r="AG455" s="3">
        <f t="shared" ca="1" si="256"/>
        <v>-3.2550952773812596E-5</v>
      </c>
      <c r="AH455" s="3">
        <f t="shared" ca="1" si="257"/>
        <v>1.7530787661029624E-5</v>
      </c>
      <c r="AI455" s="3">
        <f t="shared" ca="1" si="258"/>
        <v>1.1272192739417417E-2</v>
      </c>
      <c r="AJ455" s="3">
        <f t="shared" ca="1" si="259"/>
        <v>3.0232177382208083E-4</v>
      </c>
      <c r="AK455" s="3">
        <f t="shared" ca="1" si="260"/>
        <v>0.22026660709967397</v>
      </c>
      <c r="AL455" s="3">
        <f t="shared" ca="1" si="261"/>
        <v>8.2656503364587028E-6</v>
      </c>
      <c r="AM455" s="3">
        <f t="shared" ca="1" si="262"/>
        <v>0.15938706023057767</v>
      </c>
      <c r="AN455" s="3">
        <f t="shared" ca="1" si="263"/>
        <v>1.9169936448349334</v>
      </c>
      <c r="AP455" s="3">
        <f t="shared" ca="1" si="264"/>
        <v>8.7026511540912832</v>
      </c>
      <c r="AQ455" s="3">
        <f t="shared" ca="1" si="271"/>
        <v>0.40093024576846287</v>
      </c>
      <c r="AR455" s="3">
        <f t="shared" ca="1" si="265"/>
        <v>1.2494993552374876E-4</v>
      </c>
      <c r="AS455" s="3">
        <f t="shared" ca="1" si="266"/>
        <v>0.15927854868864672</v>
      </c>
      <c r="AT455" s="3">
        <f t="shared" ca="1" si="267"/>
        <v>0.70924922560755765</v>
      </c>
      <c r="AU455" s="3">
        <f t="shared" ca="1" si="268"/>
        <v>5.3287717831169944E-2</v>
      </c>
      <c r="AV455" s="10">
        <f t="shared" ca="1" si="272"/>
        <v>0.70924922560755765</v>
      </c>
      <c r="AW455" s="10">
        <f t="shared" ca="1" si="273"/>
        <v>0.70924922560755765</v>
      </c>
      <c r="AY455" s="3">
        <f t="shared" ca="1" si="279"/>
        <v>8.7030606685082539</v>
      </c>
      <c r="AZ455" s="3">
        <f t="shared" ca="1" si="274"/>
        <v>0.40094934088625617</v>
      </c>
      <c r="BA455" s="3">
        <f t="shared" ca="1" si="269"/>
        <v>1.2121571594952712E-4</v>
      </c>
      <c r="BB455" s="3">
        <f t="shared" ca="1" si="275"/>
        <v>0.15926584451462814</v>
      </c>
      <c r="BC455" s="3">
        <f t="shared" ca="1" si="276"/>
        <v>0.70921168898675413</v>
      </c>
      <c r="BD455" s="3">
        <f t="shared" ca="1" si="270"/>
        <v>5.3226000593805743E-2</v>
      </c>
      <c r="BE455" s="3">
        <f t="shared" ca="1" si="277"/>
        <v>0.70921168898675413</v>
      </c>
      <c r="BF455" s="3">
        <f t="shared" ca="1" si="278"/>
        <v>0.70921168898675413</v>
      </c>
    </row>
    <row r="456" spans="1:58" ht="15" x14ac:dyDescent="0.25">
      <c r="A456" s="72">
        <v>390</v>
      </c>
      <c r="B456" s="72">
        <v>1498730324.9560001</v>
      </c>
      <c r="C456" s="73">
        <v>3.2420551182761099E-4</v>
      </c>
      <c r="D456" s="73">
        <v>3.7086269104953297E-5</v>
      </c>
      <c r="E456" s="73">
        <v>1.17619276108851E-2</v>
      </c>
      <c r="F456" s="73">
        <v>4.59244683659141E-4</v>
      </c>
      <c r="G456" s="73">
        <v>0.21559654936435399</v>
      </c>
      <c r="H456" s="73">
        <v>-4.9316048930935401E-5</v>
      </c>
      <c r="I456" s="73">
        <v>0.15572870157555799</v>
      </c>
      <c r="J456" s="73">
        <v>1.87251113426972</v>
      </c>
      <c r="K456" s="73"/>
      <c r="L456" s="73"/>
      <c r="M456" s="73"/>
      <c r="O456" s="13">
        <f t="shared" ca="1" si="240"/>
        <v>5.9518282556049408E-5</v>
      </c>
      <c r="P456" s="13">
        <f t="shared" ca="1" si="241"/>
        <v>2.5798793720113126E-5</v>
      </c>
      <c r="Q456" s="13">
        <f t="shared" ca="1" si="242"/>
        <v>1.0921187992912414E-2</v>
      </c>
      <c r="R456" s="13">
        <f t="shared" ca="1" si="243"/>
        <v>4.4946840476845987E-4</v>
      </c>
      <c r="S456" s="13">
        <f t="shared" ca="1" si="244"/>
        <v>0.21446147073111263</v>
      </c>
      <c r="T456" s="13">
        <f t="shared" ca="1" si="245"/>
        <v>-4.9665870441959491E-5</v>
      </c>
      <c r="U456" s="13">
        <f t="shared" ca="1" si="246"/>
        <v>0.15507485758076947</v>
      </c>
      <c r="V456" s="13">
        <f t="shared" ca="1" si="247"/>
        <v>1.8653723533472659</v>
      </c>
      <c r="X456" s="3">
        <f t="shared" ca="1" si="248"/>
        <v>5.9518282556049408E-5</v>
      </c>
      <c r="Y456" s="3">
        <f t="shared" ca="1" si="249"/>
        <v>2.5798793720113126E-5</v>
      </c>
      <c r="Z456" s="3">
        <f t="shared" ca="1" si="250"/>
        <v>1.0921187992912414E-2</v>
      </c>
      <c r="AA456" s="3">
        <f t="shared" ca="1" si="251"/>
        <v>4.4946840476845987E-4</v>
      </c>
      <c r="AB456" s="3">
        <f t="shared" ca="1" si="252"/>
        <v>0.21446147073111263</v>
      </c>
      <c r="AC456" s="3">
        <f t="shared" ca="1" si="253"/>
        <v>-4.9665870441959491E-5</v>
      </c>
      <c r="AD456" s="3">
        <f t="shared" ca="1" si="254"/>
        <v>0.15507485758076947</v>
      </c>
      <c r="AE456" s="3">
        <f t="shared" ca="1" si="255"/>
        <v>1.8653723533472659</v>
      </c>
      <c r="AG456" s="3">
        <f t="shared" ca="1" si="256"/>
        <v>5.9518282556049408E-5</v>
      </c>
      <c r="AH456" s="3">
        <f t="shared" ca="1" si="257"/>
        <v>2.5798793720113126E-5</v>
      </c>
      <c r="AI456" s="3">
        <f t="shared" ca="1" si="258"/>
        <v>1.0900407201414268E-2</v>
      </c>
      <c r="AJ456" s="3">
        <f t="shared" ca="1" si="259"/>
        <v>4.3799319582610156E-4</v>
      </c>
      <c r="AK456" s="3">
        <f t="shared" ca="1" si="260"/>
        <v>0.21446147073111263</v>
      </c>
      <c r="AL456" s="3">
        <f t="shared" ca="1" si="261"/>
        <v>-4.9665870441959491E-5</v>
      </c>
      <c r="AM456" s="3">
        <f t="shared" ca="1" si="262"/>
        <v>0.15507485758076947</v>
      </c>
      <c r="AN456" s="3">
        <f t="shared" ca="1" si="263"/>
        <v>1.8653723533472659</v>
      </c>
      <c r="AP456" s="3">
        <f t="shared" ca="1" si="264"/>
        <v>8.6979369627005472</v>
      </c>
      <c r="AQ456" s="3">
        <f t="shared" ca="1" si="271"/>
        <v>0.4007104300190748</v>
      </c>
      <c r="AR456" s="3">
        <f t="shared" ca="1" si="265"/>
        <v>1.8010667775475713E-4</v>
      </c>
      <c r="AS456" s="3">
        <f t="shared" ca="1" si="266"/>
        <v>0.15489475090301472</v>
      </c>
      <c r="AT456" s="3">
        <f t="shared" ca="1" si="267"/>
        <v>0.70862768474530469</v>
      </c>
      <c r="AU456" s="3">
        <f t="shared" ca="1" si="268"/>
        <v>5.2932571402090602E-2</v>
      </c>
      <c r="AV456" s="10">
        <f t="shared" ca="1" si="272"/>
        <v>0.70862768474530469</v>
      </c>
      <c r="AW456" s="10">
        <f t="shared" ca="1" si="273"/>
        <v>0.70862768474530469</v>
      </c>
      <c r="AY456" s="3">
        <f t="shared" ca="1" si="279"/>
        <v>8.6979369627005472</v>
      </c>
      <c r="AZ456" s="3">
        <f t="shared" ca="1" si="274"/>
        <v>0.4007104300190748</v>
      </c>
      <c r="BA456" s="3">
        <f t="shared" ca="1" si="269"/>
        <v>1.7550844184490599E-4</v>
      </c>
      <c r="BB456" s="3">
        <f t="shared" ca="1" si="275"/>
        <v>0.15489934913892456</v>
      </c>
      <c r="BC456" s="3">
        <f t="shared" ca="1" si="276"/>
        <v>0.70864872120553157</v>
      </c>
      <c r="BD456" s="3">
        <f t="shared" ca="1" si="270"/>
        <v>5.2831851523403278E-2</v>
      </c>
      <c r="BE456" s="3">
        <f t="shared" ca="1" si="277"/>
        <v>0.70864872120553157</v>
      </c>
      <c r="BF456" s="3">
        <f t="shared" ca="1" si="278"/>
        <v>0.70864872120553157</v>
      </c>
    </row>
    <row r="457" spans="1:58" ht="15" x14ac:dyDescent="0.25">
      <c r="A457" s="72">
        <v>391</v>
      </c>
      <c r="B457" s="72">
        <v>1498730325.483</v>
      </c>
      <c r="C457" s="73">
        <v>3.25395092379429E-4</v>
      </c>
      <c r="D457" s="73">
        <v>9.6854190606117998E-5</v>
      </c>
      <c r="E457" s="73">
        <v>1.1753503582245899E-2</v>
      </c>
      <c r="F457" s="73">
        <v>4.3186992405078498E-4</v>
      </c>
      <c r="G457" s="73">
        <v>0.21576237204763099</v>
      </c>
      <c r="H457" s="73">
        <v>-3.1630804122060097E-5</v>
      </c>
      <c r="I457" s="73">
        <v>0.15576894368151201</v>
      </c>
      <c r="J457" s="73">
        <v>1.87378367716065</v>
      </c>
      <c r="K457" s="73"/>
      <c r="L457" s="73"/>
      <c r="M457" s="73"/>
      <c r="O457" s="13">
        <f t="shared" ca="1" si="240"/>
        <v>6.0707863107867417E-5</v>
      </c>
      <c r="P457" s="13">
        <f t="shared" ca="1" si="241"/>
        <v>8.5566715221277819E-5</v>
      </c>
      <c r="Q457" s="13">
        <f t="shared" ca="1" si="242"/>
        <v>1.0912763964273214E-2</v>
      </c>
      <c r="R457" s="13">
        <f t="shared" ca="1" si="243"/>
        <v>4.2209364516010385E-4</v>
      </c>
      <c r="S457" s="13">
        <f t="shared" ca="1" si="244"/>
        <v>0.21462729341438963</v>
      </c>
      <c r="T457" s="13">
        <f t="shared" ca="1" si="245"/>
        <v>-3.1980625633084187E-5</v>
      </c>
      <c r="U457" s="13">
        <f t="shared" ca="1" si="246"/>
        <v>0.15511509968672349</v>
      </c>
      <c r="V457" s="13">
        <f t="shared" ca="1" si="247"/>
        <v>1.8666448962381958</v>
      </c>
      <c r="X457" s="3">
        <f t="shared" ca="1" si="248"/>
        <v>6.0707863107867417E-5</v>
      </c>
      <c r="Y457" s="3">
        <f t="shared" ca="1" si="249"/>
        <v>8.5566715221277819E-5</v>
      </c>
      <c r="Z457" s="3">
        <f t="shared" ca="1" si="250"/>
        <v>1.0912763964273214E-2</v>
      </c>
      <c r="AA457" s="3">
        <f t="shared" ca="1" si="251"/>
        <v>4.2209364516010385E-4</v>
      </c>
      <c r="AB457" s="3">
        <f t="shared" ca="1" si="252"/>
        <v>0.21462729341438963</v>
      </c>
      <c r="AC457" s="3">
        <f t="shared" ca="1" si="253"/>
        <v>-3.1980625633084187E-5</v>
      </c>
      <c r="AD457" s="3">
        <f t="shared" ca="1" si="254"/>
        <v>0.15511509968672349</v>
      </c>
      <c r="AE457" s="3">
        <f t="shared" ca="1" si="255"/>
        <v>1.8666448962381958</v>
      </c>
      <c r="AG457" s="3">
        <f t="shared" ca="1" si="256"/>
        <v>6.0707863107867417E-5</v>
      </c>
      <c r="AH457" s="3">
        <f t="shared" ca="1" si="257"/>
        <v>8.5566715221277819E-5</v>
      </c>
      <c r="AI457" s="3">
        <f t="shared" ca="1" si="258"/>
        <v>1.0843840429030232E-2</v>
      </c>
      <c r="AJ457" s="3">
        <f t="shared" ca="1" si="259"/>
        <v>3.8403388367172346E-4</v>
      </c>
      <c r="AK457" s="3">
        <f t="shared" ca="1" si="260"/>
        <v>0.21462729341438963</v>
      </c>
      <c r="AL457" s="3">
        <f t="shared" ca="1" si="261"/>
        <v>-3.1980625633084187E-5</v>
      </c>
      <c r="AM457" s="3">
        <f t="shared" ca="1" si="262"/>
        <v>0.15511509968672349</v>
      </c>
      <c r="AN457" s="3">
        <f t="shared" ca="1" si="263"/>
        <v>1.8666448962381958</v>
      </c>
      <c r="AP457" s="3">
        <f t="shared" ca="1" si="264"/>
        <v>8.6971459526081283</v>
      </c>
      <c r="AQ457" s="3">
        <f t="shared" ca="1" si="271"/>
        <v>0.40067354653375781</v>
      </c>
      <c r="AR457" s="3">
        <f t="shared" ca="1" si="265"/>
        <v>1.6912175777566033E-4</v>
      </c>
      <c r="AS457" s="3">
        <f t="shared" ca="1" si="266"/>
        <v>0.15494597792894782</v>
      </c>
      <c r="AT457" s="3">
        <f t="shared" ca="1" si="267"/>
        <v>0.70834681248358577</v>
      </c>
      <c r="AU457" s="3">
        <f t="shared" ca="1" si="268"/>
        <v>5.2845959320165531E-2</v>
      </c>
      <c r="AV457" s="10">
        <f t="shared" ca="1" si="272"/>
        <v>0.70834681248358577</v>
      </c>
      <c r="AW457" s="10">
        <f t="shared" ca="1" si="273"/>
        <v>0.70834681248358577</v>
      </c>
      <c r="AY457" s="3">
        <f t="shared" ca="1" si="279"/>
        <v>8.6971459526081283</v>
      </c>
      <c r="AZ457" s="3">
        <f t="shared" ca="1" si="274"/>
        <v>0.40067354653375781</v>
      </c>
      <c r="BA457" s="3">
        <f t="shared" ca="1" si="269"/>
        <v>1.5387221815988203E-4</v>
      </c>
      <c r="BB457" s="3">
        <f t="shared" ca="1" si="275"/>
        <v>0.15496122746856361</v>
      </c>
      <c r="BC457" s="3">
        <f t="shared" ca="1" si="276"/>
        <v>0.70841652686354628</v>
      </c>
      <c r="BD457" s="3">
        <f t="shared" ca="1" si="270"/>
        <v>5.2512191417590427E-2</v>
      </c>
      <c r="BE457" s="3">
        <f t="shared" ca="1" si="277"/>
        <v>0.70841652686354628</v>
      </c>
      <c r="BF457" s="3">
        <f t="shared" ca="1" si="278"/>
        <v>0.70841652686354628</v>
      </c>
    </row>
    <row r="458" spans="1:58" ht="15" x14ac:dyDescent="0.25">
      <c r="A458" s="72">
        <v>392</v>
      </c>
      <c r="B458" s="72">
        <v>1498730326.0090001</v>
      </c>
      <c r="C458" s="73">
        <v>3.5965562038202598E-4</v>
      </c>
      <c r="D458" s="73">
        <v>1.2709387817698401E-4</v>
      </c>
      <c r="E458" s="73">
        <v>1.19788103431103E-2</v>
      </c>
      <c r="F458" s="73">
        <v>4.2044415935090803E-4</v>
      </c>
      <c r="G458" s="73">
        <v>0.218053210172439</v>
      </c>
      <c r="H458" s="73">
        <v>4.8712654096960898E-5</v>
      </c>
      <c r="I458" s="73">
        <v>0.15742086121065299</v>
      </c>
      <c r="J458" s="73">
        <v>1.8927351374966299</v>
      </c>
      <c r="K458" s="73"/>
      <c r="L458" s="73"/>
      <c r="M458" s="73"/>
      <c r="O458" s="13">
        <f t="shared" ca="1" si="240"/>
        <v>9.4968391110464398E-5</v>
      </c>
      <c r="P458" s="13">
        <f t="shared" ca="1" si="241"/>
        <v>1.1580640279214383E-4</v>
      </c>
      <c r="Q458" s="13">
        <f t="shared" ca="1" si="242"/>
        <v>1.1138070725137615E-2</v>
      </c>
      <c r="R458" s="13">
        <f t="shared" ca="1" si="243"/>
        <v>4.1066788046022689E-4</v>
      </c>
      <c r="S458" s="13">
        <f t="shared" ca="1" si="244"/>
        <v>0.21691813153919765</v>
      </c>
      <c r="T458" s="13">
        <f t="shared" ca="1" si="245"/>
        <v>4.8362832585936808E-5</v>
      </c>
      <c r="U458" s="13">
        <f t="shared" ca="1" si="246"/>
        <v>0.15676701721586447</v>
      </c>
      <c r="V458" s="13">
        <f t="shared" ca="1" si="247"/>
        <v>1.8855963565741758</v>
      </c>
      <c r="X458" s="3">
        <f t="shared" ca="1" si="248"/>
        <v>9.4968391110464398E-5</v>
      </c>
      <c r="Y458" s="3">
        <f t="shared" ca="1" si="249"/>
        <v>1.1580640279214383E-4</v>
      </c>
      <c r="Z458" s="3">
        <f t="shared" ca="1" si="250"/>
        <v>1.113770071327805E-2</v>
      </c>
      <c r="AA458" s="3">
        <f t="shared" ca="1" si="251"/>
        <v>4.0171191158664657E-4</v>
      </c>
      <c r="AB458" s="3">
        <f t="shared" ca="1" si="252"/>
        <v>0.21685300104255362</v>
      </c>
      <c r="AC458" s="3">
        <f t="shared" ca="1" si="253"/>
        <v>4.8362832585936808E-5</v>
      </c>
      <c r="AD458" s="3">
        <f t="shared" ca="1" si="254"/>
        <v>0.15667083515577848</v>
      </c>
      <c r="AE458" s="3">
        <f t="shared" ca="1" si="255"/>
        <v>1.8855573281316835</v>
      </c>
      <c r="AG458" s="3">
        <f t="shared" ca="1" si="256"/>
        <v>9.4968391110464398E-5</v>
      </c>
      <c r="AH458" s="3">
        <f t="shared" ca="1" si="257"/>
        <v>1.1580640279214383E-4</v>
      </c>
      <c r="AI458" s="3">
        <f t="shared" ca="1" si="258"/>
        <v>1.1044419270095779E-2</v>
      </c>
      <c r="AJ458" s="3">
        <f t="shared" ca="1" si="259"/>
        <v>3.5020164783866668E-4</v>
      </c>
      <c r="AK458" s="3">
        <f t="shared" ca="1" si="260"/>
        <v>0.21685300104255362</v>
      </c>
      <c r="AL458" s="3">
        <f t="shared" ca="1" si="261"/>
        <v>4.8362832585936808E-5</v>
      </c>
      <c r="AM458" s="3">
        <f t="shared" ca="1" si="262"/>
        <v>0.15667083515577848</v>
      </c>
      <c r="AN458" s="3">
        <f t="shared" ca="1" si="263"/>
        <v>1.8855573281316835</v>
      </c>
      <c r="AP458" s="3">
        <f t="shared" ca="1" si="264"/>
        <v>8.6926636477755377</v>
      </c>
      <c r="AQ458" s="3">
        <f t="shared" ca="1" si="271"/>
        <v>0.40046454488120614</v>
      </c>
      <c r="AR458" s="3">
        <f t="shared" ca="1" si="265"/>
        <v>1.6445792584583434E-4</v>
      </c>
      <c r="AS458" s="3">
        <f t="shared" ca="1" si="266"/>
        <v>0.15660255929001865</v>
      </c>
      <c r="AT458" s="3">
        <f t="shared" ca="1" si="267"/>
        <v>0.70854319567394164</v>
      </c>
      <c r="AU458" s="3">
        <f t="shared" ca="1" si="268"/>
        <v>5.3339261849339695E-2</v>
      </c>
      <c r="AV458" s="10">
        <f t="shared" ca="1" si="272"/>
        <v>0.70854319567394164</v>
      </c>
      <c r="AW458" s="10">
        <f t="shared" ca="1" si="273"/>
        <v>0.70854319567394164</v>
      </c>
      <c r="AY458" s="3">
        <f t="shared" ca="1" si="279"/>
        <v>8.695094460609635</v>
      </c>
      <c r="AZ458" s="3">
        <f t="shared" ca="1" si="274"/>
        <v>0.40057788906269731</v>
      </c>
      <c r="BA458" s="3">
        <f t="shared" ca="1" si="269"/>
        <v>1.4028303683749123E-4</v>
      </c>
      <c r="BB458" s="3">
        <f t="shared" ca="1" si="275"/>
        <v>0.15653055211894099</v>
      </c>
      <c r="BC458" s="3">
        <f t="shared" ca="1" si="276"/>
        <v>0.70833036697853313</v>
      </c>
      <c r="BD458" s="3">
        <f t="shared" ca="1" si="270"/>
        <v>5.2921797350533213E-2</v>
      </c>
      <c r="BE458" s="3">
        <f t="shared" ca="1" si="277"/>
        <v>0.70833036697853313</v>
      </c>
      <c r="BF458" s="3">
        <f t="shared" ca="1" si="278"/>
        <v>0.70833036697853313</v>
      </c>
    </row>
    <row r="459" spans="1:58" ht="15" x14ac:dyDescent="0.25">
      <c r="A459" s="72">
        <v>393</v>
      </c>
      <c r="B459" s="72">
        <v>1498730326.536</v>
      </c>
      <c r="C459" s="73">
        <v>2.2214477707519899E-4</v>
      </c>
      <c r="D459" s="73">
        <v>-5.4802840158205703E-5</v>
      </c>
      <c r="E459" s="73">
        <v>1.1568192710821599E-2</v>
      </c>
      <c r="F459" s="73">
        <v>4.2020612397613302E-4</v>
      </c>
      <c r="G459" s="73">
        <v>0.212806520301107</v>
      </c>
      <c r="H459" s="73">
        <v>-1.05868765821935E-4</v>
      </c>
      <c r="I459" s="73">
        <v>0.153668883706822</v>
      </c>
      <c r="J459" s="73">
        <v>1.84704967524839</v>
      </c>
      <c r="K459" s="73"/>
      <c r="L459" s="73"/>
      <c r="M459" s="73"/>
      <c r="O459" s="13">
        <f t="shared" ca="1" si="240"/>
        <v>-4.254245219636259E-5</v>
      </c>
      <c r="P459" s="13">
        <f t="shared" ca="1" si="241"/>
        <v>-6.6090315543045874E-5</v>
      </c>
      <c r="Q459" s="13">
        <f t="shared" ca="1" si="242"/>
        <v>1.0727453092848914E-2</v>
      </c>
      <c r="R459" s="13">
        <f t="shared" ca="1" si="243"/>
        <v>4.1042984508545189E-4</v>
      </c>
      <c r="S459" s="13">
        <f t="shared" ca="1" si="244"/>
        <v>0.21167144166786564</v>
      </c>
      <c r="T459" s="13">
        <f t="shared" ca="1" si="245"/>
        <v>-1.0621858733295909E-4</v>
      </c>
      <c r="U459" s="13">
        <f t="shared" ca="1" si="246"/>
        <v>0.15301503971203348</v>
      </c>
      <c r="V459" s="13">
        <f t="shared" ca="1" si="247"/>
        <v>1.8399108943259359</v>
      </c>
      <c r="X459" s="3">
        <f t="shared" ca="1" si="248"/>
        <v>-4.254245219636259E-5</v>
      </c>
      <c r="Y459" s="3">
        <f t="shared" ca="1" si="249"/>
        <v>-6.6090315543045874E-5</v>
      </c>
      <c r="Z459" s="3">
        <f t="shared" ca="1" si="250"/>
        <v>1.0727453092848914E-2</v>
      </c>
      <c r="AA459" s="3">
        <f t="shared" ca="1" si="251"/>
        <v>4.1042984508545189E-4</v>
      </c>
      <c r="AB459" s="3">
        <f t="shared" ca="1" si="252"/>
        <v>0.21167144166786564</v>
      </c>
      <c r="AC459" s="3">
        <f t="shared" ca="1" si="253"/>
        <v>-1.0621858733295909E-4</v>
      </c>
      <c r="AD459" s="3">
        <f t="shared" ca="1" si="254"/>
        <v>0.15301503971203348</v>
      </c>
      <c r="AE459" s="3">
        <f t="shared" ca="1" si="255"/>
        <v>1.8399108943259359</v>
      </c>
      <c r="AG459" s="3">
        <f t="shared" ca="1" si="256"/>
        <v>-4.254245219636259E-5</v>
      </c>
      <c r="AH459" s="3">
        <f t="shared" ca="1" si="257"/>
        <v>-6.6090315543045874E-5</v>
      </c>
      <c r="AI459" s="3">
        <f t="shared" ca="1" si="258"/>
        <v>1.0727453092848914E-2</v>
      </c>
      <c r="AJ459" s="3">
        <f t="shared" ca="1" si="259"/>
        <v>4.1042984508545189E-4</v>
      </c>
      <c r="AK459" s="3">
        <f t="shared" ca="1" si="260"/>
        <v>0.21167144166786564</v>
      </c>
      <c r="AL459" s="3">
        <f t="shared" ca="1" si="261"/>
        <v>-1.0621858733295909E-4</v>
      </c>
      <c r="AM459" s="3">
        <f t="shared" ca="1" si="262"/>
        <v>0.15301503971203348</v>
      </c>
      <c r="AN459" s="3">
        <f t="shared" ca="1" si="263"/>
        <v>1.8399108943259359</v>
      </c>
      <c r="AP459" s="3">
        <f t="shared" ca="1" si="264"/>
        <v>8.692296324097164</v>
      </c>
      <c r="AQ459" s="3">
        <f t="shared" ca="1" si="271"/>
        <v>0.40044741730979633</v>
      </c>
      <c r="AR459" s="3">
        <f t="shared" ca="1" si="265"/>
        <v>1.64355571451329E-4</v>
      </c>
      <c r="AS459" s="3">
        <f t="shared" ca="1" si="266"/>
        <v>0.15285068414058214</v>
      </c>
      <c r="AT459" s="3">
        <f t="shared" ca="1" si="267"/>
        <v>0.7087249021453832</v>
      </c>
      <c r="AU459" s="3">
        <f t="shared" ca="1" si="268"/>
        <v>5.2643949328935076E-2</v>
      </c>
      <c r="AV459" s="10">
        <f t="shared" ca="1" si="272"/>
        <v>0.7087249021453832</v>
      </c>
      <c r="AW459" s="10">
        <f t="shared" ca="1" si="273"/>
        <v>0.7087249021453832</v>
      </c>
      <c r="AY459" s="3">
        <f t="shared" ca="1" si="279"/>
        <v>8.692296324097164</v>
      </c>
      <c r="AZ459" s="3">
        <f t="shared" ca="1" si="274"/>
        <v>0.40044741730979633</v>
      </c>
      <c r="BA459" s="3">
        <f t="shared" ca="1" si="269"/>
        <v>1.64355571451329E-4</v>
      </c>
      <c r="BB459" s="3">
        <f t="shared" ca="1" si="275"/>
        <v>0.15285068414058214</v>
      </c>
      <c r="BC459" s="3">
        <f t="shared" ca="1" si="276"/>
        <v>0.7087249021453832</v>
      </c>
      <c r="BD459" s="3">
        <f t="shared" ca="1" si="270"/>
        <v>5.2643949328935076E-2</v>
      </c>
      <c r="BE459" s="3">
        <f t="shared" ca="1" si="277"/>
        <v>0.7087249021453832</v>
      </c>
      <c r="BF459" s="3">
        <f t="shared" ca="1" si="278"/>
        <v>0.7087249021453832</v>
      </c>
    </row>
    <row r="460" spans="1:58" ht="15" x14ac:dyDescent="0.25">
      <c r="A460" s="72">
        <v>394</v>
      </c>
      <c r="B460" s="72">
        <v>1498730327.063</v>
      </c>
      <c r="C460" s="73">
        <v>2.7781297561714101E-4</v>
      </c>
      <c r="D460" s="73">
        <v>-5.1979513160710703E-6</v>
      </c>
      <c r="E460" s="73">
        <v>1.17879221989175E-2</v>
      </c>
      <c r="F460" s="73">
        <v>3.1952224718542798E-4</v>
      </c>
      <c r="G460" s="73">
        <v>0.21580033812582999</v>
      </c>
      <c r="H460" s="73">
        <v>-5.1842255000754198E-5</v>
      </c>
      <c r="I460" s="73">
        <v>0.15583251389824601</v>
      </c>
      <c r="J460" s="73">
        <v>1.87332195860893</v>
      </c>
      <c r="K460" s="73"/>
      <c r="L460" s="73"/>
      <c r="M460" s="73"/>
      <c r="O460" s="13">
        <f t="shared" ca="1" si="240"/>
        <v>1.3125746345579422E-5</v>
      </c>
      <c r="P460" s="13">
        <f t="shared" ca="1" si="241"/>
        <v>-1.6485426700911244E-5</v>
      </c>
      <c r="Q460" s="13">
        <f t="shared" ca="1" si="242"/>
        <v>1.0947182580944815E-2</v>
      </c>
      <c r="R460" s="13">
        <f t="shared" ca="1" si="243"/>
        <v>3.0974596829474684E-4</v>
      </c>
      <c r="S460" s="13">
        <f t="shared" ca="1" si="244"/>
        <v>0.21466525949258863</v>
      </c>
      <c r="T460" s="13">
        <f t="shared" ca="1" si="245"/>
        <v>-5.2192076511778288E-5</v>
      </c>
      <c r="U460" s="13">
        <f t="shared" ca="1" si="246"/>
        <v>0.15517866990345749</v>
      </c>
      <c r="V460" s="13">
        <f t="shared" ca="1" si="247"/>
        <v>1.8661831776864759</v>
      </c>
      <c r="X460" s="3">
        <f t="shared" ca="1" si="248"/>
        <v>1.3125746345579422E-5</v>
      </c>
      <c r="Y460" s="3">
        <f t="shared" ca="1" si="249"/>
        <v>-1.6485426700911244E-5</v>
      </c>
      <c r="Z460" s="3">
        <f t="shared" ca="1" si="250"/>
        <v>1.0947182580944815E-2</v>
      </c>
      <c r="AA460" s="3">
        <f t="shared" ca="1" si="251"/>
        <v>3.0974596829474684E-4</v>
      </c>
      <c r="AB460" s="3">
        <f t="shared" ca="1" si="252"/>
        <v>0.21466525949258863</v>
      </c>
      <c r="AC460" s="3">
        <f t="shared" ca="1" si="253"/>
        <v>-5.2192076511778288E-5</v>
      </c>
      <c r="AD460" s="3">
        <f t="shared" ca="1" si="254"/>
        <v>0.15517866990345749</v>
      </c>
      <c r="AE460" s="3">
        <f t="shared" ca="1" si="255"/>
        <v>1.8661831776864759</v>
      </c>
      <c r="AG460" s="3">
        <f t="shared" ca="1" si="256"/>
        <v>1.3125746345579422E-5</v>
      </c>
      <c r="AH460" s="3">
        <f t="shared" ca="1" si="257"/>
        <v>-1.6485426700911244E-5</v>
      </c>
      <c r="AI460" s="3">
        <f t="shared" ca="1" si="258"/>
        <v>1.0947182580944815E-2</v>
      </c>
      <c r="AJ460" s="3">
        <f t="shared" ca="1" si="259"/>
        <v>3.0974596829474684E-4</v>
      </c>
      <c r="AK460" s="3">
        <f t="shared" ca="1" si="260"/>
        <v>0.21466525949258863</v>
      </c>
      <c r="AL460" s="3">
        <f t="shared" ca="1" si="261"/>
        <v>-5.2192076511778288E-5</v>
      </c>
      <c r="AM460" s="3">
        <f t="shared" ca="1" si="262"/>
        <v>0.15517866990345749</v>
      </c>
      <c r="AN460" s="3">
        <f t="shared" ca="1" si="263"/>
        <v>1.8661831776864759</v>
      </c>
      <c r="AP460" s="3">
        <f t="shared" ca="1" si="264"/>
        <v>8.6934568830449539</v>
      </c>
      <c r="AQ460" s="3">
        <f t="shared" ca="1" si="271"/>
        <v>0.40050153189163223</v>
      </c>
      <c r="AR460" s="3">
        <f t="shared" ca="1" si="265"/>
        <v>1.2405373479930305E-4</v>
      </c>
      <c r="AS460" s="3">
        <f t="shared" ca="1" si="266"/>
        <v>0.1550546161686582</v>
      </c>
      <c r="AT460" s="3">
        <f t="shared" ca="1" si="267"/>
        <v>0.70886952981357398</v>
      </c>
      <c r="AU460" s="3">
        <f t="shared" ca="1" si="268"/>
        <v>5.298025338891147E-2</v>
      </c>
      <c r="AV460" s="10">
        <f t="shared" ca="1" si="272"/>
        <v>0.70886952981357398</v>
      </c>
      <c r="AW460" s="10">
        <f t="shared" ca="1" si="273"/>
        <v>0.70886952981357398</v>
      </c>
      <c r="AY460" s="3">
        <f t="shared" ca="1" si="279"/>
        <v>8.6934568830449539</v>
      </c>
      <c r="AZ460" s="3">
        <f t="shared" ca="1" si="274"/>
        <v>0.40050153189163223</v>
      </c>
      <c r="BA460" s="3">
        <f t="shared" ca="1" si="269"/>
        <v>1.2405373479930305E-4</v>
      </c>
      <c r="BB460" s="3">
        <f t="shared" ca="1" si="275"/>
        <v>0.1550546161686582</v>
      </c>
      <c r="BC460" s="3">
        <f t="shared" ca="1" si="276"/>
        <v>0.70886952981357398</v>
      </c>
      <c r="BD460" s="3">
        <f t="shared" ca="1" si="270"/>
        <v>5.298025338891147E-2</v>
      </c>
      <c r="BE460" s="3">
        <f t="shared" ca="1" si="277"/>
        <v>0.70886952981357398</v>
      </c>
      <c r="BF460" s="3">
        <f t="shared" ca="1" si="278"/>
        <v>0.70886952981357398</v>
      </c>
    </row>
    <row r="461" spans="1:58" ht="15" x14ac:dyDescent="0.25">
      <c r="A461" s="72">
        <v>395</v>
      </c>
      <c r="B461" s="72">
        <v>1498730327.5910001</v>
      </c>
      <c r="C461" s="73">
        <v>2.15721723096392E-4</v>
      </c>
      <c r="D461" s="73">
        <v>-9.8972725142519802E-5</v>
      </c>
      <c r="E461" s="73">
        <v>1.2041163712423E-2</v>
      </c>
      <c r="F461" s="73">
        <v>5.0685474824301697E-4</v>
      </c>
      <c r="G461" s="73">
        <v>0.21937153073215501</v>
      </c>
      <c r="H461" s="73">
        <v>-3.0237573376116001E-5</v>
      </c>
      <c r="I461" s="73">
        <v>0.158664461191243</v>
      </c>
      <c r="J461" s="73">
        <v>1.9043158160510101</v>
      </c>
      <c r="K461" s="73"/>
      <c r="L461" s="73"/>
      <c r="M461" s="73"/>
      <c r="O461" s="13">
        <f t="shared" ca="1" si="240"/>
        <v>-4.8965506175169585E-5</v>
      </c>
      <c r="P461" s="13">
        <f t="shared" ca="1" si="241"/>
        <v>-1.1026020052735998E-4</v>
      </c>
      <c r="Q461" s="13">
        <f t="shared" ca="1" si="242"/>
        <v>1.1200424094450314E-2</v>
      </c>
      <c r="R461" s="13">
        <f t="shared" ca="1" si="243"/>
        <v>4.9707846935233583E-4</v>
      </c>
      <c r="S461" s="13">
        <f t="shared" ca="1" si="244"/>
        <v>0.21823645209891365</v>
      </c>
      <c r="T461" s="13">
        <f t="shared" ca="1" si="245"/>
        <v>-3.0587394887140088E-5</v>
      </c>
      <c r="U461" s="13">
        <f t="shared" ca="1" si="246"/>
        <v>0.15801061719645448</v>
      </c>
      <c r="V461" s="13">
        <f t="shared" ca="1" si="247"/>
        <v>1.897177035128556</v>
      </c>
      <c r="X461" s="3">
        <f t="shared" ca="1" si="248"/>
        <v>-4.8965506175169585E-5</v>
      </c>
      <c r="Y461" s="3">
        <f t="shared" ca="1" si="249"/>
        <v>-1.1026020052735998E-4</v>
      </c>
      <c r="Z461" s="3">
        <f t="shared" ca="1" si="250"/>
        <v>1.1200424094450314E-2</v>
      </c>
      <c r="AA461" s="3">
        <f t="shared" ca="1" si="251"/>
        <v>4.9707846935233583E-4</v>
      </c>
      <c r="AB461" s="3">
        <f t="shared" ca="1" si="252"/>
        <v>0.21823645209891365</v>
      </c>
      <c r="AC461" s="3">
        <f t="shared" ca="1" si="253"/>
        <v>-3.0587394887140088E-5</v>
      </c>
      <c r="AD461" s="3">
        <f t="shared" ca="1" si="254"/>
        <v>0.15801061719645448</v>
      </c>
      <c r="AE461" s="3">
        <f t="shared" ca="1" si="255"/>
        <v>1.897177035128556</v>
      </c>
      <c r="AG461" s="3">
        <f t="shared" ca="1" si="256"/>
        <v>-4.8965506175169585E-5</v>
      </c>
      <c r="AH461" s="3">
        <f t="shared" ca="1" si="257"/>
        <v>-1.1026020052735998E-4</v>
      </c>
      <c r="AI461" s="3">
        <f t="shared" ca="1" si="258"/>
        <v>1.1200424094450314E-2</v>
      </c>
      <c r="AJ461" s="3">
        <f t="shared" ca="1" si="259"/>
        <v>4.9707846935233583E-4</v>
      </c>
      <c r="AK461" s="3">
        <f t="shared" ca="1" si="260"/>
        <v>0.21823645209891365</v>
      </c>
      <c r="AL461" s="3">
        <f t="shared" ca="1" si="261"/>
        <v>-3.0587394887140088E-5</v>
      </c>
      <c r="AM461" s="3">
        <f t="shared" ca="1" si="262"/>
        <v>0.15801061719645448</v>
      </c>
      <c r="AN461" s="3">
        <f t="shared" ca="1" si="263"/>
        <v>1.897177035128556</v>
      </c>
      <c r="AP461" s="3">
        <f t="shared" ca="1" si="264"/>
        <v>8.6932179151660609</v>
      </c>
      <c r="AQ461" s="3">
        <f t="shared" ca="1" si="271"/>
        <v>0.40049038928213604</v>
      </c>
      <c r="AR461" s="3">
        <f t="shared" ca="1" si="265"/>
        <v>1.990751496946853E-4</v>
      </c>
      <c r="AS461" s="3">
        <f t="shared" ca="1" si="266"/>
        <v>0.15781154204675979</v>
      </c>
      <c r="AT461" s="3">
        <f t="shared" ca="1" si="267"/>
        <v>0.70967720748174734</v>
      </c>
      <c r="AU461" s="3">
        <f t="shared" ca="1" si="268"/>
        <v>5.331733015648029E-2</v>
      </c>
      <c r="AV461" s="10" t="str">
        <f t="shared" ca="1" si="272"/>
        <v>rejected</v>
      </c>
      <c r="AW461" s="10" t="e">
        <f t="shared" ca="1" si="273"/>
        <v>#N/A</v>
      </c>
      <c r="AY461" s="3">
        <f t="shared" ca="1" si="279"/>
        <v>8.6932179151660609</v>
      </c>
      <c r="AZ461" s="3">
        <f t="shared" ca="1" si="274"/>
        <v>0.40049038928213604</v>
      </c>
      <c r="BA461" s="3">
        <f t="shared" ca="1" si="269"/>
        <v>1.990751496946853E-4</v>
      </c>
      <c r="BB461" s="3">
        <f t="shared" ca="1" si="275"/>
        <v>0.15781154204675979</v>
      </c>
      <c r="BC461" s="3">
        <f t="shared" ca="1" si="276"/>
        <v>0.70967720748174734</v>
      </c>
      <c r="BD461" s="3">
        <f t="shared" ca="1" si="270"/>
        <v>5.331733015648029E-2</v>
      </c>
      <c r="BE461" s="3" t="str">
        <f t="shared" ca="1" si="277"/>
        <v>rejected</v>
      </c>
      <c r="BF461" s="3" t="e">
        <f t="shared" ca="1" si="278"/>
        <v>#N/A</v>
      </c>
    </row>
    <row r="462" spans="1:58" ht="15" x14ac:dyDescent="0.25">
      <c r="A462" s="72">
        <v>396</v>
      </c>
      <c r="B462" s="72">
        <v>1498730328.1170001</v>
      </c>
      <c r="C462" s="73">
        <v>2.2190688545034801E-4</v>
      </c>
      <c r="D462" s="73">
        <v>-1.15758616762073E-5</v>
      </c>
      <c r="E462" s="73">
        <v>1.2024311071228399E-2</v>
      </c>
      <c r="F462" s="73">
        <v>4.4448602440435198E-4</v>
      </c>
      <c r="G462" s="73">
        <v>0.22121522321425099</v>
      </c>
      <c r="H462" s="73">
        <v>-2.3200278271271899E-5</v>
      </c>
      <c r="I462" s="73">
        <v>0.159831417337296</v>
      </c>
      <c r="J462" s="73">
        <v>1.92006385433106</v>
      </c>
      <c r="K462" s="73"/>
      <c r="L462" s="73"/>
      <c r="M462" s="73"/>
      <c r="O462" s="13">
        <f t="shared" ca="1" si="240"/>
        <v>-4.2780343821213572E-5</v>
      </c>
      <c r="P462" s="13">
        <f t="shared" ca="1" si="241"/>
        <v>-2.2863337061047473E-5</v>
      </c>
      <c r="Q462" s="13">
        <f t="shared" ca="1" si="242"/>
        <v>1.1183571453255714E-2</v>
      </c>
      <c r="R462" s="13">
        <f t="shared" ca="1" si="243"/>
        <v>4.3470974551367084E-4</v>
      </c>
      <c r="S462" s="13">
        <f t="shared" ca="1" si="244"/>
        <v>0.22008014458100963</v>
      </c>
      <c r="T462" s="13">
        <f t="shared" ca="1" si="245"/>
        <v>-2.3550099782295985E-5</v>
      </c>
      <c r="U462" s="13">
        <f t="shared" ca="1" si="246"/>
        <v>0.15917757334250748</v>
      </c>
      <c r="V462" s="13">
        <f t="shared" ca="1" si="247"/>
        <v>1.9129250734086058</v>
      </c>
      <c r="X462" s="3">
        <f t="shared" ca="1" si="248"/>
        <v>-4.2780343821213572E-5</v>
      </c>
      <c r="Y462" s="3">
        <f t="shared" ca="1" si="249"/>
        <v>-2.2863337061047473E-5</v>
      </c>
      <c r="Z462" s="3">
        <f t="shared" ca="1" si="250"/>
        <v>1.1183571453255714E-2</v>
      </c>
      <c r="AA462" s="3">
        <f t="shared" ca="1" si="251"/>
        <v>4.3470974551367084E-4</v>
      </c>
      <c r="AB462" s="3">
        <f t="shared" ca="1" si="252"/>
        <v>0.22008014458100963</v>
      </c>
      <c r="AC462" s="3">
        <f t="shared" ca="1" si="253"/>
        <v>-2.3550099782295985E-5</v>
      </c>
      <c r="AD462" s="3">
        <f t="shared" ca="1" si="254"/>
        <v>0.15917757334250748</v>
      </c>
      <c r="AE462" s="3">
        <f t="shared" ca="1" si="255"/>
        <v>1.9129250734086058</v>
      </c>
      <c r="AG462" s="3">
        <f t="shared" ca="1" si="256"/>
        <v>-4.2780343821213572E-5</v>
      </c>
      <c r="AH462" s="3">
        <f t="shared" ca="1" si="257"/>
        <v>-2.2863337061047473E-5</v>
      </c>
      <c r="AI462" s="3">
        <f t="shared" ca="1" si="258"/>
        <v>1.1183571453255714E-2</v>
      </c>
      <c r="AJ462" s="3">
        <f t="shared" ca="1" si="259"/>
        <v>4.3470974551367084E-4</v>
      </c>
      <c r="AK462" s="3">
        <f t="shared" ca="1" si="260"/>
        <v>0.22008014458100963</v>
      </c>
      <c r="AL462" s="3">
        <f t="shared" ca="1" si="261"/>
        <v>-2.3550099782295985E-5</v>
      </c>
      <c r="AM462" s="3">
        <f t="shared" ca="1" si="262"/>
        <v>0.15917757334250748</v>
      </c>
      <c r="AN462" s="3">
        <f t="shared" ca="1" si="263"/>
        <v>1.9129250734086058</v>
      </c>
      <c r="AP462" s="3">
        <f t="shared" ca="1" si="264"/>
        <v>8.6919475496094751</v>
      </c>
      <c r="AQ462" s="3">
        <f t="shared" ca="1" si="271"/>
        <v>0.40043115465832274</v>
      </c>
      <c r="AR462" s="3">
        <f t="shared" ca="1" si="265"/>
        <v>1.7407132533726484E-4</v>
      </c>
      <c r="AS462" s="3">
        <f t="shared" ca="1" si="266"/>
        <v>0.15900350201717023</v>
      </c>
      <c r="AT462" s="3">
        <f t="shared" ca="1" si="267"/>
        <v>0.70909949513395087</v>
      </c>
      <c r="AU462" s="3">
        <f t="shared" ca="1" si="268"/>
        <v>5.2783225864421121E-2</v>
      </c>
      <c r="AV462" s="10">
        <f t="shared" ca="1" si="272"/>
        <v>0.70909949513395087</v>
      </c>
      <c r="AW462" s="10">
        <f t="shared" ca="1" si="273"/>
        <v>0.70909949513395087</v>
      </c>
      <c r="AY462" s="3">
        <f t="shared" ca="1" si="279"/>
        <v>8.6919475496094751</v>
      </c>
      <c r="AZ462" s="3">
        <f t="shared" ca="1" si="274"/>
        <v>0.40043115465832274</v>
      </c>
      <c r="BA462" s="3">
        <f t="shared" ca="1" si="269"/>
        <v>1.7407132533726484E-4</v>
      </c>
      <c r="BB462" s="3">
        <f t="shared" ca="1" si="275"/>
        <v>0.15900350201717023</v>
      </c>
      <c r="BC462" s="3">
        <f t="shared" ca="1" si="276"/>
        <v>0.70909949513395087</v>
      </c>
      <c r="BD462" s="3">
        <f t="shared" ca="1" si="270"/>
        <v>5.2783225864421121E-2</v>
      </c>
      <c r="BE462" s="3">
        <f t="shared" ca="1" si="277"/>
        <v>0.70909949513395087</v>
      </c>
      <c r="BF462" s="3">
        <f t="shared" ca="1" si="278"/>
        <v>0.70909949513395087</v>
      </c>
    </row>
    <row r="463" spans="1:58" ht="15" x14ac:dyDescent="0.25">
      <c r="A463" s="72">
        <v>397</v>
      </c>
      <c r="B463" s="72">
        <v>1498730328.6440001</v>
      </c>
      <c r="C463" s="73">
        <v>2.4426894591753903E-4</v>
      </c>
      <c r="D463" s="73">
        <v>-8.2688021629118999E-6</v>
      </c>
      <c r="E463" s="73">
        <v>1.2228006097467801E-2</v>
      </c>
      <c r="F463" s="73">
        <v>4.4020129320742799E-4</v>
      </c>
      <c r="G463" s="73">
        <v>0.22263751940917001</v>
      </c>
      <c r="H463" s="73">
        <v>-7.6133044914141495E-5</v>
      </c>
      <c r="I463" s="73">
        <v>0.160920093725512</v>
      </c>
      <c r="J463" s="73">
        <v>1.93452484843602</v>
      </c>
      <c r="K463" s="73"/>
      <c r="L463" s="73"/>
      <c r="M463" s="73"/>
      <c r="O463" s="13">
        <f t="shared" ca="1" si="240"/>
        <v>-2.0418283354022558E-5</v>
      </c>
      <c r="P463" s="13">
        <f t="shared" ca="1" si="241"/>
        <v>-1.9556277547752075E-5</v>
      </c>
      <c r="Q463" s="13">
        <f t="shared" ca="1" si="242"/>
        <v>1.1387266479495116E-2</v>
      </c>
      <c r="R463" s="13">
        <f t="shared" ca="1" si="243"/>
        <v>4.3042501431674686E-4</v>
      </c>
      <c r="S463" s="13">
        <f t="shared" ca="1" si="244"/>
        <v>0.22150244077592865</v>
      </c>
      <c r="T463" s="13">
        <f t="shared" ca="1" si="245"/>
        <v>-7.6482866425165585E-5</v>
      </c>
      <c r="U463" s="13">
        <f t="shared" ca="1" si="246"/>
        <v>0.16026624973072348</v>
      </c>
      <c r="V463" s="13">
        <f t="shared" ca="1" si="247"/>
        <v>1.9273860675135659</v>
      </c>
      <c r="X463" s="3">
        <f t="shared" ca="1" si="248"/>
        <v>-2.0418283354022558E-5</v>
      </c>
      <c r="Y463" s="3">
        <f t="shared" ca="1" si="249"/>
        <v>-1.9556277547752075E-5</v>
      </c>
      <c r="Z463" s="3">
        <f t="shared" ca="1" si="250"/>
        <v>1.1387266479495116E-2</v>
      </c>
      <c r="AA463" s="3">
        <f t="shared" ca="1" si="251"/>
        <v>4.3042501431674686E-4</v>
      </c>
      <c r="AB463" s="3">
        <f t="shared" ca="1" si="252"/>
        <v>0.22150244077592865</v>
      </c>
      <c r="AC463" s="3">
        <f t="shared" ca="1" si="253"/>
        <v>-7.6482866425165585E-5</v>
      </c>
      <c r="AD463" s="3">
        <f t="shared" ca="1" si="254"/>
        <v>0.16026624973072348</v>
      </c>
      <c r="AE463" s="3">
        <f t="shared" ca="1" si="255"/>
        <v>1.9273860675135659</v>
      </c>
      <c r="AG463" s="3">
        <f t="shared" ca="1" si="256"/>
        <v>-2.0418283354022558E-5</v>
      </c>
      <c r="AH463" s="3">
        <f t="shared" ca="1" si="257"/>
        <v>-1.9556277547752075E-5</v>
      </c>
      <c r="AI463" s="3">
        <f t="shared" ca="1" si="258"/>
        <v>1.1387266479495116E-2</v>
      </c>
      <c r="AJ463" s="3">
        <f t="shared" ca="1" si="259"/>
        <v>4.3042501431674686E-4</v>
      </c>
      <c r="AK463" s="3">
        <f t="shared" ca="1" si="260"/>
        <v>0.22150244077592865</v>
      </c>
      <c r="AL463" s="3">
        <f t="shared" ca="1" si="261"/>
        <v>-7.6482866425165585E-5</v>
      </c>
      <c r="AM463" s="3">
        <f t="shared" ca="1" si="262"/>
        <v>0.16026624973072348</v>
      </c>
      <c r="AN463" s="3">
        <f t="shared" ca="1" si="263"/>
        <v>1.9273860675135659</v>
      </c>
      <c r="AP463" s="3">
        <f t="shared" ca="1" si="264"/>
        <v>8.7014213512134848</v>
      </c>
      <c r="AQ463" s="3">
        <f t="shared" ca="1" si="271"/>
        <v>0.40087290174584939</v>
      </c>
      <c r="AR463" s="3">
        <f t="shared" ca="1" si="265"/>
        <v>1.7254572447315307E-4</v>
      </c>
      <c r="AS463" s="3">
        <f t="shared" ca="1" si="266"/>
        <v>0.16009370400625034</v>
      </c>
      <c r="AT463" s="3">
        <f t="shared" ca="1" si="267"/>
        <v>0.70898791864783117</v>
      </c>
      <c r="AU463" s="3">
        <f t="shared" ca="1" si="268"/>
        <v>5.3459063237991031E-2</v>
      </c>
      <c r="AV463" s="10">
        <f t="shared" ca="1" si="272"/>
        <v>0.70898791864783117</v>
      </c>
      <c r="AW463" s="10">
        <f t="shared" ca="1" si="273"/>
        <v>0.70898791864783117</v>
      </c>
      <c r="AY463" s="3">
        <f t="shared" ca="1" si="279"/>
        <v>8.7014213512134848</v>
      </c>
      <c r="AZ463" s="3">
        <f t="shared" ca="1" si="274"/>
        <v>0.40087290174584939</v>
      </c>
      <c r="BA463" s="3">
        <f t="shared" ca="1" si="269"/>
        <v>1.7254572447315307E-4</v>
      </c>
      <c r="BB463" s="3">
        <f t="shared" ca="1" si="275"/>
        <v>0.16009370400625034</v>
      </c>
      <c r="BC463" s="3">
        <f t="shared" ca="1" si="276"/>
        <v>0.70898791864783117</v>
      </c>
      <c r="BD463" s="3">
        <f t="shared" ca="1" si="270"/>
        <v>5.3459063237991031E-2</v>
      </c>
      <c r="BE463" s="3">
        <f t="shared" ca="1" si="277"/>
        <v>0.70898791864783117</v>
      </c>
      <c r="BF463" s="3">
        <f t="shared" ca="1" si="278"/>
        <v>0.70898791864783117</v>
      </c>
    </row>
    <row r="464" spans="1:58" ht="15" x14ac:dyDescent="0.25">
      <c r="A464" s="72">
        <v>398</v>
      </c>
      <c r="B464" s="72">
        <v>1498730329.171</v>
      </c>
      <c r="C464" s="73">
        <v>3.0350703707370598E-4</v>
      </c>
      <c r="D464" s="73">
        <v>-2.69299221653932E-5</v>
      </c>
      <c r="E464" s="73">
        <v>1.0772945156908501E-2</v>
      </c>
      <c r="F464" s="73">
        <v>4.5376967171850902E-4</v>
      </c>
      <c r="G464" s="73">
        <v>0.19538131957475899</v>
      </c>
      <c r="H464" s="73">
        <v>6.7148146664535702E-5</v>
      </c>
      <c r="I464" s="73">
        <v>0.141114721104524</v>
      </c>
      <c r="J464" s="73">
        <v>1.6989427683528699</v>
      </c>
      <c r="K464" s="73"/>
      <c r="L464" s="73"/>
      <c r="M464" s="73"/>
      <c r="O464" s="13">
        <f t="shared" ca="1" si="240"/>
        <v>3.8819807802144399E-5</v>
      </c>
      <c r="P464" s="13">
        <f t="shared" ca="1" si="241"/>
        <v>-3.8217397550233371E-5</v>
      </c>
      <c r="Q464" s="13">
        <f t="shared" ca="1" si="242"/>
        <v>9.9322055389358156E-3</v>
      </c>
      <c r="R464" s="13">
        <f t="shared" ca="1" si="243"/>
        <v>4.4399339282782789E-4</v>
      </c>
      <c r="S464" s="13">
        <f t="shared" ca="1" si="244"/>
        <v>0.19424624094151763</v>
      </c>
      <c r="T464" s="13">
        <f t="shared" ca="1" si="245"/>
        <v>6.6798325153511612E-5</v>
      </c>
      <c r="U464" s="13">
        <f t="shared" ca="1" si="246"/>
        <v>0.14046087710973548</v>
      </c>
      <c r="V464" s="13">
        <f t="shared" ca="1" si="247"/>
        <v>1.6918039874304158</v>
      </c>
      <c r="X464" s="3">
        <f t="shared" ca="1" si="248"/>
        <v>3.8819807802144399E-5</v>
      </c>
      <c r="Y464" s="3">
        <f t="shared" ca="1" si="249"/>
        <v>-3.8217397550233371E-5</v>
      </c>
      <c r="Z464" s="3">
        <f t="shared" ca="1" si="250"/>
        <v>9.9316944817626849E-3</v>
      </c>
      <c r="AA464" s="3">
        <f t="shared" ca="1" si="251"/>
        <v>4.3162348625093092E-4</v>
      </c>
      <c r="AB464" s="3">
        <f t="shared" ca="1" si="252"/>
        <v>0.194156283264111</v>
      </c>
      <c r="AC464" s="3">
        <f t="shared" ca="1" si="253"/>
        <v>6.6798325153511612E-5</v>
      </c>
      <c r="AD464" s="3">
        <f t="shared" ca="1" si="254"/>
        <v>0.14032803128206106</v>
      </c>
      <c r="AE464" s="3">
        <f t="shared" ca="1" si="255"/>
        <v>1.6917500816839481</v>
      </c>
      <c r="AG464" s="3">
        <f t="shared" ca="1" si="256"/>
        <v>3.8819807802144399E-5</v>
      </c>
      <c r="AH464" s="3">
        <f t="shared" ca="1" si="257"/>
        <v>-3.8217397550233371E-5</v>
      </c>
      <c r="AI464" s="3">
        <f t="shared" ca="1" si="258"/>
        <v>9.9316944817626849E-3</v>
      </c>
      <c r="AJ464" s="3">
        <f t="shared" ca="1" si="259"/>
        <v>4.3162348625093092E-4</v>
      </c>
      <c r="AK464" s="3">
        <f t="shared" ca="1" si="260"/>
        <v>0.194156283264111</v>
      </c>
      <c r="AL464" s="3">
        <f t="shared" ca="1" si="261"/>
        <v>6.6798325153511612E-5</v>
      </c>
      <c r="AM464" s="3">
        <f t="shared" ca="1" si="262"/>
        <v>0.14032803128206106</v>
      </c>
      <c r="AN464" s="3">
        <f t="shared" ca="1" si="263"/>
        <v>1.6917500816839481</v>
      </c>
      <c r="AP464" s="3">
        <f t="shared" ca="1" si="264"/>
        <v>8.7095841815532111</v>
      </c>
      <c r="AQ464" s="3">
        <f t="shared" ca="1" si="271"/>
        <v>0.40125352517502588</v>
      </c>
      <c r="AR464" s="3">
        <f t="shared" ca="1" si="265"/>
        <v>1.7815391402658599E-4</v>
      </c>
      <c r="AS464" s="3">
        <f t="shared" ca="1" si="266"/>
        <v>0.14028272319570889</v>
      </c>
      <c r="AT464" s="3">
        <f t="shared" ca="1" si="267"/>
        <v>0.70809183841086343</v>
      </c>
      <c r="AU464" s="3">
        <f t="shared" ca="1" si="268"/>
        <v>5.3221871489623887E-2</v>
      </c>
      <c r="AV464" s="10">
        <f t="shared" ca="1" si="272"/>
        <v>0.70809183841086343</v>
      </c>
      <c r="AW464" s="10">
        <f t="shared" ca="1" si="273"/>
        <v>0.70809183841086343</v>
      </c>
      <c r="AY464" s="3">
        <f t="shared" ca="1" si="279"/>
        <v>8.7133419183898297</v>
      </c>
      <c r="AZ464" s="3">
        <f t="shared" ca="1" si="274"/>
        <v>0.401428745594268</v>
      </c>
      <c r="BA464" s="3">
        <f t="shared" ca="1" si="269"/>
        <v>1.7326607465473597E-4</v>
      </c>
      <c r="BB464" s="3">
        <f t="shared" ca="1" si="275"/>
        <v>0.14015476520740633</v>
      </c>
      <c r="BC464" s="3">
        <f t="shared" ca="1" si="276"/>
        <v>0.70762000379792467</v>
      </c>
      <c r="BD464" s="3">
        <f t="shared" ca="1" si="270"/>
        <v>5.3267296975554455E-2</v>
      </c>
      <c r="BE464" s="3" t="str">
        <f t="shared" ca="1" si="277"/>
        <v>rejected</v>
      </c>
      <c r="BF464" s="3" t="e">
        <f t="shared" ca="1" si="278"/>
        <v>#N/A</v>
      </c>
    </row>
    <row r="465" spans="1:58" ht="15" x14ac:dyDescent="0.25">
      <c r="A465" s="72">
        <v>399</v>
      </c>
      <c r="B465" s="72">
        <v>1498730329.698</v>
      </c>
      <c r="C465" s="73">
        <v>2.9470436749470097E-4</v>
      </c>
      <c r="D465" s="73">
        <v>3.04718587458871E-5</v>
      </c>
      <c r="E465" s="73">
        <v>1.03605044740358E-2</v>
      </c>
      <c r="F465" s="73">
        <v>3.0428963675268401E-4</v>
      </c>
      <c r="G465" s="73">
        <v>0.18867608199027</v>
      </c>
      <c r="H465" s="73">
        <v>2.14674882171457E-5</v>
      </c>
      <c r="I465" s="73">
        <v>0.13615767454602801</v>
      </c>
      <c r="J465" s="73">
        <v>1.63755374340754</v>
      </c>
      <c r="K465" s="73"/>
      <c r="L465" s="73"/>
      <c r="M465" s="73"/>
      <c r="O465" s="13">
        <f t="shared" ca="1" si="240"/>
        <v>3.001713822313939E-5</v>
      </c>
      <c r="P465" s="13">
        <f t="shared" ca="1" si="241"/>
        <v>1.9184383361046925E-5</v>
      </c>
      <c r="Q465" s="13">
        <f t="shared" ca="1" si="242"/>
        <v>9.5197648560631145E-3</v>
      </c>
      <c r="R465" s="13">
        <f t="shared" ca="1" si="243"/>
        <v>2.9451335786200288E-4</v>
      </c>
      <c r="S465" s="13">
        <f t="shared" ca="1" si="244"/>
        <v>0.18754100335702864</v>
      </c>
      <c r="T465" s="13">
        <f t="shared" ca="1" si="245"/>
        <v>2.1117666706121613E-5</v>
      </c>
      <c r="U465" s="13">
        <f t="shared" ca="1" si="246"/>
        <v>0.13550383055123949</v>
      </c>
      <c r="V465" s="13">
        <f t="shared" ca="1" si="247"/>
        <v>1.6304149624850859</v>
      </c>
      <c r="X465" s="3">
        <f t="shared" ca="1" si="248"/>
        <v>3.001713822313939E-5</v>
      </c>
      <c r="Y465" s="3">
        <f t="shared" ca="1" si="249"/>
        <v>1.9184383361046925E-5</v>
      </c>
      <c r="Z465" s="3">
        <f t="shared" ca="1" si="250"/>
        <v>9.5196032901102984E-3</v>
      </c>
      <c r="AA465" s="3">
        <f t="shared" ca="1" si="251"/>
        <v>2.9060272741316388E-4</v>
      </c>
      <c r="AB465" s="3">
        <f t="shared" ca="1" si="252"/>
        <v>0.18751256407737957</v>
      </c>
      <c r="AC465" s="3">
        <f t="shared" ca="1" si="253"/>
        <v>2.1117666706121613E-5</v>
      </c>
      <c r="AD465" s="3">
        <f t="shared" ca="1" si="254"/>
        <v>0.13546183258339103</v>
      </c>
      <c r="AE465" s="3">
        <f t="shared" ca="1" si="255"/>
        <v>1.6303979206867349</v>
      </c>
      <c r="AG465" s="3">
        <f t="shared" ca="1" si="256"/>
        <v>3.001713822313939E-5</v>
      </c>
      <c r="AH465" s="3">
        <f t="shared" ca="1" si="257"/>
        <v>1.9184383361046925E-5</v>
      </c>
      <c r="AI465" s="3">
        <f t="shared" ca="1" si="258"/>
        <v>9.5041503710718549E-3</v>
      </c>
      <c r="AJ465" s="3">
        <f t="shared" ca="1" si="259"/>
        <v>2.8206958396906996E-4</v>
      </c>
      <c r="AK465" s="3">
        <f t="shared" ca="1" si="260"/>
        <v>0.18751256407737957</v>
      </c>
      <c r="AL465" s="3">
        <f t="shared" ca="1" si="261"/>
        <v>2.1117666706121613E-5</v>
      </c>
      <c r="AM465" s="3">
        <f t="shared" ca="1" si="262"/>
        <v>0.13546183258339103</v>
      </c>
      <c r="AN465" s="3">
        <f t="shared" ca="1" si="263"/>
        <v>1.6303979206867349</v>
      </c>
      <c r="AP465" s="3">
        <f t="shared" ca="1" si="264"/>
        <v>8.6936453004957297</v>
      </c>
      <c r="AQ465" s="3">
        <f t="shared" ca="1" si="271"/>
        <v>0.40051031743516186</v>
      </c>
      <c r="AR465" s="3">
        <f t="shared" ca="1" si="265"/>
        <v>1.179556384462062E-4</v>
      </c>
      <c r="AS465" s="3">
        <f t="shared" ca="1" si="266"/>
        <v>0.13538587491279327</v>
      </c>
      <c r="AT465" s="3">
        <f t="shared" ca="1" si="267"/>
        <v>0.70846068555366559</v>
      </c>
      <c r="AU465" s="3">
        <f t="shared" ca="1" si="268"/>
        <v>5.2736712442103983E-2</v>
      </c>
      <c r="AV465" s="10">
        <f t="shared" ca="1" si="272"/>
        <v>0.70846068555366559</v>
      </c>
      <c r="AW465" s="10">
        <f t="shared" ca="1" si="273"/>
        <v>0.70846068555366559</v>
      </c>
      <c r="AY465" s="3">
        <f t="shared" ca="1" si="279"/>
        <v>8.6948729473611674</v>
      </c>
      <c r="AZ465" s="3">
        <f t="shared" ca="1" si="274"/>
        <v>0.40056756030509982</v>
      </c>
      <c r="BA465" s="3">
        <f t="shared" ca="1" si="269"/>
        <v>1.1298792508676485E-4</v>
      </c>
      <c r="BB465" s="3">
        <f t="shared" ca="1" si="275"/>
        <v>0.13534884465830427</v>
      </c>
      <c r="BC465" s="3">
        <f t="shared" ca="1" si="276"/>
        <v>0.70832396039292844</v>
      </c>
      <c r="BD465" s="3">
        <f t="shared" ca="1" si="270"/>
        <v>5.2665806880582262E-2</v>
      </c>
      <c r="BE465" s="3">
        <f t="shared" ca="1" si="277"/>
        <v>0.70832396039292844</v>
      </c>
      <c r="BF465" s="3">
        <f t="shared" ca="1" si="278"/>
        <v>0.70832396039292844</v>
      </c>
    </row>
    <row r="466" spans="1:58" ht="15" x14ac:dyDescent="0.25">
      <c r="A466" s="72">
        <v>400</v>
      </c>
      <c r="B466" s="72">
        <v>1498730330.2249999</v>
      </c>
      <c r="C466" s="73">
        <v>2.0477883739978601E-4</v>
      </c>
      <c r="D466" s="73">
        <v>-2.2914267752286002E-5</v>
      </c>
      <c r="E466" s="73">
        <v>1.09386302544042E-2</v>
      </c>
      <c r="F466" s="73">
        <v>4.4448602440435198E-4</v>
      </c>
      <c r="G466" s="73">
        <v>0.19973126949492501</v>
      </c>
      <c r="H466" s="73">
        <v>6.4657566873515001E-6</v>
      </c>
      <c r="I466" s="73">
        <v>0.14414695950253201</v>
      </c>
      <c r="J466" s="73">
        <v>1.7318358430049501</v>
      </c>
      <c r="K466" s="73"/>
      <c r="L466" s="73"/>
      <c r="M466" s="73"/>
      <c r="O466" s="13">
        <f t="shared" ca="1" si="240"/>
        <v>-5.9908391871775572E-5</v>
      </c>
      <c r="P466" s="13">
        <f t="shared" ca="1" si="241"/>
        <v>-3.4201743137126177E-5</v>
      </c>
      <c r="Q466" s="13">
        <f t="shared" ca="1" si="242"/>
        <v>1.0097890636431515E-2</v>
      </c>
      <c r="R466" s="13">
        <f t="shared" ca="1" si="243"/>
        <v>4.3470974551367084E-4</v>
      </c>
      <c r="S466" s="13">
        <f t="shared" ca="1" si="244"/>
        <v>0.19859619086168365</v>
      </c>
      <c r="T466" s="13">
        <f t="shared" ca="1" si="245"/>
        <v>6.1159351763274137E-6</v>
      </c>
      <c r="U466" s="13">
        <f t="shared" ca="1" si="246"/>
        <v>0.14349311550774349</v>
      </c>
      <c r="V466" s="13">
        <f t="shared" ca="1" si="247"/>
        <v>1.724697062082496</v>
      </c>
      <c r="X466" s="3">
        <f t="shared" ca="1" si="248"/>
        <v>-5.9908391871775572E-5</v>
      </c>
      <c r="Y466" s="3">
        <f t="shared" ca="1" si="249"/>
        <v>-3.4201743137126177E-5</v>
      </c>
      <c r="Z466" s="3">
        <f t="shared" ca="1" si="250"/>
        <v>1.0097843844950815E-2</v>
      </c>
      <c r="AA466" s="3">
        <f t="shared" ca="1" si="251"/>
        <v>4.3357717899216504E-4</v>
      </c>
      <c r="AB466" s="3">
        <f t="shared" ca="1" si="252"/>
        <v>0.19858795449763758</v>
      </c>
      <c r="AC466" s="3">
        <f t="shared" ca="1" si="253"/>
        <v>6.1159351763274137E-6</v>
      </c>
      <c r="AD466" s="3">
        <f t="shared" ca="1" si="254"/>
        <v>0.14348095238136815</v>
      </c>
      <c r="AE466" s="3">
        <f t="shared" ca="1" si="255"/>
        <v>1.7246921265687645</v>
      </c>
      <c r="AG466" s="3">
        <f t="shared" ca="1" si="256"/>
        <v>-5.9908391871775572E-5</v>
      </c>
      <c r="AH466" s="3">
        <f t="shared" ca="1" si="257"/>
        <v>-3.4201743137126177E-5</v>
      </c>
      <c r="AI466" s="3">
        <f t="shared" ca="1" si="258"/>
        <v>1.0097843844950815E-2</v>
      </c>
      <c r="AJ466" s="3">
        <f t="shared" ca="1" si="259"/>
        <v>4.3357717899216504E-4</v>
      </c>
      <c r="AK466" s="3">
        <f t="shared" ca="1" si="260"/>
        <v>0.19858795449763758</v>
      </c>
      <c r="AL466" s="3">
        <f t="shared" ca="1" si="261"/>
        <v>6.1159351763274137E-6</v>
      </c>
      <c r="AM466" s="3">
        <f t="shared" ca="1" si="262"/>
        <v>0.14348095238136815</v>
      </c>
      <c r="AN466" s="3">
        <f t="shared" ca="1" si="263"/>
        <v>1.7246921265687645</v>
      </c>
      <c r="AP466" s="3">
        <f t="shared" ca="1" si="264"/>
        <v>8.6844418042423399</v>
      </c>
      <c r="AQ466" s="3">
        <f t="shared" ca="1" si="271"/>
        <v>0.4000811787966671</v>
      </c>
      <c r="AR466" s="3">
        <f t="shared" ca="1" si="265"/>
        <v>1.739191874195086E-4</v>
      </c>
      <c r="AS466" s="3">
        <f t="shared" ca="1" si="266"/>
        <v>0.14331919632032397</v>
      </c>
      <c r="AT466" s="3">
        <f t="shared" ca="1" si="267"/>
        <v>0.70860423082040846</v>
      </c>
      <c r="AU466" s="3">
        <f t="shared" ca="1" si="268"/>
        <v>5.2768179593384514E-2</v>
      </c>
      <c r="AV466" s="10">
        <f t="shared" ca="1" si="272"/>
        <v>0.70860423082040846</v>
      </c>
      <c r="AW466" s="10">
        <f t="shared" ca="1" si="273"/>
        <v>0.70860423082040846</v>
      </c>
      <c r="AY466" s="3">
        <f t="shared" ca="1" si="279"/>
        <v>8.6847771353084848</v>
      </c>
      <c r="AZ466" s="3">
        <f t="shared" ca="1" si="274"/>
        <v>0.40009681444451078</v>
      </c>
      <c r="BA466" s="3">
        <f t="shared" ca="1" si="269"/>
        <v>1.734728481306027E-4</v>
      </c>
      <c r="BB466" s="3">
        <f t="shared" ca="1" si="275"/>
        <v>0.14330747953323755</v>
      </c>
      <c r="BC466" s="3">
        <f t="shared" ca="1" si="276"/>
        <v>0.7085619089613937</v>
      </c>
      <c r="BD466" s="3">
        <f t="shared" ca="1" si="270"/>
        <v>5.2772208589169305E-2</v>
      </c>
      <c r="BE466" s="3">
        <f t="shared" ca="1" si="277"/>
        <v>0.7085619089613937</v>
      </c>
      <c r="BF466" s="3">
        <f t="shared" ca="1" si="278"/>
        <v>0.7085619089613937</v>
      </c>
    </row>
    <row r="467" spans="1:58" ht="15" x14ac:dyDescent="0.25">
      <c r="A467" s="72">
        <v>401</v>
      </c>
      <c r="B467" s="72">
        <v>1498730330.7509999</v>
      </c>
      <c r="C467" s="73">
        <v>2.35466798522131E-4</v>
      </c>
      <c r="D467" s="73">
        <v>-1.26607428537917E-4</v>
      </c>
      <c r="E467" s="73">
        <v>1.0483566355244099E-2</v>
      </c>
      <c r="F467" s="73">
        <v>4.4472406556534701E-4</v>
      </c>
      <c r="G467" s="73">
        <v>0.18996180123838499</v>
      </c>
      <c r="H467" s="73">
        <v>-4.0931566446500299E-6</v>
      </c>
      <c r="I467" s="73">
        <v>0.13723513097694801</v>
      </c>
      <c r="J467" s="73">
        <v>1.6512296229706001</v>
      </c>
      <c r="K467" s="73"/>
      <c r="L467" s="73"/>
      <c r="M467" s="73"/>
      <c r="O467" s="13">
        <f t="shared" ca="1" si="240"/>
        <v>-2.9220430749430585E-5</v>
      </c>
      <c r="P467" s="13">
        <f t="shared" ca="1" si="241"/>
        <v>-1.3789490392275718E-4</v>
      </c>
      <c r="Q467" s="13">
        <f t="shared" ca="1" si="242"/>
        <v>9.6428267372714142E-3</v>
      </c>
      <c r="R467" s="13">
        <f t="shared" ca="1" si="243"/>
        <v>4.3494778667466587E-4</v>
      </c>
      <c r="S467" s="13">
        <f t="shared" ca="1" si="244"/>
        <v>0.18882672260514363</v>
      </c>
      <c r="T467" s="13">
        <f t="shared" ca="1" si="245"/>
        <v>-4.4429781556741164E-6</v>
      </c>
      <c r="U467" s="13">
        <f t="shared" ca="1" si="246"/>
        <v>0.13658128698215949</v>
      </c>
      <c r="V467" s="13">
        <f t="shared" ca="1" si="247"/>
        <v>1.6440908420481459</v>
      </c>
      <c r="X467" s="3">
        <f t="shared" ca="1" si="248"/>
        <v>-2.9220430749430585E-5</v>
      </c>
      <c r="Y467" s="3">
        <f t="shared" ca="1" si="249"/>
        <v>-1.3789490392275718E-4</v>
      </c>
      <c r="Z467" s="3">
        <f t="shared" ca="1" si="250"/>
        <v>9.6428267372714142E-3</v>
      </c>
      <c r="AA467" s="3">
        <f t="shared" ca="1" si="251"/>
        <v>4.3494778667466587E-4</v>
      </c>
      <c r="AB467" s="3">
        <f t="shared" ca="1" si="252"/>
        <v>0.18882672260514363</v>
      </c>
      <c r="AC467" s="3">
        <f t="shared" ca="1" si="253"/>
        <v>-4.4429781556741164E-6</v>
      </c>
      <c r="AD467" s="3">
        <f t="shared" ca="1" si="254"/>
        <v>0.13658128698215949</v>
      </c>
      <c r="AE467" s="3">
        <f t="shared" ca="1" si="255"/>
        <v>1.6440908420481459</v>
      </c>
      <c r="AG467" s="3">
        <f t="shared" ca="1" si="256"/>
        <v>-2.9220430749430585E-5</v>
      </c>
      <c r="AH467" s="3">
        <f t="shared" ca="1" si="257"/>
        <v>-1.3789490392275718E-4</v>
      </c>
      <c r="AI467" s="3">
        <f t="shared" ca="1" si="258"/>
        <v>9.6428267372714142E-3</v>
      </c>
      <c r="AJ467" s="3">
        <f t="shared" ca="1" si="259"/>
        <v>4.3494778667466587E-4</v>
      </c>
      <c r="AK467" s="3">
        <f t="shared" ca="1" si="260"/>
        <v>0.18882672260514363</v>
      </c>
      <c r="AL467" s="3">
        <f t="shared" ca="1" si="261"/>
        <v>-4.4429781556741164E-6</v>
      </c>
      <c r="AM467" s="3">
        <f t="shared" ca="1" si="262"/>
        <v>0.13658128698215949</v>
      </c>
      <c r="AN467" s="3">
        <f t="shared" ca="1" si="263"/>
        <v>1.6440908420481459</v>
      </c>
      <c r="AP467" s="3">
        <f t="shared" ca="1" si="264"/>
        <v>8.7068759091164836</v>
      </c>
      <c r="AQ467" s="3">
        <f t="shared" ca="1" si="271"/>
        <v>0.40112724105349062</v>
      </c>
      <c r="AR467" s="3">
        <f t="shared" ca="1" si="265"/>
        <v>1.7446940567113092E-4</v>
      </c>
      <c r="AS467" s="3">
        <f t="shared" ca="1" si="266"/>
        <v>0.13640681757648837</v>
      </c>
      <c r="AT467" s="3">
        <f t="shared" ca="1" si="267"/>
        <v>0.70840018144244532</v>
      </c>
      <c r="AU467" s="3">
        <f t="shared" ca="1" si="268"/>
        <v>5.3137334853026671E-2</v>
      </c>
      <c r="AV467" s="10">
        <f t="shared" ca="1" si="272"/>
        <v>0.70840018144244532</v>
      </c>
      <c r="AW467" s="10">
        <f t="shared" ca="1" si="273"/>
        <v>0.70840018144244532</v>
      </c>
      <c r="AY467" s="3">
        <f t="shared" ca="1" si="279"/>
        <v>8.7068759091164836</v>
      </c>
      <c r="AZ467" s="3">
        <f t="shared" ca="1" si="274"/>
        <v>0.40112724105349062</v>
      </c>
      <c r="BA467" s="3">
        <f t="shared" ca="1" si="269"/>
        <v>1.7446940567113092E-4</v>
      </c>
      <c r="BB467" s="3">
        <f t="shared" ca="1" si="275"/>
        <v>0.13640681757648837</v>
      </c>
      <c r="BC467" s="3">
        <f t="shared" ca="1" si="276"/>
        <v>0.70840018144244532</v>
      </c>
      <c r="BD467" s="3">
        <f t="shared" ca="1" si="270"/>
        <v>5.3137334853026671E-2</v>
      </c>
      <c r="BE467" s="3">
        <f t="shared" ca="1" si="277"/>
        <v>0.70840018144244532</v>
      </c>
      <c r="BF467" s="3">
        <f t="shared" ca="1" si="278"/>
        <v>0.70840018144244532</v>
      </c>
    </row>
    <row r="468" spans="1:58" ht="15" x14ac:dyDescent="0.25">
      <c r="A468" s="72">
        <v>402</v>
      </c>
      <c r="B468" s="72">
        <v>1498730331.2780001</v>
      </c>
      <c r="C468" s="73">
        <v>2.21431102370695E-4</v>
      </c>
      <c r="D468" s="73">
        <v>-3.85043645366924E-5</v>
      </c>
      <c r="E468" s="73">
        <v>1.0590745959462199E-2</v>
      </c>
      <c r="F468" s="73">
        <v>3.4498978663782798E-4</v>
      </c>
      <c r="G468" s="73">
        <v>0.192067284047235</v>
      </c>
      <c r="H468" s="73">
        <v>1.4167149608592E-5</v>
      </c>
      <c r="I468" s="73">
        <v>0.138753719064939</v>
      </c>
      <c r="J468" s="73">
        <v>1.66581230744196</v>
      </c>
      <c r="K468" s="73"/>
      <c r="L468" s="73"/>
      <c r="M468" s="73"/>
      <c r="O468" s="13">
        <f t="shared" ca="1" si="240"/>
        <v>-4.3256126900866586E-5</v>
      </c>
      <c r="P468" s="13">
        <f t="shared" ca="1" si="241"/>
        <v>-4.9791839921532571E-5</v>
      </c>
      <c r="Q468" s="13">
        <f t="shared" ca="1" si="242"/>
        <v>9.750006341489514E-3</v>
      </c>
      <c r="R468" s="13">
        <f t="shared" ca="1" si="243"/>
        <v>3.3521350774714685E-4</v>
      </c>
      <c r="S468" s="13">
        <f t="shared" ca="1" si="244"/>
        <v>0.19093220541399364</v>
      </c>
      <c r="T468" s="13">
        <f t="shared" ca="1" si="245"/>
        <v>1.3817328097567913E-5</v>
      </c>
      <c r="U468" s="13">
        <f t="shared" ca="1" si="246"/>
        <v>0.13809987507015048</v>
      </c>
      <c r="V468" s="13">
        <f t="shared" ca="1" si="247"/>
        <v>1.6586735265195058</v>
      </c>
      <c r="X468" s="3">
        <f t="shared" ca="1" si="248"/>
        <v>-4.3256126900866586E-5</v>
      </c>
      <c r="Y468" s="3">
        <f t="shared" ca="1" si="249"/>
        <v>-4.9791839921532571E-5</v>
      </c>
      <c r="Z468" s="3">
        <f t="shared" ca="1" si="250"/>
        <v>9.7499006285899532E-3</v>
      </c>
      <c r="AA468" s="3">
        <f t="shared" ca="1" si="251"/>
        <v>3.3265477506460651E-4</v>
      </c>
      <c r="AB468" s="3">
        <f t="shared" ca="1" si="252"/>
        <v>0.19091359754110512</v>
      </c>
      <c r="AC468" s="3">
        <f t="shared" ca="1" si="253"/>
        <v>1.3817328097567913E-5</v>
      </c>
      <c r="AD468" s="3">
        <f t="shared" ca="1" si="254"/>
        <v>0.13807239572267954</v>
      </c>
      <c r="AE468" s="3">
        <f t="shared" ca="1" si="255"/>
        <v>1.6586623760395562</v>
      </c>
      <c r="AG468" s="3">
        <f t="shared" ca="1" si="256"/>
        <v>-4.3256126900866586E-5</v>
      </c>
      <c r="AH468" s="3">
        <f t="shared" ca="1" si="257"/>
        <v>-4.9791839921532571E-5</v>
      </c>
      <c r="AI468" s="3">
        <f t="shared" ca="1" si="258"/>
        <v>9.7499006285899532E-3</v>
      </c>
      <c r="AJ468" s="3">
        <f t="shared" ca="1" si="259"/>
        <v>3.3265477506460651E-4</v>
      </c>
      <c r="AK468" s="3">
        <f t="shared" ca="1" si="260"/>
        <v>0.19091359754110512</v>
      </c>
      <c r="AL468" s="3">
        <f t="shared" ca="1" si="261"/>
        <v>1.3817328097567913E-5</v>
      </c>
      <c r="AM468" s="3">
        <f t="shared" ca="1" si="262"/>
        <v>0.13807239572267954</v>
      </c>
      <c r="AN468" s="3">
        <f t="shared" ca="1" si="263"/>
        <v>1.6586623760395562</v>
      </c>
      <c r="AP468" s="3">
        <f t="shared" ca="1" si="264"/>
        <v>8.6872380849686657</v>
      </c>
      <c r="AQ468" s="3">
        <f t="shared" ca="1" si="271"/>
        <v>0.40021156258823776</v>
      </c>
      <c r="AR468" s="3">
        <f t="shared" ca="1" si="265"/>
        <v>1.3415632173616998E-4</v>
      </c>
      <c r="AS468" s="3">
        <f t="shared" ca="1" si="266"/>
        <v>0.13796571874841432</v>
      </c>
      <c r="AT468" s="3">
        <f t="shared" ca="1" si="267"/>
        <v>0.70940113693681361</v>
      </c>
      <c r="AU468" s="3">
        <f t="shared" ca="1" si="268"/>
        <v>5.301284823555312E-2</v>
      </c>
      <c r="AV468" s="10">
        <f t="shared" ca="1" si="272"/>
        <v>0.70940113693681361</v>
      </c>
      <c r="AW468" s="10">
        <f t="shared" ca="1" si="273"/>
        <v>0.70940113693681361</v>
      </c>
      <c r="AY468" s="3">
        <f t="shared" ca="1" si="279"/>
        <v>8.6880264025323495</v>
      </c>
      <c r="AZ468" s="3">
        <f t="shared" ca="1" si="274"/>
        <v>0.40024832001719229</v>
      </c>
      <c r="BA468" s="3">
        <f t="shared" ca="1" si="269"/>
        <v>1.3314451486530574E-4</v>
      </c>
      <c r="BB468" s="3">
        <f t="shared" ca="1" si="275"/>
        <v>0.13793925120781422</v>
      </c>
      <c r="BC468" s="3">
        <f t="shared" ca="1" si="276"/>
        <v>0.70930176159885439</v>
      </c>
      <c r="BD468" s="3">
        <f t="shared" ca="1" si="270"/>
        <v>5.3022363322237656E-2</v>
      </c>
      <c r="BE468" s="3">
        <f t="shared" ca="1" si="277"/>
        <v>0.70930176159885439</v>
      </c>
      <c r="BF468" s="3">
        <f t="shared" ca="1" si="278"/>
        <v>0.70930176159885439</v>
      </c>
    </row>
    <row r="469" spans="1:58" ht="15" x14ac:dyDescent="0.25">
      <c r="A469" s="72">
        <v>403</v>
      </c>
      <c r="B469" s="72">
        <v>1498730331.8050001</v>
      </c>
      <c r="C469" s="73">
        <v>4.0628989453011898E-4</v>
      </c>
      <c r="D469" s="73">
        <v>5.0551455016140601E-5</v>
      </c>
      <c r="E469" s="73">
        <v>1.1215473953002699E-2</v>
      </c>
      <c r="F469" s="73">
        <v>3.9283243423672001E-4</v>
      </c>
      <c r="G469" s="73">
        <v>0.204118528124759</v>
      </c>
      <c r="H469" s="73">
        <v>8.3412040442013799E-5</v>
      </c>
      <c r="I469" s="73">
        <v>0.14727907479806401</v>
      </c>
      <c r="J469" s="73">
        <v>1.7691587229805299</v>
      </c>
      <c r="K469" s="73"/>
      <c r="L469" s="73"/>
      <c r="M469" s="73"/>
      <c r="O469" s="13">
        <f t="shared" ca="1" si="240"/>
        <v>1.4160266525855739E-4</v>
      </c>
      <c r="P469" s="13">
        <f t="shared" ca="1" si="241"/>
        <v>3.926397963130043E-5</v>
      </c>
      <c r="Q469" s="13">
        <f t="shared" ca="1" si="242"/>
        <v>1.0374734335030014E-2</v>
      </c>
      <c r="R469" s="13">
        <f t="shared" ca="1" si="243"/>
        <v>3.8305615534603888E-4</v>
      </c>
      <c r="S469" s="13">
        <f t="shared" ca="1" si="244"/>
        <v>0.20298344949151764</v>
      </c>
      <c r="T469" s="13">
        <f t="shared" ca="1" si="245"/>
        <v>8.3062218930989709E-5</v>
      </c>
      <c r="U469" s="13">
        <f t="shared" ca="1" si="246"/>
        <v>0.1466252308032755</v>
      </c>
      <c r="V469" s="13">
        <f t="shared" ca="1" si="247"/>
        <v>1.7620199420580758</v>
      </c>
      <c r="X469" s="3">
        <f t="shared" ca="1" si="248"/>
        <v>1.4160266525855739E-4</v>
      </c>
      <c r="Y469" s="3">
        <f t="shared" ca="1" si="249"/>
        <v>3.926397963130043E-5</v>
      </c>
      <c r="Z469" s="3">
        <f t="shared" ca="1" si="250"/>
        <v>1.0374098846899089E-2</v>
      </c>
      <c r="AA469" s="3">
        <f t="shared" ca="1" si="251"/>
        <v>3.6767445399522153E-4</v>
      </c>
      <c r="AB469" s="3">
        <f t="shared" ca="1" si="252"/>
        <v>0.20287158913756265</v>
      </c>
      <c r="AC469" s="3">
        <f t="shared" ca="1" si="253"/>
        <v>8.3062218930989709E-5</v>
      </c>
      <c r="AD469" s="3">
        <f t="shared" ca="1" si="254"/>
        <v>0.14646003999651497</v>
      </c>
      <c r="AE469" s="3">
        <f t="shared" ca="1" si="255"/>
        <v>1.7619529114715387</v>
      </c>
      <c r="AG469" s="3">
        <f t="shared" ca="1" si="256"/>
        <v>1.4160266525855739E-4</v>
      </c>
      <c r="AH469" s="3">
        <f t="shared" ca="1" si="257"/>
        <v>3.926397963130043E-5</v>
      </c>
      <c r="AI469" s="3">
        <f t="shared" ca="1" si="258"/>
        <v>1.0342471919572273E-2</v>
      </c>
      <c r="AJ469" s="3">
        <f t="shared" ca="1" si="259"/>
        <v>3.502099796843003E-4</v>
      </c>
      <c r="AK469" s="3">
        <f t="shared" ca="1" si="260"/>
        <v>0.20287158913756265</v>
      </c>
      <c r="AL469" s="3">
        <f t="shared" ca="1" si="261"/>
        <v>8.3062218930989709E-5</v>
      </c>
      <c r="AM469" s="3">
        <f t="shared" ca="1" si="262"/>
        <v>0.14646003999651497</v>
      </c>
      <c r="AN469" s="3">
        <f t="shared" ca="1" si="263"/>
        <v>1.7619529114715387</v>
      </c>
      <c r="AP469" s="3">
        <f t="shared" ca="1" si="264"/>
        <v>8.6806089189636513</v>
      </c>
      <c r="AQ469" s="3">
        <f t="shared" ca="1" si="271"/>
        <v>0.3999024614750894</v>
      </c>
      <c r="AR469" s="3">
        <f t="shared" ca="1" si="265"/>
        <v>1.5318509940606518E-4</v>
      </c>
      <c r="AS469" s="3">
        <f t="shared" ca="1" si="266"/>
        <v>0.14647204570386943</v>
      </c>
      <c r="AT469" s="3">
        <f t="shared" ca="1" si="267"/>
        <v>0.70869759332975801</v>
      </c>
      <c r="AU469" s="3">
        <f t="shared" ca="1" si="268"/>
        <v>5.3019123459074294E-2</v>
      </c>
      <c r="AV469" s="10">
        <f t="shared" ca="1" si="272"/>
        <v>0.70869759332975801</v>
      </c>
      <c r="AW469" s="10">
        <f t="shared" ca="1" si="273"/>
        <v>0.70869759332975801</v>
      </c>
      <c r="AY469" s="3">
        <f t="shared" ca="1" si="279"/>
        <v>8.6850648676922333</v>
      </c>
      <c r="AZ469" s="3">
        <f t="shared" ca="1" si="274"/>
        <v>0.40011023069083296</v>
      </c>
      <c r="BA469" s="3">
        <f t="shared" ca="1" si="269"/>
        <v>1.4012259576171731E-4</v>
      </c>
      <c r="BB469" s="3">
        <f t="shared" ca="1" si="275"/>
        <v>0.14631991740075326</v>
      </c>
      <c r="BC469" s="3">
        <f t="shared" ca="1" si="276"/>
        <v>0.70816884531344559</v>
      </c>
      <c r="BD469" s="3">
        <f t="shared" ca="1" si="270"/>
        <v>5.2911169943895921E-2</v>
      </c>
      <c r="BE469" s="3">
        <f t="shared" ca="1" si="277"/>
        <v>0.70816884531344559</v>
      </c>
      <c r="BF469" s="3">
        <f t="shared" ca="1" si="278"/>
        <v>0.70816884531344559</v>
      </c>
    </row>
    <row r="470" spans="1:58" ht="15" x14ac:dyDescent="0.25">
      <c r="A470" s="72">
        <v>404</v>
      </c>
      <c r="B470" s="72">
        <v>1498730332.332</v>
      </c>
      <c r="C470" s="73">
        <v>2.9327691487487798E-4</v>
      </c>
      <c r="D470" s="73">
        <v>-1.0630988654435899E-5</v>
      </c>
      <c r="E470" s="73">
        <v>1.12378460432212E-2</v>
      </c>
      <c r="F470" s="73">
        <v>4.4377190126191902E-4</v>
      </c>
      <c r="G470" s="73">
        <v>0.20384273489488</v>
      </c>
      <c r="H470" s="73">
        <v>-9.4784781932927193E-6</v>
      </c>
      <c r="I470" s="73">
        <v>0.147202770445618</v>
      </c>
      <c r="J470" s="73">
        <v>1.77001253423768</v>
      </c>
      <c r="K470" s="73"/>
      <c r="L470" s="73"/>
      <c r="M470" s="73"/>
      <c r="O470" s="13">
        <f t="shared" ca="1" si="240"/>
        <v>2.8589685603316395E-5</v>
      </c>
      <c r="P470" s="13">
        <f t="shared" ca="1" si="241"/>
        <v>-2.1918464039276073E-5</v>
      </c>
      <c r="Q470" s="13">
        <f t="shared" ca="1" si="242"/>
        <v>1.0397106425248515E-2</v>
      </c>
      <c r="R470" s="13">
        <f t="shared" ca="1" si="243"/>
        <v>4.3399562237123789E-4</v>
      </c>
      <c r="S470" s="13">
        <f t="shared" ca="1" si="244"/>
        <v>0.20270765626163864</v>
      </c>
      <c r="T470" s="13">
        <f t="shared" ca="1" si="245"/>
        <v>-9.8282997043168058E-6</v>
      </c>
      <c r="U470" s="13">
        <f t="shared" ca="1" si="246"/>
        <v>0.14654892645082948</v>
      </c>
      <c r="V470" s="13">
        <f t="shared" ca="1" si="247"/>
        <v>1.7628737533152259</v>
      </c>
      <c r="X470" s="3">
        <f t="shared" ca="1" si="248"/>
        <v>2.8589685603316395E-5</v>
      </c>
      <c r="Y470" s="3">
        <f t="shared" ca="1" si="249"/>
        <v>-2.1918464039276073E-5</v>
      </c>
      <c r="Z470" s="3">
        <f t="shared" ca="1" si="250"/>
        <v>1.0397106425248515E-2</v>
      </c>
      <c r="AA470" s="3">
        <f t="shared" ca="1" si="251"/>
        <v>4.3399562237123789E-4</v>
      </c>
      <c r="AB470" s="3">
        <f t="shared" ca="1" si="252"/>
        <v>0.20270765626163864</v>
      </c>
      <c r="AC470" s="3">
        <f t="shared" ca="1" si="253"/>
        <v>-9.8282997043168058E-6</v>
      </c>
      <c r="AD470" s="3">
        <f t="shared" ca="1" si="254"/>
        <v>0.14654892645082948</v>
      </c>
      <c r="AE470" s="3">
        <f t="shared" ca="1" si="255"/>
        <v>1.7628737533152259</v>
      </c>
      <c r="AG470" s="3">
        <f t="shared" ca="1" si="256"/>
        <v>2.8589685603316395E-5</v>
      </c>
      <c r="AH470" s="3">
        <f t="shared" ca="1" si="257"/>
        <v>-2.1918464039276073E-5</v>
      </c>
      <c r="AI470" s="3">
        <f t="shared" ca="1" si="258"/>
        <v>1.0397106425248515E-2</v>
      </c>
      <c r="AJ470" s="3">
        <f t="shared" ca="1" si="259"/>
        <v>4.3399562237123789E-4</v>
      </c>
      <c r="AK470" s="3">
        <f t="shared" ca="1" si="260"/>
        <v>0.20270765626163864</v>
      </c>
      <c r="AL470" s="3">
        <f t="shared" ca="1" si="261"/>
        <v>-9.8282997043168058E-6</v>
      </c>
      <c r="AM470" s="3">
        <f t="shared" ca="1" si="262"/>
        <v>0.14654892645082948</v>
      </c>
      <c r="AN470" s="3">
        <f t="shared" ca="1" si="263"/>
        <v>1.7628737533152259</v>
      </c>
      <c r="AP470" s="3">
        <f t="shared" ca="1" si="264"/>
        <v>8.6966313252610998</v>
      </c>
      <c r="AQ470" s="3">
        <f t="shared" ca="1" si="271"/>
        <v>0.40064955033813482</v>
      </c>
      <c r="AR470" s="3">
        <f t="shared" ca="1" si="265"/>
        <v>1.7388015095175542E-4</v>
      </c>
      <c r="AS470" s="3">
        <f t="shared" ca="1" si="266"/>
        <v>0.14637504629987771</v>
      </c>
      <c r="AT470" s="3">
        <f t="shared" ca="1" si="267"/>
        <v>0.70853355146755903</v>
      </c>
      <c r="AU470" s="3">
        <f t="shared" ca="1" si="268"/>
        <v>5.330623554822024E-2</v>
      </c>
      <c r="AV470" s="10">
        <f t="shared" ca="1" si="272"/>
        <v>0.70853355146755903</v>
      </c>
      <c r="AW470" s="10">
        <f t="shared" ca="1" si="273"/>
        <v>0.70853355146755903</v>
      </c>
      <c r="AY470" s="3">
        <f t="shared" ca="1" si="279"/>
        <v>8.6966313252610998</v>
      </c>
      <c r="AZ470" s="3">
        <f t="shared" ca="1" si="274"/>
        <v>0.40064955033813482</v>
      </c>
      <c r="BA470" s="3">
        <f t="shared" ca="1" si="269"/>
        <v>1.7388015095175542E-4</v>
      </c>
      <c r="BB470" s="3">
        <f t="shared" ca="1" si="275"/>
        <v>0.14637504629987771</v>
      </c>
      <c r="BC470" s="3">
        <f t="shared" ca="1" si="276"/>
        <v>0.70853355146755903</v>
      </c>
      <c r="BD470" s="3">
        <f t="shared" ca="1" si="270"/>
        <v>5.330623554822024E-2</v>
      </c>
      <c r="BE470" s="3">
        <f t="shared" ca="1" si="277"/>
        <v>0.70853355146755903</v>
      </c>
      <c r="BF470" s="3">
        <f t="shared" ca="1" si="278"/>
        <v>0.70853355146755903</v>
      </c>
    </row>
    <row r="471" spans="1:58" ht="15" x14ac:dyDescent="0.25">
      <c r="A471" s="72">
        <v>405</v>
      </c>
      <c r="B471" s="72">
        <v>1498730332.859</v>
      </c>
      <c r="C471" s="73">
        <v>2.23334236049702E-4</v>
      </c>
      <c r="D471" s="73">
        <v>-2.9292064228077701E-5</v>
      </c>
      <c r="E471" s="73">
        <v>1.1184201968685401E-2</v>
      </c>
      <c r="F471" s="73">
        <v>3.8688173138760201E-4</v>
      </c>
      <c r="G471" s="73">
        <v>0.20583422028780499</v>
      </c>
      <c r="H471" s="73">
        <v>4.02523826361109E-5</v>
      </c>
      <c r="I471" s="73">
        <v>0.14847155771913401</v>
      </c>
      <c r="J471" s="73">
        <v>1.78629019248535</v>
      </c>
      <c r="K471" s="73"/>
      <c r="L471" s="73"/>
      <c r="M471" s="73"/>
      <c r="O471" s="13">
        <f t="shared" ca="1" si="240"/>
        <v>-4.1352993221859582E-5</v>
      </c>
      <c r="P471" s="13">
        <f t="shared" ca="1" si="241"/>
        <v>-4.0579539612917872E-5</v>
      </c>
      <c r="Q471" s="13">
        <f t="shared" ca="1" si="242"/>
        <v>1.0343462350712715E-2</v>
      </c>
      <c r="R471" s="13">
        <f t="shared" ca="1" si="243"/>
        <v>3.7710545249692088E-4</v>
      </c>
      <c r="S471" s="13">
        <f t="shared" ca="1" si="244"/>
        <v>0.20469914165456363</v>
      </c>
      <c r="T471" s="13">
        <f t="shared" ca="1" si="245"/>
        <v>3.990256112508681E-5</v>
      </c>
      <c r="U471" s="13">
        <f t="shared" ca="1" si="246"/>
        <v>0.14781771372434549</v>
      </c>
      <c r="V471" s="13">
        <f t="shared" ca="1" si="247"/>
        <v>1.7791514115628959</v>
      </c>
      <c r="X471" s="3">
        <f t="shared" ca="1" si="248"/>
        <v>-4.1352993221859582E-5</v>
      </c>
      <c r="Y471" s="3">
        <f t="shared" ca="1" si="249"/>
        <v>-4.0579539612917872E-5</v>
      </c>
      <c r="Z471" s="3">
        <f t="shared" ca="1" si="250"/>
        <v>1.0343157066260713E-2</v>
      </c>
      <c r="AA471" s="3">
        <f t="shared" ca="1" si="251"/>
        <v>3.6971618110183868E-4</v>
      </c>
      <c r="AB471" s="3">
        <f t="shared" ca="1" si="252"/>
        <v>0.20464540465272804</v>
      </c>
      <c r="AC471" s="3">
        <f t="shared" ca="1" si="253"/>
        <v>3.990256112508681E-5</v>
      </c>
      <c r="AD471" s="3">
        <f t="shared" ca="1" si="254"/>
        <v>0.14773835711253211</v>
      </c>
      <c r="AE471" s="3">
        <f t="shared" ca="1" si="255"/>
        <v>1.7791192104959008</v>
      </c>
      <c r="AG471" s="3">
        <f t="shared" ca="1" si="256"/>
        <v>-4.1352993221859582E-5</v>
      </c>
      <c r="AH471" s="3">
        <f t="shared" ca="1" si="257"/>
        <v>-4.0579539612917872E-5</v>
      </c>
      <c r="AI471" s="3">
        <f t="shared" ca="1" si="258"/>
        <v>1.0343157066260713E-2</v>
      </c>
      <c r="AJ471" s="3">
        <f t="shared" ca="1" si="259"/>
        <v>3.6971618110183868E-4</v>
      </c>
      <c r="AK471" s="3">
        <f t="shared" ca="1" si="260"/>
        <v>0.20464540465272804</v>
      </c>
      <c r="AL471" s="3">
        <f t="shared" ca="1" si="261"/>
        <v>3.990256112508681E-5</v>
      </c>
      <c r="AM471" s="3">
        <f t="shared" ca="1" si="262"/>
        <v>0.14773835711253211</v>
      </c>
      <c r="AN471" s="3">
        <f t="shared" ca="1" si="263"/>
        <v>1.7791192104959008</v>
      </c>
      <c r="AP471" s="3">
        <f t="shared" ca="1" si="264"/>
        <v>8.6915430967720955</v>
      </c>
      <c r="AQ471" s="3">
        <f t="shared" ca="1" si="271"/>
        <v>0.40041229584752286</v>
      </c>
      <c r="AR471" s="3">
        <f t="shared" ca="1" si="265"/>
        <v>1.5099766001091107E-4</v>
      </c>
      <c r="AS471" s="3">
        <f t="shared" ca="1" si="266"/>
        <v>0.14766671606433457</v>
      </c>
      <c r="AT471" s="3">
        <f t="shared" ca="1" si="267"/>
        <v>0.70804053492542562</v>
      </c>
      <c r="AU471" s="3">
        <f t="shared" ca="1" si="268"/>
        <v>5.2483829034110321E-2</v>
      </c>
      <c r="AV471" s="10">
        <f t="shared" ca="1" si="272"/>
        <v>0.70804053492542562</v>
      </c>
      <c r="AW471" s="10">
        <f t="shared" ca="1" si="273"/>
        <v>0.70804053492542562</v>
      </c>
      <c r="AY471" s="3">
        <f t="shared" ca="1" si="279"/>
        <v>8.6936680230614893</v>
      </c>
      <c r="AZ471" s="3">
        <f t="shared" ca="1" si="274"/>
        <v>0.40051137694487904</v>
      </c>
      <c r="BA471" s="3">
        <f t="shared" ca="1" si="269"/>
        <v>1.4807553677189967E-4</v>
      </c>
      <c r="BB471" s="3">
        <f t="shared" ca="1" si="275"/>
        <v>0.14759028157576021</v>
      </c>
      <c r="BC471" s="3">
        <f t="shared" ca="1" si="276"/>
        <v>0.70777273249983241</v>
      </c>
      <c r="BD471" s="3">
        <f t="shared" ca="1" si="270"/>
        <v>5.2509193882644349E-2</v>
      </c>
      <c r="BE471" s="3" t="str">
        <f t="shared" ca="1" si="277"/>
        <v>rejected</v>
      </c>
      <c r="BF471" s="3" t="e">
        <f t="shared" ca="1" si="278"/>
        <v>#N/A</v>
      </c>
    </row>
    <row r="472" spans="1:58" ht="15" x14ac:dyDescent="0.25">
      <c r="A472" s="72">
        <v>406</v>
      </c>
      <c r="B472" s="72">
        <v>1498730333.3859999</v>
      </c>
      <c r="C472" s="73">
        <v>3.1349935063122898E-4</v>
      </c>
      <c r="D472" s="73">
        <v>2.07865517045659E-5</v>
      </c>
      <c r="E472" s="73">
        <v>1.13564504490744E-2</v>
      </c>
      <c r="F472" s="73">
        <v>3.7807475623272802E-4</v>
      </c>
      <c r="G472" s="73">
        <v>0.20702912377386801</v>
      </c>
      <c r="H472" s="73">
        <v>1.2159060078465399E-5</v>
      </c>
      <c r="I472" s="73">
        <v>0.149559508185859</v>
      </c>
      <c r="J472" s="73">
        <v>1.7961902532124401</v>
      </c>
      <c r="K472" s="73"/>
      <c r="L472" s="73"/>
      <c r="M472" s="73"/>
      <c r="O472" s="13">
        <f t="shared" ca="1" si="240"/>
        <v>4.8812121359667398E-5</v>
      </c>
      <c r="P472" s="13">
        <f t="shared" ca="1" si="241"/>
        <v>9.4990763197257264E-6</v>
      </c>
      <c r="Q472" s="13">
        <f t="shared" ca="1" si="242"/>
        <v>1.0515710831101715E-2</v>
      </c>
      <c r="R472" s="13">
        <f t="shared" ca="1" si="243"/>
        <v>3.6829847734204689E-4</v>
      </c>
      <c r="S472" s="13">
        <f t="shared" ca="1" si="244"/>
        <v>0.20589404514062665</v>
      </c>
      <c r="T472" s="13">
        <f t="shared" ca="1" si="245"/>
        <v>1.1809238567441313E-5</v>
      </c>
      <c r="U472" s="13">
        <f t="shared" ca="1" si="246"/>
        <v>0.14890566419107049</v>
      </c>
      <c r="V472" s="13">
        <f t="shared" ca="1" si="247"/>
        <v>1.789051472289986</v>
      </c>
      <c r="X472" s="3">
        <f t="shared" ca="1" si="248"/>
        <v>4.8812121359667398E-5</v>
      </c>
      <c r="Y472" s="3">
        <f t="shared" ca="1" si="249"/>
        <v>9.4990763197257264E-6</v>
      </c>
      <c r="Z472" s="3">
        <f t="shared" ca="1" si="250"/>
        <v>1.0515620481589728E-2</v>
      </c>
      <c r="AA472" s="3">
        <f t="shared" ca="1" si="251"/>
        <v>3.6611160847238843E-4</v>
      </c>
      <c r="AB472" s="3">
        <f t="shared" ca="1" si="252"/>
        <v>0.20587814157311912</v>
      </c>
      <c r="AC472" s="3">
        <f t="shared" ca="1" si="253"/>
        <v>1.1809238567441313E-5</v>
      </c>
      <c r="AD472" s="3">
        <f t="shared" ca="1" si="254"/>
        <v>0.14888217845144916</v>
      </c>
      <c r="AE472" s="3">
        <f t="shared" ca="1" si="255"/>
        <v>1.7890419423231982</v>
      </c>
      <c r="AG472" s="3">
        <f t="shared" ca="1" si="256"/>
        <v>4.8812121359667398E-5</v>
      </c>
      <c r="AH472" s="3">
        <f t="shared" ca="1" si="257"/>
        <v>9.4990763197257264E-6</v>
      </c>
      <c r="AI472" s="3">
        <f t="shared" ca="1" si="258"/>
        <v>1.050796902599972E-2</v>
      </c>
      <c r="AJ472" s="3">
        <f t="shared" ca="1" si="259"/>
        <v>3.6188645412173057E-4</v>
      </c>
      <c r="AK472" s="3">
        <f t="shared" ca="1" si="260"/>
        <v>0.20587814157311912</v>
      </c>
      <c r="AL472" s="3">
        <f t="shared" ca="1" si="261"/>
        <v>1.1809238567441313E-5</v>
      </c>
      <c r="AM472" s="3">
        <f t="shared" ca="1" si="262"/>
        <v>0.14888217845144916</v>
      </c>
      <c r="AN472" s="3">
        <f t="shared" ca="1" si="263"/>
        <v>1.7890419423231982</v>
      </c>
      <c r="AP472" s="3">
        <f t="shared" ca="1" si="264"/>
        <v>8.6891851149364463</v>
      </c>
      <c r="AQ472" s="3">
        <f t="shared" ca="1" si="271"/>
        <v>0.40030234817629695</v>
      </c>
      <c r="AR472" s="3">
        <f t="shared" ca="1" si="265"/>
        <v>1.4743074530977607E-4</v>
      </c>
      <c r="AS472" s="3">
        <f t="shared" ca="1" si="266"/>
        <v>0.14875823344576072</v>
      </c>
      <c r="AT472" s="3">
        <f t="shared" ca="1" si="267"/>
        <v>0.70923162881450674</v>
      </c>
      <c r="AU472" s="3">
        <f t="shared" ca="1" si="268"/>
        <v>5.3033448300224849E-2</v>
      </c>
      <c r="AV472" s="10">
        <f t="shared" ca="1" si="272"/>
        <v>0.70923162881450674</v>
      </c>
      <c r="AW472" s="10">
        <f t="shared" ca="1" si="273"/>
        <v>0.70923162881450674</v>
      </c>
      <c r="AY472" s="3">
        <f t="shared" ca="1" si="279"/>
        <v>8.6898100432279595</v>
      </c>
      <c r="AZ472" s="3">
        <f t="shared" ca="1" si="274"/>
        <v>0.40033148721638584</v>
      </c>
      <c r="BA472" s="3">
        <f t="shared" ca="1" si="269"/>
        <v>1.4487454238201679E-4</v>
      </c>
      <c r="BB472" s="3">
        <f t="shared" ca="1" si="275"/>
        <v>0.14873730390906714</v>
      </c>
      <c r="BC472" s="3">
        <f t="shared" ca="1" si="276"/>
        <v>0.70916093780881739</v>
      </c>
      <c r="BD472" s="3">
        <f t="shared" ca="1" si="270"/>
        <v>5.3002398350832328E-2</v>
      </c>
      <c r="BE472" s="3">
        <f t="shared" ca="1" si="277"/>
        <v>0.70916093780881739</v>
      </c>
      <c r="BF472" s="3">
        <f t="shared" ca="1" si="278"/>
        <v>0.70916093780881739</v>
      </c>
    </row>
    <row r="473" spans="1:58" ht="15" x14ac:dyDescent="0.25">
      <c r="A473" s="72">
        <v>407</v>
      </c>
      <c r="B473" s="72">
        <v>1498730333.9130001</v>
      </c>
      <c r="C473" s="73">
        <v>1.6957210570946201E-4</v>
      </c>
      <c r="D473" s="73">
        <v>-2.5748849025094199E-5</v>
      </c>
      <c r="E473" s="73">
        <v>1.16748024776838E-2</v>
      </c>
      <c r="F473" s="73">
        <v>3.4451375190756601E-4</v>
      </c>
      <c r="G473" s="73">
        <v>0.21351529075456299</v>
      </c>
      <c r="H473" s="73">
        <v>-2.6695373162450201E-5</v>
      </c>
      <c r="I473" s="73">
        <v>0.154185259796561</v>
      </c>
      <c r="J473" s="73">
        <v>1.8531635261410699</v>
      </c>
      <c r="K473" s="73"/>
      <c r="L473" s="73"/>
      <c r="M473" s="73"/>
      <c r="O473" s="13">
        <f t="shared" ca="1" si="240"/>
        <v>-9.5115123562099571E-5</v>
      </c>
      <c r="P473" s="13">
        <f t="shared" ca="1" si="241"/>
        <v>-3.703632440993437E-5</v>
      </c>
      <c r="Q473" s="13">
        <f t="shared" ca="1" si="242"/>
        <v>1.0834062859711115E-2</v>
      </c>
      <c r="R473" s="13">
        <f t="shared" ca="1" si="243"/>
        <v>3.3473747301688487E-4</v>
      </c>
      <c r="S473" s="13">
        <f t="shared" ca="1" si="244"/>
        <v>0.21238021212132163</v>
      </c>
      <c r="T473" s="13">
        <f t="shared" ca="1" si="245"/>
        <v>-2.7045194673474287E-5</v>
      </c>
      <c r="U473" s="13">
        <f t="shared" ca="1" si="246"/>
        <v>0.15353141580177249</v>
      </c>
      <c r="V473" s="13">
        <f t="shared" ca="1" si="247"/>
        <v>1.8460247452186158</v>
      </c>
      <c r="X473" s="3">
        <f t="shared" ca="1" si="248"/>
        <v>-9.5115123562099571E-5</v>
      </c>
      <c r="Y473" s="3">
        <f t="shared" ca="1" si="249"/>
        <v>-3.703632440993437E-5</v>
      </c>
      <c r="Z473" s="3">
        <f t="shared" ca="1" si="250"/>
        <v>1.0834062859711115E-2</v>
      </c>
      <c r="AA473" s="3">
        <f t="shared" ca="1" si="251"/>
        <v>3.3473747301688487E-4</v>
      </c>
      <c r="AB473" s="3">
        <f t="shared" ca="1" si="252"/>
        <v>0.21238021212132163</v>
      </c>
      <c r="AC473" s="3">
        <f t="shared" ca="1" si="253"/>
        <v>-2.7045194673474287E-5</v>
      </c>
      <c r="AD473" s="3">
        <f t="shared" ca="1" si="254"/>
        <v>0.15353141580177249</v>
      </c>
      <c r="AE473" s="3">
        <f t="shared" ca="1" si="255"/>
        <v>1.8460247452186158</v>
      </c>
      <c r="AG473" s="3">
        <f t="shared" ca="1" si="256"/>
        <v>-9.5115123562099571E-5</v>
      </c>
      <c r="AH473" s="3">
        <f t="shared" ca="1" si="257"/>
        <v>-3.703632440993437E-5</v>
      </c>
      <c r="AI473" s="3">
        <f t="shared" ca="1" si="258"/>
        <v>1.0834062859711115E-2</v>
      </c>
      <c r="AJ473" s="3">
        <f t="shared" ca="1" si="259"/>
        <v>3.3473747301688487E-4</v>
      </c>
      <c r="AK473" s="3">
        <f t="shared" ca="1" si="260"/>
        <v>0.21238021212132163</v>
      </c>
      <c r="AL473" s="3">
        <f t="shared" ca="1" si="261"/>
        <v>-2.7045194673474287E-5</v>
      </c>
      <c r="AM473" s="3">
        <f t="shared" ca="1" si="262"/>
        <v>0.15353141580177249</v>
      </c>
      <c r="AN473" s="3">
        <f t="shared" ca="1" si="263"/>
        <v>1.8460247452186158</v>
      </c>
      <c r="AP473" s="3">
        <f t="shared" ca="1" si="264"/>
        <v>8.6920750609481416</v>
      </c>
      <c r="AQ473" s="3">
        <f t="shared" ca="1" si="271"/>
        <v>0.40043710025415252</v>
      </c>
      <c r="AR473" s="3">
        <f t="shared" ca="1" si="265"/>
        <v>1.3404130304128401E-4</v>
      </c>
      <c r="AS473" s="3">
        <f t="shared" ca="1" si="266"/>
        <v>0.1533973744987312</v>
      </c>
      <c r="AT473" s="3">
        <f t="shared" ca="1" si="267"/>
        <v>0.7088951693861576</v>
      </c>
      <c r="AU473" s="3">
        <f t="shared" ca="1" si="268"/>
        <v>5.2988313195550793E-2</v>
      </c>
      <c r="AV473" s="10">
        <f t="shared" ca="1" si="272"/>
        <v>0.7088951693861576</v>
      </c>
      <c r="AW473" s="10">
        <f t="shared" ca="1" si="273"/>
        <v>0.7088951693861576</v>
      </c>
      <c r="AY473" s="3">
        <f t="shared" ca="1" si="279"/>
        <v>8.6920750609481416</v>
      </c>
      <c r="AZ473" s="3">
        <f t="shared" ca="1" si="274"/>
        <v>0.40043710025415252</v>
      </c>
      <c r="BA473" s="3">
        <f t="shared" ca="1" si="269"/>
        <v>1.3404130304128401E-4</v>
      </c>
      <c r="BB473" s="3">
        <f t="shared" ca="1" si="275"/>
        <v>0.1533973744987312</v>
      </c>
      <c r="BC473" s="3">
        <f t="shared" ca="1" si="276"/>
        <v>0.7088951693861576</v>
      </c>
      <c r="BD473" s="3">
        <f t="shared" ca="1" si="270"/>
        <v>5.2988313195550793E-2</v>
      </c>
      <c r="BE473" s="3">
        <f t="shared" ca="1" si="277"/>
        <v>0.7088951693861576</v>
      </c>
      <c r="BF473" s="3">
        <f t="shared" ca="1" si="278"/>
        <v>0.7088951693861576</v>
      </c>
    </row>
    <row r="474" spans="1:58" ht="15" x14ac:dyDescent="0.25">
      <c r="A474" s="72">
        <v>408</v>
      </c>
      <c r="B474" s="72">
        <v>1498730334.4400001</v>
      </c>
      <c r="C474" s="73">
        <v>1.84082837986781E-4</v>
      </c>
      <c r="D474" s="73">
        <v>-5.8582158583203998E-5</v>
      </c>
      <c r="E474" s="73">
        <v>1.17819048737135E-2</v>
      </c>
      <c r="F474" s="73">
        <v>3.6664960688139099E-4</v>
      </c>
      <c r="G474" s="73">
        <v>0.21538635813859699</v>
      </c>
      <c r="H474" s="73">
        <v>-5.7177768440130502E-5</v>
      </c>
      <c r="I474" s="73">
        <v>0.15561464773880099</v>
      </c>
      <c r="J474" s="73">
        <v>1.8702332303503799</v>
      </c>
      <c r="K474" s="73"/>
      <c r="L474" s="73"/>
      <c r="M474" s="73"/>
      <c r="O474" s="13">
        <f t="shared" ca="1" si="240"/>
        <v>-8.060439128478058E-5</v>
      </c>
      <c r="P474" s="13">
        <f t="shared" ca="1" si="241"/>
        <v>-6.9869633968044177E-5</v>
      </c>
      <c r="Q474" s="13">
        <f t="shared" ca="1" si="242"/>
        <v>1.0941165255740815E-2</v>
      </c>
      <c r="R474" s="13">
        <f t="shared" ca="1" si="243"/>
        <v>3.5687332799070985E-4</v>
      </c>
      <c r="S474" s="13">
        <f t="shared" ca="1" si="244"/>
        <v>0.21425127950535564</v>
      </c>
      <c r="T474" s="13">
        <f t="shared" ca="1" si="245"/>
        <v>-5.7527589951154592E-5</v>
      </c>
      <c r="U474" s="13">
        <f t="shared" ca="1" si="246"/>
        <v>0.15496080374401247</v>
      </c>
      <c r="V474" s="13">
        <f t="shared" ca="1" si="247"/>
        <v>1.8630944494279258</v>
      </c>
      <c r="X474" s="3">
        <f t="shared" ca="1" si="248"/>
        <v>-8.060439128478058E-5</v>
      </c>
      <c r="Y474" s="3">
        <f t="shared" ca="1" si="249"/>
        <v>-6.9869633968044177E-5</v>
      </c>
      <c r="Z474" s="3">
        <f t="shared" ca="1" si="250"/>
        <v>1.0941165255740815E-2</v>
      </c>
      <c r="AA474" s="3">
        <f t="shared" ca="1" si="251"/>
        <v>3.5687332799070985E-4</v>
      </c>
      <c r="AB474" s="3">
        <f t="shared" ca="1" si="252"/>
        <v>0.21425127950535564</v>
      </c>
      <c r="AC474" s="3">
        <f t="shared" ca="1" si="253"/>
        <v>-5.7527589951154592E-5</v>
      </c>
      <c r="AD474" s="3">
        <f t="shared" ca="1" si="254"/>
        <v>0.15496080374401247</v>
      </c>
      <c r="AE474" s="3">
        <f t="shared" ca="1" si="255"/>
        <v>1.8630944494279258</v>
      </c>
      <c r="AG474" s="3">
        <f t="shared" ca="1" si="256"/>
        <v>-8.060439128478058E-5</v>
      </c>
      <c r="AH474" s="3">
        <f t="shared" ca="1" si="257"/>
        <v>-6.9869633968044177E-5</v>
      </c>
      <c r="AI474" s="3">
        <f t="shared" ca="1" si="258"/>
        <v>1.0941165255740815E-2</v>
      </c>
      <c r="AJ474" s="3">
        <f t="shared" ca="1" si="259"/>
        <v>3.5687332799070985E-4</v>
      </c>
      <c r="AK474" s="3">
        <f t="shared" ca="1" si="260"/>
        <v>0.21425127950535564</v>
      </c>
      <c r="AL474" s="3">
        <f t="shared" ca="1" si="261"/>
        <v>-5.7527589951154592E-5</v>
      </c>
      <c r="AM474" s="3">
        <f t="shared" ca="1" si="262"/>
        <v>0.15496080374401247</v>
      </c>
      <c r="AN474" s="3">
        <f t="shared" ca="1" si="263"/>
        <v>1.8630944494279258</v>
      </c>
      <c r="AP474" s="3">
        <f t="shared" ca="1" si="264"/>
        <v>8.6958381472879562</v>
      </c>
      <c r="AQ474" s="3">
        <f t="shared" ca="1" si="271"/>
        <v>0.40061256583554394</v>
      </c>
      <c r="AR474" s="3">
        <f t="shared" ca="1" si="265"/>
        <v>1.4296793960462791E-4</v>
      </c>
      <c r="AS474" s="3">
        <f t="shared" ca="1" si="266"/>
        <v>0.15481783580440783</v>
      </c>
      <c r="AT474" s="3">
        <f t="shared" ca="1" si="267"/>
        <v>0.70905682781676527</v>
      </c>
      <c r="AU474" s="3">
        <f t="shared" ca="1" si="268"/>
        <v>5.3068314912515041E-2</v>
      </c>
      <c r="AV474" s="10">
        <f t="shared" ca="1" si="272"/>
        <v>0.70905682781676527</v>
      </c>
      <c r="AW474" s="10">
        <f t="shared" ca="1" si="273"/>
        <v>0.70905682781676527</v>
      </c>
      <c r="AY474" s="3">
        <f t="shared" ca="1" si="279"/>
        <v>8.6958381472879562</v>
      </c>
      <c r="AZ474" s="3">
        <f t="shared" ca="1" si="274"/>
        <v>0.40061256583554394</v>
      </c>
      <c r="BA474" s="3">
        <f t="shared" ca="1" si="269"/>
        <v>1.4296793960462791E-4</v>
      </c>
      <c r="BB474" s="3">
        <f t="shared" ca="1" si="275"/>
        <v>0.15481783580440783</v>
      </c>
      <c r="BC474" s="3">
        <f t="shared" ca="1" si="276"/>
        <v>0.70905682781676527</v>
      </c>
      <c r="BD474" s="3">
        <f t="shared" ca="1" si="270"/>
        <v>5.3068314912515041E-2</v>
      </c>
      <c r="BE474" s="3">
        <f t="shared" ca="1" si="277"/>
        <v>0.70905682781676527</v>
      </c>
      <c r="BF474" s="3">
        <f t="shared" ca="1" si="278"/>
        <v>0.70905682781676527</v>
      </c>
    </row>
    <row r="475" spans="1:58" ht="15" x14ac:dyDescent="0.25">
      <c r="A475" s="72">
        <v>409</v>
      </c>
      <c r="B475" s="72">
        <v>1498730334.967</v>
      </c>
      <c r="C475" s="73">
        <v>3.1944720379174801E-4</v>
      </c>
      <c r="D475" s="73">
        <v>7.2048884962913902E-5</v>
      </c>
      <c r="E475" s="73">
        <v>1.1576133908580999E-2</v>
      </c>
      <c r="F475" s="73">
        <v>4.0306772606796699E-4</v>
      </c>
      <c r="G475" s="73">
        <v>0.212370417450858</v>
      </c>
      <c r="H475" s="73">
        <v>-5.5576151369920702E-6</v>
      </c>
      <c r="I475" s="73">
        <v>0.15353202680159</v>
      </c>
      <c r="J475" s="73">
        <v>1.8440292906348801</v>
      </c>
      <c r="K475" s="73"/>
      <c r="L475" s="73"/>
      <c r="M475" s="73"/>
      <c r="O475" s="13">
        <f t="shared" ca="1" si="240"/>
        <v>5.4759974520186426E-5</v>
      </c>
      <c r="P475" s="13">
        <f t="shared" ca="1" si="241"/>
        <v>6.076140957807373E-5</v>
      </c>
      <c r="Q475" s="13">
        <f t="shared" ca="1" si="242"/>
        <v>1.0735394290608314E-2</v>
      </c>
      <c r="R475" s="13">
        <f t="shared" ca="1" si="243"/>
        <v>3.9329144717728585E-4</v>
      </c>
      <c r="S475" s="13">
        <f t="shared" ca="1" si="244"/>
        <v>0.21123533881761664</v>
      </c>
      <c r="T475" s="13">
        <f t="shared" ca="1" si="245"/>
        <v>-5.9074366480161567E-6</v>
      </c>
      <c r="U475" s="13">
        <f t="shared" ca="1" si="246"/>
        <v>0.15287818280680149</v>
      </c>
      <c r="V475" s="13">
        <f t="shared" ca="1" si="247"/>
        <v>1.836890509712426</v>
      </c>
      <c r="X475" s="3">
        <f t="shared" ca="1" si="248"/>
        <v>5.4759974520186426E-5</v>
      </c>
      <c r="Y475" s="3">
        <f t="shared" ca="1" si="249"/>
        <v>6.076140957807373E-5</v>
      </c>
      <c r="Z475" s="3">
        <f t="shared" ca="1" si="250"/>
        <v>1.0735394290608314E-2</v>
      </c>
      <c r="AA475" s="3">
        <f t="shared" ca="1" si="251"/>
        <v>3.9329144717728585E-4</v>
      </c>
      <c r="AB475" s="3">
        <f t="shared" ca="1" si="252"/>
        <v>0.21123533881761664</v>
      </c>
      <c r="AC475" s="3">
        <f t="shared" ca="1" si="253"/>
        <v>-5.9074366480161567E-6</v>
      </c>
      <c r="AD475" s="3">
        <f t="shared" ca="1" si="254"/>
        <v>0.15287818280680149</v>
      </c>
      <c r="AE475" s="3">
        <f t="shared" ca="1" si="255"/>
        <v>1.836890509712426</v>
      </c>
      <c r="AG475" s="3">
        <f t="shared" ca="1" si="256"/>
        <v>5.4759974520186426E-5</v>
      </c>
      <c r="AH475" s="3">
        <f t="shared" ca="1" si="257"/>
        <v>6.076140957807373E-5</v>
      </c>
      <c r="AI475" s="3">
        <f t="shared" ca="1" si="258"/>
        <v>1.0686451297487243E-2</v>
      </c>
      <c r="AJ475" s="3">
        <f t="shared" ca="1" si="259"/>
        <v>3.6626499477393108E-4</v>
      </c>
      <c r="AK475" s="3">
        <f t="shared" ca="1" si="260"/>
        <v>0.21123533881761664</v>
      </c>
      <c r="AL475" s="3">
        <f t="shared" ca="1" si="261"/>
        <v>-5.9074366480161567E-6</v>
      </c>
      <c r="AM475" s="3">
        <f t="shared" ca="1" si="262"/>
        <v>0.15287818280680149</v>
      </c>
      <c r="AN475" s="3">
        <f t="shared" ca="1" si="263"/>
        <v>1.836890509712426</v>
      </c>
      <c r="AP475" s="3">
        <f t="shared" ca="1" si="264"/>
        <v>8.6959432072037028</v>
      </c>
      <c r="AQ475" s="3">
        <f t="shared" ca="1" si="271"/>
        <v>0.40061746459344338</v>
      </c>
      <c r="AR475" s="3">
        <f t="shared" ca="1" si="265"/>
        <v>1.5755942241445044E-4</v>
      </c>
      <c r="AS475" s="3">
        <f t="shared" ca="1" si="266"/>
        <v>0.15272062338438705</v>
      </c>
      <c r="AT475" s="3">
        <f t="shared" ca="1" si="267"/>
        <v>0.7094339136417499</v>
      </c>
      <c r="AU475" s="3">
        <f t="shared" ca="1" si="268"/>
        <v>5.2814349772779094E-2</v>
      </c>
      <c r="AV475" s="10">
        <f t="shared" ca="1" si="272"/>
        <v>0.7094339136417499</v>
      </c>
      <c r="AW475" s="10">
        <f t="shared" ca="1" si="273"/>
        <v>0.7094339136417499</v>
      </c>
      <c r="AY475" s="3">
        <f t="shared" ca="1" si="279"/>
        <v>8.6959432072037028</v>
      </c>
      <c r="AZ475" s="3">
        <f t="shared" ca="1" si="274"/>
        <v>0.40061746459344338</v>
      </c>
      <c r="BA475" s="3">
        <f t="shared" ca="1" si="269"/>
        <v>1.4673215357566307E-4</v>
      </c>
      <c r="BB475" s="3">
        <f t="shared" ca="1" si="275"/>
        <v>0.15273145065322583</v>
      </c>
      <c r="BC475" s="3">
        <f t="shared" ca="1" si="276"/>
        <v>0.70948420961053338</v>
      </c>
      <c r="BD475" s="3">
        <f t="shared" ca="1" si="270"/>
        <v>5.2573567525974765E-2</v>
      </c>
      <c r="BE475" s="3">
        <f t="shared" ca="1" si="277"/>
        <v>0.70948420961053338</v>
      </c>
      <c r="BF475" s="3">
        <f t="shared" ca="1" si="278"/>
        <v>0.70948420961053338</v>
      </c>
    </row>
    <row r="476" spans="1:58" ht="15" x14ac:dyDescent="0.25">
      <c r="A476" s="72">
        <v>410</v>
      </c>
      <c r="B476" s="72">
        <v>1498730335.494</v>
      </c>
      <c r="C476" s="73">
        <v>2.6686940946140801E-4</v>
      </c>
      <c r="D476" s="73">
        <v>-1.4174257846712699E-5</v>
      </c>
      <c r="E476" s="73">
        <v>1.17520594700989E-2</v>
      </c>
      <c r="F476" s="73">
        <v>4.4020129320742799E-4</v>
      </c>
      <c r="G476" s="73">
        <v>0.215353884927004</v>
      </c>
      <c r="H476" s="73">
        <v>-2.3058582636914099E-5</v>
      </c>
      <c r="I476" s="73">
        <v>0.15562413040569101</v>
      </c>
      <c r="J476" s="73">
        <v>1.86898085530999</v>
      </c>
      <c r="K476" s="73"/>
      <c r="L476" s="73"/>
      <c r="M476" s="73"/>
      <c r="O476" s="13">
        <f t="shared" ca="1" si="240"/>
        <v>2.1821801898464291E-6</v>
      </c>
      <c r="P476" s="13">
        <f t="shared" ca="1" si="241"/>
        <v>-2.5461733231552872E-5</v>
      </c>
      <c r="Q476" s="13">
        <f t="shared" ca="1" si="242"/>
        <v>1.0911319852126214E-2</v>
      </c>
      <c r="R476" s="13">
        <f t="shared" ca="1" si="243"/>
        <v>4.3042501431674686E-4</v>
      </c>
      <c r="S476" s="13">
        <f t="shared" ca="1" si="244"/>
        <v>0.21421880629376264</v>
      </c>
      <c r="T476" s="13">
        <f t="shared" ca="1" si="245"/>
        <v>-2.3408404147938186E-5</v>
      </c>
      <c r="U476" s="13">
        <f t="shared" ca="1" si="246"/>
        <v>0.15497028641090249</v>
      </c>
      <c r="V476" s="13">
        <f t="shared" ca="1" si="247"/>
        <v>1.8618420743875359</v>
      </c>
      <c r="X476" s="3">
        <f t="shared" ca="1" si="248"/>
        <v>2.1821801898464291E-6</v>
      </c>
      <c r="Y476" s="3">
        <f t="shared" ca="1" si="249"/>
        <v>-2.5461733231552872E-5</v>
      </c>
      <c r="Z476" s="3">
        <f t="shared" ca="1" si="250"/>
        <v>1.0911319852126214E-2</v>
      </c>
      <c r="AA476" s="3">
        <f t="shared" ca="1" si="251"/>
        <v>4.3042501431674686E-4</v>
      </c>
      <c r="AB476" s="3">
        <f t="shared" ca="1" si="252"/>
        <v>0.21421880629376264</v>
      </c>
      <c r="AC476" s="3">
        <f t="shared" ca="1" si="253"/>
        <v>-2.3408404147938186E-5</v>
      </c>
      <c r="AD476" s="3">
        <f t="shared" ca="1" si="254"/>
        <v>0.15497028641090249</v>
      </c>
      <c r="AE476" s="3">
        <f t="shared" ca="1" si="255"/>
        <v>1.8618420743875359</v>
      </c>
      <c r="AG476" s="3">
        <f t="shared" ca="1" si="256"/>
        <v>2.1821801898464291E-6</v>
      </c>
      <c r="AH476" s="3">
        <f t="shared" ca="1" si="257"/>
        <v>-2.5461733231552872E-5</v>
      </c>
      <c r="AI476" s="3">
        <f t="shared" ca="1" si="258"/>
        <v>1.0911319852126214E-2</v>
      </c>
      <c r="AJ476" s="3">
        <f t="shared" ca="1" si="259"/>
        <v>4.3042501431674686E-4</v>
      </c>
      <c r="AK476" s="3">
        <f t="shared" ca="1" si="260"/>
        <v>0.21421880629376264</v>
      </c>
      <c r="AL476" s="3">
        <f t="shared" ca="1" si="261"/>
        <v>-2.3408404147938186E-5</v>
      </c>
      <c r="AM476" s="3">
        <f t="shared" ca="1" si="262"/>
        <v>0.15497028641090249</v>
      </c>
      <c r="AN476" s="3">
        <f t="shared" ca="1" si="263"/>
        <v>1.8618420743875359</v>
      </c>
      <c r="AP476" s="3">
        <f t="shared" ca="1" si="264"/>
        <v>8.6913100983036653</v>
      </c>
      <c r="AQ476" s="3">
        <f t="shared" ca="1" si="271"/>
        <v>0.40040143160904468</v>
      </c>
      <c r="AR476" s="3">
        <f t="shared" ca="1" si="265"/>
        <v>1.7234279193276898E-4</v>
      </c>
      <c r="AS476" s="3">
        <f t="shared" ca="1" si="266"/>
        <v>0.15479794361896973</v>
      </c>
      <c r="AT476" s="3">
        <f t="shared" ca="1" si="267"/>
        <v>0.7092592060405557</v>
      </c>
      <c r="AU476" s="3">
        <f t="shared" ca="1" si="268"/>
        <v>5.2903374435982559E-2</v>
      </c>
      <c r="AV476" s="10">
        <f t="shared" ca="1" si="272"/>
        <v>0.7092592060405557</v>
      </c>
      <c r="AW476" s="10">
        <f t="shared" ca="1" si="273"/>
        <v>0.7092592060405557</v>
      </c>
      <c r="AY476" s="3">
        <f t="shared" ca="1" si="279"/>
        <v>8.6913100983036653</v>
      </c>
      <c r="AZ476" s="3">
        <f t="shared" ca="1" si="274"/>
        <v>0.40040143160904468</v>
      </c>
      <c r="BA476" s="3">
        <f t="shared" ca="1" si="269"/>
        <v>1.7234279193276898E-4</v>
      </c>
      <c r="BB476" s="3">
        <f t="shared" ca="1" si="275"/>
        <v>0.15479794361896973</v>
      </c>
      <c r="BC476" s="3">
        <f t="shared" ca="1" si="276"/>
        <v>0.7092592060405557</v>
      </c>
      <c r="BD476" s="3">
        <f t="shared" ca="1" si="270"/>
        <v>5.2903374435982559E-2</v>
      </c>
      <c r="BE476" s="3">
        <f t="shared" ca="1" si="277"/>
        <v>0.7092592060405557</v>
      </c>
      <c r="BF476" s="3">
        <f t="shared" ca="1" si="278"/>
        <v>0.7092592060405557</v>
      </c>
    </row>
    <row r="477" spans="1:58" ht="15" x14ac:dyDescent="0.25">
      <c r="A477" s="72">
        <v>411</v>
      </c>
      <c r="B477" s="72">
        <v>1498730336.0209999</v>
      </c>
      <c r="C477" s="73">
        <v>2.7924040613164599E-4</v>
      </c>
      <c r="D477" s="73">
        <v>1.3227353363659099E-5</v>
      </c>
      <c r="E477" s="73">
        <v>1.2090037960478099E-2</v>
      </c>
      <c r="F477" s="73">
        <v>4.6186317823923302E-4</v>
      </c>
      <c r="G477" s="73">
        <v>0.221122390021361</v>
      </c>
      <c r="H477" s="73">
        <v>4.3348096588094001E-5</v>
      </c>
      <c r="I477" s="73">
        <v>0.15960773409776599</v>
      </c>
      <c r="J477" s="73">
        <v>1.91727839842023</v>
      </c>
      <c r="K477" s="73"/>
      <c r="L477" s="73"/>
      <c r="M477" s="73"/>
      <c r="O477" s="13">
        <f t="shared" ca="1" si="240"/>
        <v>1.4553176860084406E-5</v>
      </c>
      <c r="P477" s="13">
        <f t="shared" ca="1" si="241"/>
        <v>1.9398779788189261E-6</v>
      </c>
      <c r="Q477" s="13">
        <f t="shared" ca="1" si="242"/>
        <v>1.1249298342505414E-2</v>
      </c>
      <c r="R477" s="13">
        <f t="shared" ca="1" si="243"/>
        <v>4.5208689934855188E-4</v>
      </c>
      <c r="S477" s="13">
        <f t="shared" ca="1" si="244"/>
        <v>0.21998731138811964</v>
      </c>
      <c r="T477" s="13">
        <f t="shared" ca="1" si="245"/>
        <v>4.2998275077069911E-5</v>
      </c>
      <c r="U477" s="13">
        <f t="shared" ca="1" si="246"/>
        <v>0.15895389010297747</v>
      </c>
      <c r="V477" s="13">
        <f t="shared" ca="1" si="247"/>
        <v>1.9101396174977758</v>
      </c>
      <c r="X477" s="3">
        <f t="shared" ca="1" si="248"/>
        <v>1.4553176860084406E-5</v>
      </c>
      <c r="Y477" s="3">
        <f t="shared" ca="1" si="249"/>
        <v>1.9398779788189261E-6</v>
      </c>
      <c r="Z477" s="3">
        <f t="shared" ca="1" si="250"/>
        <v>1.1248969373525132E-2</v>
      </c>
      <c r="AA477" s="3">
        <f t="shared" ca="1" si="251"/>
        <v>4.4412435471215977E-4</v>
      </c>
      <c r="AB477" s="3">
        <f t="shared" ca="1" si="252"/>
        <v>0.21992940537102212</v>
      </c>
      <c r="AC477" s="3">
        <f t="shared" ca="1" si="253"/>
        <v>4.2998275077069911E-5</v>
      </c>
      <c r="AD477" s="3">
        <f t="shared" ca="1" si="254"/>
        <v>0.15886837685952326</v>
      </c>
      <c r="AE477" s="3">
        <f t="shared" ca="1" si="255"/>
        <v>1.9101049182128831</v>
      </c>
      <c r="AG477" s="3">
        <f t="shared" ca="1" si="256"/>
        <v>1.4553176860084406E-5</v>
      </c>
      <c r="AH477" s="3">
        <f t="shared" ca="1" si="257"/>
        <v>1.9398779788189261E-6</v>
      </c>
      <c r="AI477" s="3">
        <f t="shared" ca="1" si="258"/>
        <v>1.1247406812102803E-2</v>
      </c>
      <c r="AJ477" s="3">
        <f t="shared" ca="1" si="259"/>
        <v>4.432615040932073E-4</v>
      </c>
      <c r="AK477" s="3">
        <f t="shared" ca="1" si="260"/>
        <v>0.21992940537102212</v>
      </c>
      <c r="AL477" s="3">
        <f t="shared" ca="1" si="261"/>
        <v>4.2998275077069911E-5</v>
      </c>
      <c r="AM477" s="3">
        <f t="shared" ca="1" si="262"/>
        <v>0.15886837685952326</v>
      </c>
      <c r="AN477" s="3">
        <f t="shared" ca="1" si="263"/>
        <v>1.9101049182128831</v>
      </c>
      <c r="AP477" s="3">
        <f t="shared" ca="1" si="264"/>
        <v>8.6829536005726755</v>
      </c>
      <c r="AQ477" s="3">
        <f t="shared" ca="1" si="271"/>
        <v>0.40001178767482931</v>
      </c>
      <c r="AR477" s="3">
        <f t="shared" ca="1" si="265"/>
        <v>1.8084008879278488E-4</v>
      </c>
      <c r="AS477" s="3">
        <f t="shared" ca="1" si="266"/>
        <v>0.15877305001418468</v>
      </c>
      <c r="AT477" s="3">
        <f t="shared" ca="1" si="267"/>
        <v>0.7087399748105927</v>
      </c>
      <c r="AU477" s="3">
        <f t="shared" ca="1" si="268"/>
        <v>5.305960431882617E-2</v>
      </c>
      <c r="AV477" s="10">
        <f t="shared" ca="1" si="272"/>
        <v>0.7087399748105927</v>
      </c>
      <c r="AW477" s="10">
        <f t="shared" ca="1" si="273"/>
        <v>0.7087399748105927</v>
      </c>
      <c r="AY477" s="3">
        <f t="shared" ca="1" si="279"/>
        <v>8.6850819925172154</v>
      </c>
      <c r="AZ477" s="3">
        <f t="shared" ca="1" si="274"/>
        <v>0.4001110291790535</v>
      </c>
      <c r="BA477" s="3">
        <f t="shared" ca="1" si="269"/>
        <v>1.7735381659818842E-4</v>
      </c>
      <c r="BB477" s="3">
        <f t="shared" ca="1" si="275"/>
        <v>0.15869102304292507</v>
      </c>
      <c r="BC477" s="3">
        <f t="shared" ca="1" si="276"/>
        <v>0.70847287837109474</v>
      </c>
      <c r="BD477" s="3">
        <f t="shared" ca="1" si="270"/>
        <v>5.3077960272501556E-2</v>
      </c>
      <c r="BE477" s="3">
        <f t="shared" ca="1" si="277"/>
        <v>0.70847287837109474</v>
      </c>
      <c r="BF477" s="3">
        <f t="shared" ca="1" si="278"/>
        <v>0.70847287837109474</v>
      </c>
    </row>
    <row r="478" spans="1:58" ht="15" x14ac:dyDescent="0.25">
      <c r="A478" s="72">
        <v>412</v>
      </c>
      <c r="B478" s="72">
        <v>1498730336.5480001</v>
      </c>
      <c r="C478" s="73">
        <v>2.2904365885034999E-4</v>
      </c>
      <c r="D478" s="73">
        <v>-2.71661366248269E-5</v>
      </c>
      <c r="E478" s="73">
        <v>1.27367004934034E-2</v>
      </c>
      <c r="F478" s="73">
        <v>5.4684895624115197E-4</v>
      </c>
      <c r="G478" s="73">
        <v>0.23325960062551099</v>
      </c>
      <c r="H478" s="73">
        <v>3.57153275820084E-5</v>
      </c>
      <c r="I478" s="73">
        <v>0.168307961862418</v>
      </c>
      <c r="J478" s="73">
        <v>2.02363637989929</v>
      </c>
      <c r="K478" s="73"/>
      <c r="L478" s="73"/>
      <c r="M478" s="73"/>
      <c r="O478" s="13">
        <f t="shared" ca="1" si="240"/>
        <v>-3.5643570421211592E-5</v>
      </c>
      <c r="P478" s="13">
        <f t="shared" ca="1" si="241"/>
        <v>-3.8453612009667072E-5</v>
      </c>
      <c r="Q478" s="13">
        <f t="shared" ca="1" si="242"/>
        <v>1.1895960875430715E-2</v>
      </c>
      <c r="R478" s="13">
        <f t="shared" ca="1" si="243"/>
        <v>5.3707267735047083E-4</v>
      </c>
      <c r="S478" s="13">
        <f t="shared" ca="1" si="244"/>
        <v>0.23212452199226963</v>
      </c>
      <c r="T478" s="13">
        <f t="shared" ca="1" si="245"/>
        <v>3.5365506070984311E-5</v>
      </c>
      <c r="U478" s="13">
        <f t="shared" ca="1" si="246"/>
        <v>0.16765411786762949</v>
      </c>
      <c r="V478" s="13">
        <f t="shared" ca="1" si="247"/>
        <v>2.0164975989768359</v>
      </c>
      <c r="X478" s="3">
        <f t="shared" ca="1" si="248"/>
        <v>-3.5643570421211592E-5</v>
      </c>
      <c r="Y478" s="3">
        <f t="shared" ca="1" si="249"/>
        <v>-3.8453612009667072E-5</v>
      </c>
      <c r="Z478" s="3">
        <f t="shared" ca="1" si="250"/>
        <v>1.1895690302844989E-2</v>
      </c>
      <c r="AA478" s="3">
        <f t="shared" ca="1" si="251"/>
        <v>5.3052359090051274E-4</v>
      </c>
      <c r="AB478" s="3">
        <f t="shared" ca="1" si="252"/>
        <v>0.23207689506780491</v>
      </c>
      <c r="AC478" s="3">
        <f t="shared" ca="1" si="253"/>
        <v>3.5365506070984311E-5</v>
      </c>
      <c r="AD478" s="3">
        <f t="shared" ca="1" si="254"/>
        <v>0.1675837843687831</v>
      </c>
      <c r="AE478" s="3">
        <f t="shared" ca="1" si="255"/>
        <v>2.0164690592791774</v>
      </c>
      <c r="AG478" s="3">
        <f t="shared" ca="1" si="256"/>
        <v>-3.5643570421211592E-5</v>
      </c>
      <c r="AH478" s="3">
        <f t="shared" ca="1" si="257"/>
        <v>-3.8453612009667072E-5</v>
      </c>
      <c r="AI478" s="3">
        <f t="shared" ca="1" si="258"/>
        <v>1.1895690302844989E-2</v>
      </c>
      <c r="AJ478" s="3">
        <f t="shared" ca="1" si="259"/>
        <v>5.3052359090051274E-4</v>
      </c>
      <c r="AK478" s="3">
        <f t="shared" ca="1" si="260"/>
        <v>0.23207689506780491</v>
      </c>
      <c r="AL478" s="3">
        <f t="shared" ca="1" si="261"/>
        <v>3.5365506070984311E-5</v>
      </c>
      <c r="AM478" s="3">
        <f t="shared" ca="1" si="262"/>
        <v>0.1675837843687831</v>
      </c>
      <c r="AN478" s="3">
        <f t="shared" ca="1" si="263"/>
        <v>2.0164690592791774</v>
      </c>
      <c r="AP478" s="3">
        <f t="shared" ca="1" si="264"/>
        <v>8.6871373246984689</v>
      </c>
      <c r="AQ478" s="3">
        <f t="shared" ca="1" si="271"/>
        <v>0.40020686437225839</v>
      </c>
      <c r="AR478" s="3">
        <f t="shared" ca="1" si="265"/>
        <v>2.1494017214244556E-4</v>
      </c>
      <c r="AS478" s="3">
        <f t="shared" ca="1" si="266"/>
        <v>0.16743917769548705</v>
      </c>
      <c r="AT478" s="3">
        <f t="shared" ca="1" si="267"/>
        <v>0.70817155443491475</v>
      </c>
      <c r="AU478" s="3">
        <f t="shared" ca="1" si="268"/>
        <v>5.3202100535818406E-2</v>
      </c>
      <c r="AV478" s="10">
        <f t="shared" ca="1" si="272"/>
        <v>0.70817155443491475</v>
      </c>
      <c r="AW478" s="10">
        <f t="shared" ca="1" si="273"/>
        <v>0.70817155443491475</v>
      </c>
      <c r="AY478" s="3">
        <f t="shared" ca="1" si="279"/>
        <v>8.6887971277366258</v>
      </c>
      <c r="AZ478" s="3">
        <f t="shared" ca="1" si="274"/>
        <v>0.4002842571941303</v>
      </c>
      <c r="BA478" s="3">
        <f t="shared" ca="1" si="269"/>
        <v>2.1236024150757442E-4</v>
      </c>
      <c r="BB478" s="3">
        <f t="shared" ca="1" si="275"/>
        <v>0.16737142412727551</v>
      </c>
      <c r="BC478" s="3">
        <f t="shared" ca="1" si="276"/>
        <v>0.7079621522130769</v>
      </c>
      <c r="BD478" s="3">
        <f t="shared" ca="1" si="270"/>
        <v>5.3222211661663278E-2</v>
      </c>
      <c r="BE478" s="3">
        <f t="shared" ca="1" si="277"/>
        <v>0.7079621522130769</v>
      </c>
      <c r="BF478" s="3">
        <f t="shared" ca="1" si="278"/>
        <v>0.7079621522130769</v>
      </c>
    </row>
    <row r="479" spans="1:58" ht="15" x14ac:dyDescent="0.25">
      <c r="A479" s="72">
        <v>413</v>
      </c>
      <c r="B479" s="72">
        <v>1498730337.075</v>
      </c>
      <c r="C479" s="73">
        <v>2.02637852051002E-4</v>
      </c>
      <c r="D479" s="73">
        <v>-4.7354683851314798E-7</v>
      </c>
      <c r="E479" s="73">
        <v>1.28082561683388E-2</v>
      </c>
      <c r="F479" s="73">
        <v>4.7281332085645099E-4</v>
      </c>
      <c r="G479" s="73">
        <v>0.236526764564678</v>
      </c>
      <c r="H479" s="73">
        <v>-7.1010992543181595E-5</v>
      </c>
      <c r="I479" s="73">
        <v>0.17074174117775101</v>
      </c>
      <c r="J479" s="73">
        <v>2.05343049892431</v>
      </c>
      <c r="K479" s="73"/>
      <c r="L479" s="73"/>
      <c r="M479" s="73"/>
      <c r="O479" s="13">
        <f t="shared" ca="1" si="240"/>
        <v>-6.2049377220559586E-5</v>
      </c>
      <c r="P479" s="13">
        <f t="shared" ca="1" si="241"/>
        <v>-1.1761022223353322E-5</v>
      </c>
      <c r="Q479" s="13">
        <f t="shared" ca="1" si="242"/>
        <v>1.1967516550366115E-2</v>
      </c>
      <c r="R479" s="13">
        <f t="shared" ca="1" si="243"/>
        <v>4.6303704196576985E-4</v>
      </c>
      <c r="S479" s="13">
        <f t="shared" ca="1" si="244"/>
        <v>0.23539168593143664</v>
      </c>
      <c r="T479" s="13">
        <f t="shared" ca="1" si="245"/>
        <v>-7.1360814054205685E-5</v>
      </c>
      <c r="U479" s="13">
        <f t="shared" ca="1" si="246"/>
        <v>0.17008789718296249</v>
      </c>
      <c r="V479" s="13">
        <f t="shared" ca="1" si="247"/>
        <v>2.0462917180018558</v>
      </c>
      <c r="X479" s="3">
        <f t="shared" ca="1" si="248"/>
        <v>-6.2049377220559586E-5</v>
      </c>
      <c r="Y479" s="3">
        <f t="shared" ca="1" si="249"/>
        <v>-1.1761022223353322E-5</v>
      </c>
      <c r="Z479" s="3">
        <f t="shared" ca="1" si="250"/>
        <v>1.1967516550366115E-2</v>
      </c>
      <c r="AA479" s="3">
        <f t="shared" ca="1" si="251"/>
        <v>4.6303704196576985E-4</v>
      </c>
      <c r="AB479" s="3">
        <f t="shared" ca="1" si="252"/>
        <v>0.23539168593143664</v>
      </c>
      <c r="AC479" s="3">
        <f t="shared" ca="1" si="253"/>
        <v>-7.1360814054205685E-5</v>
      </c>
      <c r="AD479" s="3">
        <f t="shared" ca="1" si="254"/>
        <v>0.17008789718296249</v>
      </c>
      <c r="AE479" s="3">
        <f t="shared" ca="1" si="255"/>
        <v>2.0462917180018558</v>
      </c>
      <c r="AG479" s="3">
        <f t="shared" ca="1" si="256"/>
        <v>-6.2049377220559586E-5</v>
      </c>
      <c r="AH479" s="3">
        <f t="shared" ca="1" si="257"/>
        <v>-1.1761022223353322E-5</v>
      </c>
      <c r="AI479" s="3">
        <f t="shared" ca="1" si="258"/>
        <v>1.1967516550366115E-2</v>
      </c>
      <c r="AJ479" s="3">
        <f t="shared" ca="1" si="259"/>
        <v>4.6303704196576985E-4</v>
      </c>
      <c r="AK479" s="3">
        <f t="shared" ca="1" si="260"/>
        <v>0.23539168593143664</v>
      </c>
      <c r="AL479" s="3">
        <f t="shared" ca="1" si="261"/>
        <v>-7.1360814054205685E-5</v>
      </c>
      <c r="AM479" s="3">
        <f t="shared" ca="1" si="262"/>
        <v>0.17008789718296249</v>
      </c>
      <c r="AN479" s="3">
        <f t="shared" ca="1" si="263"/>
        <v>2.0462917180018558</v>
      </c>
      <c r="AP479" s="3">
        <f t="shared" ca="1" si="264"/>
        <v>8.693135060844444</v>
      </c>
      <c r="AQ479" s="3">
        <f t="shared" ca="1" si="271"/>
        <v>0.40048652594641138</v>
      </c>
      <c r="AR479" s="3">
        <f t="shared" ca="1" si="265"/>
        <v>1.8544009632137385E-4</v>
      </c>
      <c r="AS479" s="3">
        <f t="shared" ca="1" si="266"/>
        <v>0.16990245708664112</v>
      </c>
      <c r="AT479" s="3">
        <f t="shared" ca="1" si="267"/>
        <v>0.70836975674363845</v>
      </c>
      <c r="AU479" s="3">
        <f t="shared" ca="1" si="268"/>
        <v>5.2816534432417572E-2</v>
      </c>
      <c r="AV479" s="10">
        <f t="shared" ca="1" si="272"/>
        <v>0.70836975674363845</v>
      </c>
      <c r="AW479" s="10">
        <f t="shared" ca="1" si="273"/>
        <v>0.70836975674363845</v>
      </c>
      <c r="AY479" s="3">
        <f t="shared" ca="1" si="279"/>
        <v>8.693135060844444</v>
      </c>
      <c r="AZ479" s="3">
        <f t="shared" ca="1" si="274"/>
        <v>0.40048652594641138</v>
      </c>
      <c r="BA479" s="3">
        <f t="shared" ca="1" si="269"/>
        <v>1.8544009632137385E-4</v>
      </c>
      <c r="BB479" s="3">
        <f t="shared" ca="1" si="275"/>
        <v>0.16990245708664112</v>
      </c>
      <c r="BC479" s="3">
        <f t="shared" ca="1" si="276"/>
        <v>0.70836975674363845</v>
      </c>
      <c r="BD479" s="3">
        <f t="shared" ca="1" si="270"/>
        <v>5.2816534432417572E-2</v>
      </c>
      <c r="BE479" s="3">
        <f t="shared" ca="1" si="277"/>
        <v>0.70836975674363845</v>
      </c>
      <c r="BF479" s="3">
        <f t="shared" ca="1" si="278"/>
        <v>0.70836975674363845</v>
      </c>
    </row>
    <row r="480" spans="1:58" ht="15" x14ac:dyDescent="0.25">
      <c r="A480" s="72">
        <v>414</v>
      </c>
      <c r="B480" s="72">
        <v>1498730337.602</v>
      </c>
      <c r="C480" s="73">
        <v>2.91611556064133E-4</v>
      </c>
      <c r="D480" s="73">
        <v>1.04886517729503E-4</v>
      </c>
      <c r="E480" s="73">
        <v>1.2994758383997501E-2</v>
      </c>
      <c r="F480" s="73">
        <v>5.9232050697355398E-4</v>
      </c>
      <c r="G480" s="73">
        <v>0.23851235491389999</v>
      </c>
      <c r="H480" s="73">
        <v>-7.0680528464308102E-5</v>
      </c>
      <c r="I480" s="73">
        <v>0.17221698896115301</v>
      </c>
      <c r="J480" s="73">
        <v>2.0698753724427799</v>
      </c>
      <c r="K480" s="73"/>
      <c r="L480" s="73"/>
      <c r="M480" s="73"/>
      <c r="O480" s="13">
        <f t="shared" ca="1" si="240"/>
        <v>2.6924326792571412E-5</v>
      </c>
      <c r="P480" s="13">
        <f t="shared" ca="1" si="241"/>
        <v>9.359904234466282E-5</v>
      </c>
      <c r="Q480" s="13">
        <f t="shared" ca="1" si="242"/>
        <v>1.2154018766024816E-2</v>
      </c>
      <c r="R480" s="13">
        <f t="shared" ca="1" si="243"/>
        <v>5.8254422808287284E-4</v>
      </c>
      <c r="S480" s="13">
        <f t="shared" ca="1" si="244"/>
        <v>0.23737727628065863</v>
      </c>
      <c r="T480" s="13">
        <f t="shared" ca="1" si="245"/>
        <v>-7.1030349975332192E-5</v>
      </c>
      <c r="U480" s="13">
        <f t="shared" ca="1" si="246"/>
        <v>0.17156314496636449</v>
      </c>
      <c r="V480" s="13">
        <f t="shared" ca="1" si="247"/>
        <v>2.0627365915203257</v>
      </c>
      <c r="X480" s="3">
        <f t="shared" ca="1" si="248"/>
        <v>2.6924326792571412E-5</v>
      </c>
      <c r="Y480" s="3">
        <f t="shared" ca="1" si="249"/>
        <v>9.359904234466282E-5</v>
      </c>
      <c r="Z480" s="3">
        <f t="shared" ca="1" si="250"/>
        <v>1.2154018766024816E-2</v>
      </c>
      <c r="AA480" s="3">
        <f t="shared" ca="1" si="251"/>
        <v>5.8254422808287284E-4</v>
      </c>
      <c r="AB480" s="3">
        <f t="shared" ca="1" si="252"/>
        <v>0.23737727628065863</v>
      </c>
      <c r="AC480" s="3">
        <f t="shared" ca="1" si="253"/>
        <v>-7.1030349975332192E-5</v>
      </c>
      <c r="AD480" s="3">
        <f t="shared" ca="1" si="254"/>
        <v>0.17156314496636449</v>
      </c>
      <c r="AE480" s="3">
        <f t="shared" ca="1" si="255"/>
        <v>2.0627365915203257</v>
      </c>
      <c r="AG480" s="3">
        <f t="shared" ca="1" si="256"/>
        <v>2.6924326792571412E-5</v>
      </c>
      <c r="AH480" s="3">
        <f t="shared" ca="1" si="257"/>
        <v>9.359904234466282E-5</v>
      </c>
      <c r="AI480" s="3">
        <f t="shared" ca="1" si="258"/>
        <v>1.2078625233889466E-2</v>
      </c>
      <c r="AJ480" s="3">
        <f t="shared" ca="1" si="259"/>
        <v>5.4091171691347318E-4</v>
      </c>
      <c r="AK480" s="3">
        <f t="shared" ca="1" si="260"/>
        <v>0.23737727628065863</v>
      </c>
      <c r="AL480" s="3">
        <f t="shared" ca="1" si="261"/>
        <v>-7.1030349975332192E-5</v>
      </c>
      <c r="AM480" s="3">
        <f t="shared" ca="1" si="262"/>
        <v>0.17156314496636449</v>
      </c>
      <c r="AN480" s="3">
        <f t="shared" ca="1" si="263"/>
        <v>2.0627365915203257</v>
      </c>
      <c r="AP480" s="3">
        <f t="shared" ca="1" si="264"/>
        <v>8.6896969408372833</v>
      </c>
      <c r="AQ480" s="3">
        <f t="shared" ca="1" si="271"/>
        <v>0.40032621349727593</v>
      </c>
      <c r="AR480" s="3">
        <f t="shared" ca="1" si="265"/>
        <v>2.3320772502310997E-4</v>
      </c>
      <c r="AS480" s="3">
        <f t="shared" ca="1" si="266"/>
        <v>0.17132993724134138</v>
      </c>
      <c r="AT480" s="3">
        <f t="shared" ca="1" si="267"/>
        <v>0.70848734952304182</v>
      </c>
      <c r="AU480" s="3">
        <f t="shared" ca="1" si="268"/>
        <v>5.3169423735322789E-2</v>
      </c>
      <c r="AV480" s="10">
        <f t="shared" ca="1" si="272"/>
        <v>0.70848734952304182</v>
      </c>
      <c r="AW480" s="10">
        <f t="shared" ca="1" si="273"/>
        <v>0.70848734952304182</v>
      </c>
      <c r="AY480" s="3">
        <f t="shared" ca="1" si="279"/>
        <v>8.6896969408372833</v>
      </c>
      <c r="AZ480" s="3">
        <f t="shared" ca="1" si="274"/>
        <v>0.40032621349727593</v>
      </c>
      <c r="BA480" s="3">
        <f t="shared" ca="1" si="269"/>
        <v>2.1654113946828113E-4</v>
      </c>
      <c r="BB480" s="3">
        <f t="shared" ca="1" si="275"/>
        <v>0.1713466038268962</v>
      </c>
      <c r="BC480" s="3">
        <f t="shared" ca="1" si="276"/>
        <v>0.70855626955660667</v>
      </c>
      <c r="BD480" s="3">
        <f t="shared" ca="1" si="270"/>
        <v>5.2839604378106322E-2</v>
      </c>
      <c r="BE480" s="3">
        <f t="shared" ca="1" si="277"/>
        <v>0.70855626955660667</v>
      </c>
      <c r="BF480" s="3">
        <f t="shared" ca="1" si="278"/>
        <v>0.70855626955660667</v>
      </c>
    </row>
    <row r="481" spans="1:58" ht="15" x14ac:dyDescent="0.25">
      <c r="A481" s="72">
        <v>415</v>
      </c>
      <c r="B481" s="72">
        <v>1498730338.1289999</v>
      </c>
      <c r="C481" s="73">
        <v>1.9336030191949001E-4</v>
      </c>
      <c r="D481" s="73">
        <v>-5.9066100473514298E-6</v>
      </c>
      <c r="E481" s="73">
        <v>1.2939575205766E-2</v>
      </c>
      <c r="F481" s="73">
        <v>4.9423786012851303E-4</v>
      </c>
      <c r="G481" s="73">
        <v>0.239227176606152</v>
      </c>
      <c r="H481" s="73">
        <v>-3.3944940745549398E-5</v>
      </c>
      <c r="I481" s="73">
        <v>0.172616152397738</v>
      </c>
      <c r="J481" s="73">
        <v>2.0759258440864601</v>
      </c>
      <c r="K481" s="73"/>
      <c r="L481" s="73"/>
      <c r="M481" s="73"/>
      <c r="O481" s="13">
        <f t="shared" ca="1" si="240"/>
        <v>-7.1326927352071572E-5</v>
      </c>
      <c r="P481" s="13">
        <f t="shared" ca="1" si="241"/>
        <v>-1.7194085432191603E-5</v>
      </c>
      <c r="Q481" s="13">
        <f t="shared" ca="1" si="242"/>
        <v>1.2098835587793315E-2</v>
      </c>
      <c r="R481" s="13">
        <f t="shared" ca="1" si="243"/>
        <v>4.8446158123783189E-4</v>
      </c>
      <c r="S481" s="13">
        <f t="shared" ca="1" si="244"/>
        <v>0.23809209797291064</v>
      </c>
      <c r="T481" s="13">
        <f t="shared" ca="1" si="245"/>
        <v>-3.4294762256573488E-5</v>
      </c>
      <c r="U481" s="13">
        <f t="shared" ca="1" si="246"/>
        <v>0.17196230840294949</v>
      </c>
      <c r="V481" s="13">
        <f t="shared" ca="1" si="247"/>
        <v>2.068787063164006</v>
      </c>
      <c r="X481" s="3">
        <f t="shared" ca="1" si="248"/>
        <v>-7.1326927352071572E-5</v>
      </c>
      <c r="Y481" s="3">
        <f t="shared" ca="1" si="249"/>
        <v>-1.7194085432191603E-5</v>
      </c>
      <c r="Z481" s="3">
        <f t="shared" ca="1" si="250"/>
        <v>1.2098835587793315E-2</v>
      </c>
      <c r="AA481" s="3">
        <f t="shared" ca="1" si="251"/>
        <v>4.8446158123783189E-4</v>
      </c>
      <c r="AB481" s="3">
        <f t="shared" ca="1" si="252"/>
        <v>0.23809209797291064</v>
      </c>
      <c r="AC481" s="3">
        <f t="shared" ca="1" si="253"/>
        <v>-3.4294762256573488E-5</v>
      </c>
      <c r="AD481" s="3">
        <f t="shared" ca="1" si="254"/>
        <v>0.17196230840294949</v>
      </c>
      <c r="AE481" s="3">
        <f t="shared" ca="1" si="255"/>
        <v>2.068787063164006</v>
      </c>
      <c r="AG481" s="3">
        <f t="shared" ca="1" si="256"/>
        <v>-7.1326927352071572E-5</v>
      </c>
      <c r="AH481" s="3">
        <f t="shared" ca="1" si="257"/>
        <v>-1.7194085432191603E-5</v>
      </c>
      <c r="AI481" s="3">
        <f t="shared" ca="1" si="258"/>
        <v>1.2098835587793315E-2</v>
      </c>
      <c r="AJ481" s="3">
        <f t="shared" ca="1" si="259"/>
        <v>4.8446158123783189E-4</v>
      </c>
      <c r="AK481" s="3">
        <f t="shared" ca="1" si="260"/>
        <v>0.23809209797291064</v>
      </c>
      <c r="AL481" s="3">
        <f t="shared" ca="1" si="261"/>
        <v>-3.4294762256573488E-5</v>
      </c>
      <c r="AM481" s="3">
        <f t="shared" ca="1" si="262"/>
        <v>0.17196230840294949</v>
      </c>
      <c r="AN481" s="3">
        <f t="shared" ca="1" si="263"/>
        <v>2.068787063164006</v>
      </c>
      <c r="AP481" s="3">
        <f t="shared" ca="1" si="264"/>
        <v>8.6890202605522244</v>
      </c>
      <c r="AQ481" s="3">
        <f t="shared" ca="1" si="271"/>
        <v>0.40029466138098296</v>
      </c>
      <c r="AR481" s="3">
        <f t="shared" ca="1" si="265"/>
        <v>1.9392738461369348E-4</v>
      </c>
      <c r="AS481" s="3">
        <f t="shared" ca="1" si="266"/>
        <v>0.1717683810183358</v>
      </c>
      <c r="AT481" s="3">
        <f t="shared" ca="1" si="267"/>
        <v>0.70819565646531346</v>
      </c>
      <c r="AU481" s="3">
        <f t="shared" ca="1" si="268"/>
        <v>5.2764907300978874E-2</v>
      </c>
      <c r="AV481" s="10">
        <f t="shared" ca="1" si="272"/>
        <v>0.70819565646531346</v>
      </c>
      <c r="AW481" s="10">
        <f t="shared" ca="1" si="273"/>
        <v>0.70819565646531346</v>
      </c>
      <c r="AY481" s="3">
        <f t="shared" ca="1" si="279"/>
        <v>8.6890202605522244</v>
      </c>
      <c r="AZ481" s="3">
        <f t="shared" ca="1" si="274"/>
        <v>0.40029466138098296</v>
      </c>
      <c r="BA481" s="3">
        <f t="shared" ca="1" si="269"/>
        <v>1.9392738461369348E-4</v>
      </c>
      <c r="BB481" s="3">
        <f t="shared" ca="1" si="275"/>
        <v>0.1717683810183358</v>
      </c>
      <c r="BC481" s="3">
        <f t="shared" ca="1" si="276"/>
        <v>0.70819565646531346</v>
      </c>
      <c r="BD481" s="3">
        <f t="shared" ca="1" si="270"/>
        <v>5.2764907300978874E-2</v>
      </c>
      <c r="BE481" s="3">
        <f t="shared" ca="1" si="277"/>
        <v>0.70819565646531346</v>
      </c>
      <c r="BF481" s="3">
        <f t="shared" ca="1" si="278"/>
        <v>0.70819565646531346</v>
      </c>
    </row>
    <row r="482" spans="1:58" ht="15" x14ac:dyDescent="0.25">
      <c r="A482" s="72">
        <v>416</v>
      </c>
      <c r="B482" s="72">
        <v>1498730338.6559999</v>
      </c>
      <c r="C482" s="73">
        <v>1.7884943482076199E-4</v>
      </c>
      <c r="D482" s="73">
        <v>-3.7323305174759698E-5</v>
      </c>
      <c r="E482" s="73">
        <v>1.2988492893483E-2</v>
      </c>
      <c r="F482" s="73">
        <v>5.0637863636429105E-4</v>
      </c>
      <c r="G482" s="73">
        <v>0.23883813762384001</v>
      </c>
      <c r="H482" s="73">
        <v>-2.3483668932628899E-5</v>
      </c>
      <c r="I482" s="73">
        <v>0.17252402470758599</v>
      </c>
      <c r="J482" s="73">
        <v>2.0737184003411202</v>
      </c>
      <c r="K482" s="73"/>
      <c r="L482" s="73"/>
      <c r="M482" s="73"/>
      <c r="O482" s="13">
        <f t="shared" ca="1" si="240"/>
        <v>-8.5837794450799591E-5</v>
      </c>
      <c r="P482" s="13">
        <f t="shared" ca="1" si="241"/>
        <v>-4.861078055959987E-5</v>
      </c>
      <c r="Q482" s="13">
        <f t="shared" ca="1" si="242"/>
        <v>1.2147753275510315E-2</v>
      </c>
      <c r="R482" s="13">
        <f t="shared" ca="1" si="243"/>
        <v>4.9660235747360992E-4</v>
      </c>
      <c r="S482" s="13">
        <f t="shared" ca="1" si="244"/>
        <v>0.23770305899059865</v>
      </c>
      <c r="T482" s="13">
        <f t="shared" ca="1" si="245"/>
        <v>-2.3833490443652985E-5</v>
      </c>
      <c r="U482" s="13">
        <f t="shared" ca="1" si="246"/>
        <v>0.17187018071279747</v>
      </c>
      <c r="V482" s="13">
        <f t="shared" ca="1" si="247"/>
        <v>2.0665796194186661</v>
      </c>
      <c r="X482" s="3">
        <f t="shared" ca="1" si="248"/>
        <v>-8.5837794450799591E-5</v>
      </c>
      <c r="Y482" s="3">
        <f t="shared" ca="1" si="249"/>
        <v>-4.861078055959987E-5</v>
      </c>
      <c r="Z482" s="3">
        <f t="shared" ca="1" si="250"/>
        <v>1.2147753275510315E-2</v>
      </c>
      <c r="AA482" s="3">
        <f t="shared" ca="1" si="251"/>
        <v>4.9660235747360992E-4</v>
      </c>
      <c r="AB482" s="3">
        <f t="shared" ca="1" si="252"/>
        <v>0.23770305899059865</v>
      </c>
      <c r="AC482" s="3">
        <f t="shared" ca="1" si="253"/>
        <v>-2.3833490443652985E-5</v>
      </c>
      <c r="AD482" s="3">
        <f t="shared" ca="1" si="254"/>
        <v>0.17187018071279747</v>
      </c>
      <c r="AE482" s="3">
        <f t="shared" ca="1" si="255"/>
        <v>2.0665796194186661</v>
      </c>
      <c r="AG482" s="3">
        <f t="shared" ca="1" si="256"/>
        <v>-8.5837794450799591E-5</v>
      </c>
      <c r="AH482" s="3">
        <f t="shared" ca="1" si="257"/>
        <v>-4.861078055959987E-5</v>
      </c>
      <c r="AI482" s="3">
        <f t="shared" ca="1" si="258"/>
        <v>1.2147753275510315E-2</v>
      </c>
      <c r="AJ482" s="3">
        <f t="shared" ca="1" si="259"/>
        <v>4.9660235747360992E-4</v>
      </c>
      <c r="AK482" s="3">
        <f t="shared" ca="1" si="260"/>
        <v>0.23770305899059865</v>
      </c>
      <c r="AL482" s="3">
        <f t="shared" ca="1" si="261"/>
        <v>-2.3833490443652985E-5</v>
      </c>
      <c r="AM482" s="3">
        <f t="shared" ca="1" si="262"/>
        <v>0.17187018071279747</v>
      </c>
      <c r="AN482" s="3">
        <f t="shared" ca="1" si="263"/>
        <v>2.0665796194186661</v>
      </c>
      <c r="AP482" s="3">
        <f t="shared" ca="1" si="264"/>
        <v>8.6939546684605382</v>
      </c>
      <c r="AQ482" s="3">
        <f t="shared" ca="1" si="271"/>
        <v>0.40052474267366328</v>
      </c>
      <c r="AR482" s="3">
        <f t="shared" ca="1" si="265"/>
        <v>1.9890153143825215E-4</v>
      </c>
      <c r="AS482" s="3">
        <f t="shared" ca="1" si="266"/>
        <v>0.17167127918135922</v>
      </c>
      <c r="AT482" s="3">
        <f t="shared" ca="1" si="267"/>
        <v>0.70875106454436132</v>
      </c>
      <c r="AU482" s="3">
        <f t="shared" ca="1" si="268"/>
        <v>5.3095788225098597E-2</v>
      </c>
      <c r="AV482" s="10">
        <f t="shared" ca="1" si="272"/>
        <v>0.70875106454436132</v>
      </c>
      <c r="AW482" s="10">
        <f t="shared" ca="1" si="273"/>
        <v>0.70875106454436132</v>
      </c>
      <c r="AY482" s="3">
        <f t="shared" ca="1" si="279"/>
        <v>8.6939546684605382</v>
      </c>
      <c r="AZ482" s="3">
        <f t="shared" ca="1" si="274"/>
        <v>0.40052474267366328</v>
      </c>
      <c r="BA482" s="3">
        <f t="shared" ca="1" si="269"/>
        <v>1.9890153143825215E-4</v>
      </c>
      <c r="BB482" s="3">
        <f t="shared" ca="1" si="275"/>
        <v>0.17167127918135922</v>
      </c>
      <c r="BC482" s="3">
        <f t="shared" ca="1" si="276"/>
        <v>0.70875106454436132</v>
      </c>
      <c r="BD482" s="3">
        <f t="shared" ca="1" si="270"/>
        <v>5.3095788225098597E-2</v>
      </c>
      <c r="BE482" s="3">
        <f t="shared" ca="1" si="277"/>
        <v>0.70875106454436132</v>
      </c>
      <c r="BF482" s="3">
        <f t="shared" ca="1" si="278"/>
        <v>0.70875106454436132</v>
      </c>
    </row>
    <row r="483" spans="1:58" ht="15" x14ac:dyDescent="0.25">
      <c r="A483" s="72">
        <v>417</v>
      </c>
      <c r="B483" s="72">
        <v>1498730339.1830001</v>
      </c>
      <c r="C483" s="73">
        <v>2.9708345972891099E-4</v>
      </c>
      <c r="D483" s="73">
        <v>-6.8514875685325603E-6</v>
      </c>
      <c r="E483" s="73">
        <v>1.29193340959307E-2</v>
      </c>
      <c r="F483" s="73">
        <v>5.1780538409116001E-4</v>
      </c>
      <c r="G483" s="73">
        <v>0.23586993990566199</v>
      </c>
      <c r="H483" s="73">
        <v>-1.2336359013132699E-5</v>
      </c>
      <c r="I483" s="73">
        <v>0.170429253412541</v>
      </c>
      <c r="J483" s="73">
        <v>2.0483776401134</v>
      </c>
      <c r="K483" s="73"/>
      <c r="L483" s="73"/>
      <c r="M483" s="73"/>
      <c r="O483" s="13">
        <f t="shared" ca="1" si="240"/>
        <v>3.2396230457349404E-5</v>
      </c>
      <c r="P483" s="13">
        <f t="shared" ca="1" si="241"/>
        <v>-1.8138962953372733E-5</v>
      </c>
      <c r="Q483" s="13">
        <f t="shared" ca="1" si="242"/>
        <v>1.2078594477958015E-2</v>
      </c>
      <c r="R483" s="13">
        <f t="shared" ca="1" si="243"/>
        <v>5.0802910520047887E-4</v>
      </c>
      <c r="S483" s="13">
        <f t="shared" ca="1" si="244"/>
        <v>0.23473486127242063</v>
      </c>
      <c r="T483" s="13">
        <f t="shared" ca="1" si="245"/>
        <v>-1.2686180524156786E-5</v>
      </c>
      <c r="U483" s="13">
        <f t="shared" ca="1" si="246"/>
        <v>0.16977540941775249</v>
      </c>
      <c r="V483" s="13">
        <f t="shared" ca="1" si="247"/>
        <v>2.0412388591909458</v>
      </c>
      <c r="X483" s="3">
        <f t="shared" ca="1" si="248"/>
        <v>3.2396230457349404E-5</v>
      </c>
      <c r="Y483" s="3">
        <f t="shared" ca="1" si="249"/>
        <v>-1.8138962953372733E-5</v>
      </c>
      <c r="Z483" s="3">
        <f t="shared" ca="1" si="250"/>
        <v>1.2078594477958015E-2</v>
      </c>
      <c r="AA483" s="3">
        <f t="shared" ca="1" si="251"/>
        <v>5.0802910520047887E-4</v>
      </c>
      <c r="AB483" s="3">
        <f t="shared" ca="1" si="252"/>
        <v>0.23473486127242063</v>
      </c>
      <c r="AC483" s="3">
        <f t="shared" ca="1" si="253"/>
        <v>-1.2686180524156786E-5</v>
      </c>
      <c r="AD483" s="3">
        <f t="shared" ca="1" si="254"/>
        <v>0.16977540941775249</v>
      </c>
      <c r="AE483" s="3">
        <f t="shared" ca="1" si="255"/>
        <v>2.0412388591909458</v>
      </c>
      <c r="AG483" s="3">
        <f t="shared" ca="1" si="256"/>
        <v>3.2396230457349404E-5</v>
      </c>
      <c r="AH483" s="3">
        <f t="shared" ca="1" si="257"/>
        <v>-1.8138962953372733E-5</v>
      </c>
      <c r="AI483" s="3">
        <f t="shared" ca="1" si="258"/>
        <v>1.2078594477958015E-2</v>
      </c>
      <c r="AJ483" s="3">
        <f t="shared" ca="1" si="259"/>
        <v>5.0802910520047887E-4</v>
      </c>
      <c r="AK483" s="3">
        <f t="shared" ca="1" si="260"/>
        <v>0.23473486127242063</v>
      </c>
      <c r="AL483" s="3">
        <f t="shared" ca="1" si="261"/>
        <v>-1.2686180524156786E-5</v>
      </c>
      <c r="AM483" s="3">
        <f t="shared" ca="1" si="262"/>
        <v>0.16977540941775249</v>
      </c>
      <c r="AN483" s="3">
        <f t="shared" ca="1" si="263"/>
        <v>2.0412388591909458</v>
      </c>
      <c r="AP483" s="3">
        <f t="shared" ca="1" si="264"/>
        <v>8.6959339917644112</v>
      </c>
      <c r="AQ483" s="3">
        <f t="shared" ca="1" si="271"/>
        <v>0.40061703489379313</v>
      </c>
      <c r="AR483" s="3">
        <f t="shared" ca="1" si="265"/>
        <v>2.0352511376516274E-4</v>
      </c>
      <c r="AS483" s="3">
        <f t="shared" ca="1" si="266"/>
        <v>0.16957188430398731</v>
      </c>
      <c r="AT483" s="3">
        <f t="shared" ca="1" si="267"/>
        <v>0.70885485473036391</v>
      </c>
      <c r="AU483" s="3">
        <f t="shared" ca="1" si="268"/>
        <v>5.3473529425989506E-2</v>
      </c>
      <c r="AV483" s="10">
        <f t="shared" ca="1" si="272"/>
        <v>0.70885485473036391</v>
      </c>
      <c r="AW483" s="10">
        <f t="shared" ca="1" si="273"/>
        <v>0.70885485473036391</v>
      </c>
      <c r="AY483" s="3">
        <f t="shared" ca="1" si="279"/>
        <v>8.6959339917644112</v>
      </c>
      <c r="AZ483" s="3">
        <f t="shared" ca="1" si="274"/>
        <v>0.40061703489379313</v>
      </c>
      <c r="BA483" s="3">
        <f t="shared" ca="1" si="269"/>
        <v>2.0352511376516274E-4</v>
      </c>
      <c r="BB483" s="3">
        <f t="shared" ca="1" si="275"/>
        <v>0.16957188430398731</v>
      </c>
      <c r="BC483" s="3">
        <f t="shared" ca="1" si="276"/>
        <v>0.70885485473036391</v>
      </c>
      <c r="BD483" s="3">
        <f t="shared" ca="1" si="270"/>
        <v>5.3473529425989506E-2</v>
      </c>
      <c r="BE483" s="3">
        <f t="shared" ca="1" si="277"/>
        <v>0.70885485473036391</v>
      </c>
      <c r="BF483" s="3">
        <f t="shared" ca="1" si="278"/>
        <v>0.70885485473036391</v>
      </c>
    </row>
    <row r="484" spans="1:58" ht="15" x14ac:dyDescent="0.25">
      <c r="A484" s="72">
        <v>418</v>
      </c>
      <c r="B484" s="72">
        <v>1498730339.71</v>
      </c>
      <c r="C484" s="73">
        <v>3.5870392317650501E-4</v>
      </c>
      <c r="D484" s="73">
        <v>-1.5591561980666901E-5</v>
      </c>
      <c r="E484" s="73">
        <v>1.2829458822040601E-2</v>
      </c>
      <c r="F484" s="73">
        <v>4.3853501381685401E-4</v>
      </c>
      <c r="G484" s="73">
        <v>0.23614758560840901</v>
      </c>
      <c r="H484" s="73">
        <v>4.1788411834654297E-5</v>
      </c>
      <c r="I484" s="73">
        <v>0.170588969582043</v>
      </c>
      <c r="J484" s="73">
        <v>2.0496610751366302</v>
      </c>
      <c r="K484" s="73"/>
      <c r="L484" s="73"/>
      <c r="M484" s="73"/>
      <c r="O484" s="13">
        <f t="shared" ca="1" si="240"/>
        <v>9.4016693904943422E-5</v>
      </c>
      <c r="P484" s="13">
        <f t="shared" ca="1" si="241"/>
        <v>-2.6879037365507076E-5</v>
      </c>
      <c r="Q484" s="13">
        <f t="shared" ca="1" si="242"/>
        <v>1.1988719204067915E-2</v>
      </c>
      <c r="R484" s="13">
        <f t="shared" ca="1" si="243"/>
        <v>4.2875873492617287E-4</v>
      </c>
      <c r="S484" s="13">
        <f t="shared" ca="1" si="244"/>
        <v>0.23501250697516765</v>
      </c>
      <c r="T484" s="13">
        <f t="shared" ca="1" si="245"/>
        <v>4.1438590323630207E-5</v>
      </c>
      <c r="U484" s="13">
        <f t="shared" ca="1" si="246"/>
        <v>0.16993512558725449</v>
      </c>
      <c r="V484" s="13">
        <f t="shared" ca="1" si="247"/>
        <v>2.0425222942141761</v>
      </c>
      <c r="X484" s="3">
        <f t="shared" ca="1" si="248"/>
        <v>9.4016693904943422E-5</v>
      </c>
      <c r="Y484" s="3">
        <f t="shared" ca="1" si="249"/>
        <v>-2.6879037365507076E-5</v>
      </c>
      <c r="Z484" s="3">
        <f t="shared" ca="1" si="250"/>
        <v>1.198840216784312E-2</v>
      </c>
      <c r="AA484" s="3">
        <f t="shared" ca="1" si="251"/>
        <v>4.2108501721238877E-4</v>
      </c>
      <c r="AB484" s="3">
        <f t="shared" ca="1" si="252"/>
        <v>0.23495670139423502</v>
      </c>
      <c r="AC484" s="3">
        <f t="shared" ca="1" si="253"/>
        <v>4.1438590323630207E-5</v>
      </c>
      <c r="AD484" s="3">
        <f t="shared" ca="1" si="254"/>
        <v>0.16985271418222969</v>
      </c>
      <c r="AE484" s="3">
        <f t="shared" ca="1" si="255"/>
        <v>2.0424888535831598</v>
      </c>
      <c r="AG484" s="3">
        <f t="shared" ca="1" si="256"/>
        <v>9.4016693904943422E-5</v>
      </c>
      <c r="AH484" s="3">
        <f t="shared" ca="1" si="257"/>
        <v>-2.6879037365507076E-5</v>
      </c>
      <c r="AI484" s="3">
        <f t="shared" ca="1" si="258"/>
        <v>1.198840216784312E-2</v>
      </c>
      <c r="AJ484" s="3">
        <f t="shared" ca="1" si="259"/>
        <v>4.2108501721238877E-4</v>
      </c>
      <c r="AK484" s="3">
        <f t="shared" ca="1" si="260"/>
        <v>0.23495670139423502</v>
      </c>
      <c r="AL484" s="3">
        <f t="shared" ca="1" si="261"/>
        <v>4.1438590323630207E-5</v>
      </c>
      <c r="AM484" s="3">
        <f t="shared" ca="1" si="262"/>
        <v>0.16985271418222969</v>
      </c>
      <c r="AN484" s="3">
        <f t="shared" ca="1" si="263"/>
        <v>2.0424888535831598</v>
      </c>
      <c r="AP484" s="3">
        <f t="shared" ca="1" si="264"/>
        <v>8.6911216790262014</v>
      </c>
      <c r="AQ484" s="3">
        <f t="shared" ca="1" si="271"/>
        <v>0.40039264600896718</v>
      </c>
      <c r="AR484" s="3">
        <f t="shared" ca="1" si="265"/>
        <v>1.7167184437654772E-4</v>
      </c>
      <c r="AS484" s="3">
        <f t="shared" ca="1" si="266"/>
        <v>0.16976345374287793</v>
      </c>
      <c r="AT484" s="3">
        <f t="shared" ca="1" si="267"/>
        <v>0.70901489286024355</v>
      </c>
      <c r="AU484" s="3">
        <f t="shared" ca="1" si="268"/>
        <v>5.2982916583128759E-2</v>
      </c>
      <c r="AV484" s="10">
        <f t="shared" ca="1" si="272"/>
        <v>0.70901489286024355</v>
      </c>
      <c r="AW484" s="10">
        <f t="shared" ca="1" si="273"/>
        <v>0.70901489286024355</v>
      </c>
      <c r="AY484" s="3">
        <f t="shared" ca="1" si="279"/>
        <v>8.6930436180922435</v>
      </c>
      <c r="AZ484" s="3">
        <f t="shared" ca="1" si="274"/>
        <v>0.40048226214940608</v>
      </c>
      <c r="BA484" s="3">
        <f t="shared" ca="1" si="269"/>
        <v>1.6863708025043904E-4</v>
      </c>
      <c r="BB484" s="3">
        <f t="shared" ca="1" si="275"/>
        <v>0.16968407710197925</v>
      </c>
      <c r="BC484" s="3">
        <f t="shared" ca="1" si="276"/>
        <v>0.70877277254542803</v>
      </c>
      <c r="BD484" s="3">
        <f t="shared" ca="1" si="270"/>
        <v>5.3006090866219845E-2</v>
      </c>
      <c r="BE484" s="3">
        <f t="shared" ca="1" si="277"/>
        <v>0.70877277254542803</v>
      </c>
      <c r="BF484" s="3">
        <f t="shared" ca="1" si="278"/>
        <v>0.70877277254542803</v>
      </c>
    </row>
    <row r="485" spans="1:58" ht="15" x14ac:dyDescent="0.25">
      <c r="A485" s="72">
        <v>419</v>
      </c>
      <c r="B485" s="72">
        <v>1498730340.237</v>
      </c>
      <c r="C485" s="73">
        <v>3.7726218228067299E-4</v>
      </c>
      <c r="D485" s="73">
        <v>5.0078989259092297E-5</v>
      </c>
      <c r="E485" s="73">
        <v>1.276344293098E-2</v>
      </c>
      <c r="F485" s="73">
        <v>4.3615461950918301E-4</v>
      </c>
      <c r="G485" s="73">
        <v>0.23438560888459301</v>
      </c>
      <c r="H485" s="73">
        <v>-3.7439656957867703E-5</v>
      </c>
      <c r="I485" s="73">
        <v>0.16911964436063001</v>
      </c>
      <c r="J485" s="73">
        <v>2.0350466870358299</v>
      </c>
      <c r="K485" s="73"/>
      <c r="L485" s="73"/>
      <c r="M485" s="73"/>
      <c r="O485" s="13">
        <f t="shared" ca="1" si="240"/>
        <v>1.125749530091114E-4</v>
      </c>
      <c r="P485" s="13">
        <f t="shared" ca="1" si="241"/>
        <v>3.8791513874252126E-5</v>
      </c>
      <c r="Q485" s="13">
        <f t="shared" ca="1" si="242"/>
        <v>1.1922703313007314E-2</v>
      </c>
      <c r="R485" s="13">
        <f t="shared" ca="1" si="243"/>
        <v>4.2637834061850187E-4</v>
      </c>
      <c r="S485" s="13">
        <f t="shared" ca="1" si="244"/>
        <v>0.23325053025135165</v>
      </c>
      <c r="T485" s="13">
        <f t="shared" ca="1" si="245"/>
        <v>-3.7789478468891793E-5</v>
      </c>
      <c r="U485" s="13">
        <f t="shared" ca="1" si="246"/>
        <v>0.16846580036584149</v>
      </c>
      <c r="V485" s="13">
        <f t="shared" ca="1" si="247"/>
        <v>2.0279079061133758</v>
      </c>
      <c r="X485" s="3">
        <f t="shared" ca="1" si="248"/>
        <v>1.125749530091114E-4</v>
      </c>
      <c r="Y485" s="3">
        <f t="shared" ca="1" si="249"/>
        <v>3.8791513874252126E-5</v>
      </c>
      <c r="Z485" s="3">
        <f t="shared" ca="1" si="250"/>
        <v>1.1922703313007314E-2</v>
      </c>
      <c r="AA485" s="3">
        <f t="shared" ca="1" si="251"/>
        <v>4.2637834061850187E-4</v>
      </c>
      <c r="AB485" s="3">
        <f t="shared" ca="1" si="252"/>
        <v>0.23325053025135165</v>
      </c>
      <c r="AC485" s="3">
        <f t="shared" ca="1" si="253"/>
        <v>-3.7789478468891793E-5</v>
      </c>
      <c r="AD485" s="3">
        <f t="shared" ca="1" si="254"/>
        <v>0.16846580036584149</v>
      </c>
      <c r="AE485" s="3">
        <f t="shared" ca="1" si="255"/>
        <v>2.0279079061133758</v>
      </c>
      <c r="AG485" s="3">
        <f t="shared" ca="1" si="256"/>
        <v>1.125749530091114E-4</v>
      </c>
      <c r="AH485" s="3">
        <f t="shared" ca="1" si="257"/>
        <v>3.8791513874252126E-5</v>
      </c>
      <c r="AI485" s="3">
        <f t="shared" ca="1" si="258"/>
        <v>1.1891456954341722E-2</v>
      </c>
      <c r="AJ485" s="3">
        <f t="shared" ca="1" si="259"/>
        <v>4.09124017345612E-4</v>
      </c>
      <c r="AK485" s="3">
        <f t="shared" ca="1" si="260"/>
        <v>0.23325053025135165</v>
      </c>
      <c r="AL485" s="3">
        <f t="shared" ca="1" si="261"/>
        <v>-3.7789478468891793E-5</v>
      </c>
      <c r="AM485" s="3">
        <f t="shared" ca="1" si="262"/>
        <v>0.16846580036584149</v>
      </c>
      <c r="AN485" s="3">
        <f t="shared" ca="1" si="263"/>
        <v>2.0279079061133758</v>
      </c>
      <c r="AP485" s="3">
        <f t="shared" ca="1" si="264"/>
        <v>8.6941191684670329</v>
      </c>
      <c r="AQ485" s="3">
        <f t="shared" ca="1" si="271"/>
        <v>0.40053241299794201</v>
      </c>
      <c r="AR485" s="3">
        <f t="shared" ca="1" si="265"/>
        <v>1.7077834561798699E-4</v>
      </c>
      <c r="AS485" s="3">
        <f t="shared" ca="1" si="266"/>
        <v>0.16829502202022351</v>
      </c>
      <c r="AT485" s="3">
        <f t="shared" ca="1" si="267"/>
        <v>0.70806861370017593</v>
      </c>
      <c r="AU485" s="3">
        <f t="shared" ca="1" si="268"/>
        <v>5.3107931459525068E-2</v>
      </c>
      <c r="AV485" s="10">
        <f t="shared" ca="1" si="272"/>
        <v>0.70806861370017593</v>
      </c>
      <c r="AW485" s="10">
        <f t="shared" ca="1" si="273"/>
        <v>0.70806861370017593</v>
      </c>
      <c r="AY485" s="3">
        <f t="shared" ca="1" si="279"/>
        <v>8.6941191684670329</v>
      </c>
      <c r="AZ485" s="3">
        <f t="shared" ca="1" si="274"/>
        <v>0.40053241299794201</v>
      </c>
      <c r="BA485" s="3">
        <f t="shared" ca="1" si="269"/>
        <v>1.6386742988284985E-4</v>
      </c>
      <c r="BB485" s="3">
        <f t="shared" ca="1" si="275"/>
        <v>0.16830193293595863</v>
      </c>
      <c r="BC485" s="3">
        <f t="shared" ca="1" si="276"/>
        <v>0.70809769003568024</v>
      </c>
      <c r="BD485" s="3">
        <f t="shared" ca="1" si="270"/>
        <v>5.2968749142326792E-2</v>
      </c>
      <c r="BE485" s="3">
        <f t="shared" ca="1" si="277"/>
        <v>0.70809769003568024</v>
      </c>
      <c r="BF485" s="3">
        <f t="shared" ca="1" si="278"/>
        <v>0.70809769003568024</v>
      </c>
    </row>
    <row r="486" spans="1:58" ht="15" x14ac:dyDescent="0.25">
      <c r="A486" s="72">
        <v>420</v>
      </c>
      <c r="B486" s="72">
        <v>1498730340.7639999</v>
      </c>
      <c r="C486" s="73">
        <v>2.98035098209786E-4</v>
      </c>
      <c r="D486" s="73">
        <v>-6.25976686358727E-5</v>
      </c>
      <c r="E486" s="73">
        <v>1.2638891834580701E-2</v>
      </c>
      <c r="F486" s="73">
        <v>4.2544291532497797E-4</v>
      </c>
      <c r="G486" s="73">
        <v>0.23216688081939099</v>
      </c>
      <c r="H486" s="73">
        <v>3.8220134401888798E-5</v>
      </c>
      <c r="I486" s="73">
        <v>0.16765359846047401</v>
      </c>
      <c r="J486" s="73">
        <v>2.0145256395220001</v>
      </c>
      <c r="K486" s="73"/>
      <c r="L486" s="73"/>
      <c r="M486" s="73"/>
      <c r="O486" s="13">
        <f t="shared" ca="1" si="240"/>
        <v>3.3347868938224411E-5</v>
      </c>
      <c r="P486" s="13">
        <f t="shared" ca="1" si="241"/>
        <v>-7.3885144020712878E-5</v>
      </c>
      <c r="Q486" s="13">
        <f t="shared" ca="1" si="242"/>
        <v>1.1798152216608015E-2</v>
      </c>
      <c r="R486" s="13">
        <f t="shared" ca="1" si="243"/>
        <v>4.1566663643429684E-4</v>
      </c>
      <c r="S486" s="13">
        <f t="shared" ca="1" si="244"/>
        <v>0.23103180218614963</v>
      </c>
      <c r="T486" s="13">
        <f t="shared" ca="1" si="245"/>
        <v>3.7870312890864709E-5</v>
      </c>
      <c r="U486" s="13">
        <f t="shared" ca="1" si="246"/>
        <v>0.16699975446568549</v>
      </c>
      <c r="V486" s="13">
        <f t="shared" ca="1" si="247"/>
        <v>2.007386858599546</v>
      </c>
      <c r="X486" s="3">
        <f t="shared" ca="1" si="248"/>
        <v>3.3347868938224411E-5</v>
      </c>
      <c r="Y486" s="3">
        <f t="shared" ca="1" si="249"/>
        <v>-7.3885144020712878E-5</v>
      </c>
      <c r="Z486" s="3">
        <f t="shared" ca="1" si="250"/>
        <v>1.1797862480375751E-2</v>
      </c>
      <c r="AA486" s="3">
        <f t="shared" ca="1" si="251"/>
        <v>4.086537026306231E-4</v>
      </c>
      <c r="AB486" s="3">
        <f t="shared" ca="1" si="252"/>
        <v>0.23098080202435672</v>
      </c>
      <c r="AC486" s="3">
        <f t="shared" ca="1" si="253"/>
        <v>3.7870312890864709E-5</v>
      </c>
      <c r="AD486" s="3">
        <f t="shared" ca="1" si="254"/>
        <v>0.16692443950758265</v>
      </c>
      <c r="AE486" s="3">
        <f t="shared" ca="1" si="255"/>
        <v>2.0073562975416053</v>
      </c>
      <c r="AG486" s="3">
        <f t="shared" ca="1" si="256"/>
        <v>3.3347868938224411E-5</v>
      </c>
      <c r="AH486" s="3">
        <f t="shared" ca="1" si="257"/>
        <v>-7.3885144020712878E-5</v>
      </c>
      <c r="AI486" s="3">
        <f t="shared" ca="1" si="258"/>
        <v>1.1797862480375751E-2</v>
      </c>
      <c r="AJ486" s="3">
        <f t="shared" ca="1" si="259"/>
        <v>4.086537026306231E-4</v>
      </c>
      <c r="AK486" s="3">
        <f t="shared" ca="1" si="260"/>
        <v>0.23098080202435672</v>
      </c>
      <c r="AL486" s="3">
        <f t="shared" ca="1" si="261"/>
        <v>3.7870312890864709E-5</v>
      </c>
      <c r="AM486" s="3">
        <f t="shared" ca="1" si="262"/>
        <v>0.16692443950758265</v>
      </c>
      <c r="AN486" s="3">
        <f t="shared" ca="1" si="263"/>
        <v>2.0073562975416053</v>
      </c>
      <c r="AP486" s="3">
        <f t="shared" ca="1" si="264"/>
        <v>8.6887901994641012</v>
      </c>
      <c r="AQ486" s="3">
        <f t="shared" ca="1" si="271"/>
        <v>0.40028393414424562</v>
      </c>
      <c r="AR486" s="3">
        <f t="shared" ca="1" si="265"/>
        <v>1.6638467652442616E-4</v>
      </c>
      <c r="AS486" s="3">
        <f t="shared" ca="1" si="266"/>
        <v>0.16683336978916105</v>
      </c>
      <c r="AT486" s="3">
        <f t="shared" ca="1" si="267"/>
        <v>0.70887876242001124</v>
      </c>
      <c r="AU486" s="3">
        <f t="shared" ca="1" si="268"/>
        <v>5.3024557017284799E-2</v>
      </c>
      <c r="AV486" s="10">
        <f t="shared" ca="1" si="272"/>
        <v>0.70887876242001124</v>
      </c>
      <c r="AW486" s="10">
        <f t="shared" ca="1" si="273"/>
        <v>0.70887876242001124</v>
      </c>
      <c r="AY486" s="3">
        <f t="shared" ca="1" si="279"/>
        <v>8.690576359371768</v>
      </c>
      <c r="AZ486" s="3">
        <f t="shared" ca="1" si="274"/>
        <v>0.40036721889763399</v>
      </c>
      <c r="BA486" s="3">
        <f t="shared" ca="1" si="269"/>
        <v>1.6361154641444332E-4</v>
      </c>
      <c r="BB486" s="3">
        <f t="shared" ca="1" si="275"/>
        <v>0.1667608279611682</v>
      </c>
      <c r="BC486" s="3">
        <f t="shared" ca="1" si="276"/>
        <v>0.70865362279879218</v>
      </c>
      <c r="BD486" s="3">
        <f t="shared" ca="1" si="270"/>
        <v>5.304611823860092E-2</v>
      </c>
      <c r="BE486" s="3">
        <f t="shared" ca="1" si="277"/>
        <v>0.70865362279879218</v>
      </c>
      <c r="BF486" s="3">
        <f t="shared" ca="1" si="278"/>
        <v>0.70865362279879218</v>
      </c>
    </row>
    <row r="487" spans="1:58" ht="15" x14ac:dyDescent="0.25">
      <c r="A487" s="72">
        <v>421</v>
      </c>
      <c r="B487" s="72">
        <v>1498730341.2909999</v>
      </c>
      <c r="C487" s="73">
        <v>2.7971621675661402E-4</v>
      </c>
      <c r="D487" s="73">
        <v>-5.99993992810973E-5</v>
      </c>
      <c r="E487" s="73">
        <v>1.29557201909021E-2</v>
      </c>
      <c r="F487" s="73">
        <v>4.0330575735837899E-4</v>
      </c>
      <c r="G487" s="73">
        <v>0.23798396511436301</v>
      </c>
      <c r="H487" s="73">
        <v>-2.78288909973043E-5</v>
      </c>
      <c r="I487" s="73">
        <v>0.17193376758427301</v>
      </c>
      <c r="J487" s="73">
        <v>2.0658289951627702</v>
      </c>
      <c r="K487" s="73"/>
      <c r="L487" s="73"/>
      <c r="M487" s="73"/>
      <c r="O487" s="13">
        <f t="shared" ca="1" si="240"/>
        <v>1.5028987485052434E-5</v>
      </c>
      <c r="P487" s="13">
        <f t="shared" ca="1" si="241"/>
        <v>-7.1286874665937478E-5</v>
      </c>
      <c r="Q487" s="13">
        <f t="shared" ca="1" si="242"/>
        <v>1.2114980572929415E-2</v>
      </c>
      <c r="R487" s="13">
        <f t="shared" ca="1" si="243"/>
        <v>3.9352947846769785E-4</v>
      </c>
      <c r="S487" s="13">
        <f t="shared" ca="1" si="244"/>
        <v>0.23684888648112165</v>
      </c>
      <c r="T487" s="13">
        <f t="shared" ca="1" si="245"/>
        <v>-2.8178712508328386E-5</v>
      </c>
      <c r="U487" s="13">
        <f t="shared" ca="1" si="246"/>
        <v>0.17127992358948449</v>
      </c>
      <c r="V487" s="13">
        <f t="shared" ca="1" si="247"/>
        <v>2.0586902142403161</v>
      </c>
      <c r="X487" s="3">
        <f t="shared" ca="1" si="248"/>
        <v>1.5028987485052434E-5</v>
      </c>
      <c r="Y487" s="3">
        <f t="shared" ca="1" si="249"/>
        <v>-7.1286874665937478E-5</v>
      </c>
      <c r="Z487" s="3">
        <f t="shared" ca="1" si="250"/>
        <v>1.2114980572929415E-2</v>
      </c>
      <c r="AA487" s="3">
        <f t="shared" ca="1" si="251"/>
        <v>3.9352947846769785E-4</v>
      </c>
      <c r="AB487" s="3">
        <f t="shared" ca="1" si="252"/>
        <v>0.23684888648112165</v>
      </c>
      <c r="AC487" s="3">
        <f t="shared" ca="1" si="253"/>
        <v>-2.8178712508328386E-5</v>
      </c>
      <c r="AD487" s="3">
        <f t="shared" ca="1" si="254"/>
        <v>0.17127992358948449</v>
      </c>
      <c r="AE487" s="3">
        <f t="shared" ca="1" si="255"/>
        <v>2.0586902142403161</v>
      </c>
      <c r="AG487" s="3">
        <f t="shared" ca="1" si="256"/>
        <v>1.5028987485052434E-5</v>
      </c>
      <c r="AH487" s="3">
        <f t="shared" ca="1" si="257"/>
        <v>-7.1286874665937478E-5</v>
      </c>
      <c r="AI487" s="3">
        <f t="shared" ca="1" si="258"/>
        <v>1.2114980572929415E-2</v>
      </c>
      <c r="AJ487" s="3">
        <f t="shared" ca="1" si="259"/>
        <v>3.9352947846769785E-4</v>
      </c>
      <c r="AK487" s="3">
        <f t="shared" ca="1" si="260"/>
        <v>0.23684888648112165</v>
      </c>
      <c r="AL487" s="3">
        <f t="shared" ca="1" si="261"/>
        <v>-2.8178712508328386E-5</v>
      </c>
      <c r="AM487" s="3">
        <f t="shared" ca="1" si="262"/>
        <v>0.17127992358948449</v>
      </c>
      <c r="AN487" s="3">
        <f t="shared" ca="1" si="263"/>
        <v>2.0586902142403161</v>
      </c>
      <c r="AP487" s="3">
        <f t="shared" ca="1" si="264"/>
        <v>8.691998703588613</v>
      </c>
      <c r="AQ487" s="3">
        <f t="shared" ca="1" si="271"/>
        <v>0.40043353986478369</v>
      </c>
      <c r="AR487" s="3">
        <f t="shared" ca="1" si="265"/>
        <v>1.5758240210396243E-4</v>
      </c>
      <c r="AS487" s="3">
        <f t="shared" ca="1" si="266"/>
        <v>0.17112234118738054</v>
      </c>
      <c r="AT487" s="3">
        <f t="shared" ca="1" si="267"/>
        <v>0.70911296873181473</v>
      </c>
      <c r="AU487" s="3">
        <f t="shared" ca="1" si="268"/>
        <v>5.3131278281367919E-2</v>
      </c>
      <c r="AV487" s="10">
        <f t="shared" ca="1" si="272"/>
        <v>0.70911296873181473</v>
      </c>
      <c r="AW487" s="10">
        <f t="shared" ca="1" si="273"/>
        <v>0.70911296873181473</v>
      </c>
      <c r="AY487" s="3">
        <f t="shared" ca="1" si="279"/>
        <v>8.691998703588613</v>
      </c>
      <c r="AZ487" s="3">
        <f t="shared" ca="1" si="274"/>
        <v>0.40043353986478369</v>
      </c>
      <c r="BA487" s="3">
        <f t="shared" ca="1" si="269"/>
        <v>1.5758240210396243E-4</v>
      </c>
      <c r="BB487" s="3">
        <f t="shared" ca="1" si="275"/>
        <v>0.17112234118738054</v>
      </c>
      <c r="BC487" s="3">
        <f t="shared" ca="1" si="276"/>
        <v>0.70911296873181473</v>
      </c>
      <c r="BD487" s="3">
        <f t="shared" ca="1" si="270"/>
        <v>5.3131278281367919E-2</v>
      </c>
      <c r="BE487" s="3">
        <f t="shared" ca="1" si="277"/>
        <v>0.70911296873181473</v>
      </c>
      <c r="BF487" s="3">
        <f t="shared" ca="1" si="278"/>
        <v>0.70911296873181473</v>
      </c>
    </row>
    <row r="488" spans="1:58" ht="15" x14ac:dyDescent="0.25">
      <c r="A488" s="72">
        <v>422</v>
      </c>
      <c r="B488" s="72">
        <v>1498730341.819</v>
      </c>
      <c r="C488" s="73">
        <v>1.7908731618784501E-4</v>
      </c>
      <c r="D488" s="73">
        <v>-8.2438773876058002E-5</v>
      </c>
      <c r="E488" s="73">
        <v>1.3056210444050099E-2</v>
      </c>
      <c r="F488" s="73">
        <v>4.2282451621865401E-4</v>
      </c>
      <c r="G488" s="73">
        <v>0.242532073544341</v>
      </c>
      <c r="H488" s="73">
        <v>-7.3135378177791393E-5</v>
      </c>
      <c r="I488" s="73">
        <v>0.175238232461018</v>
      </c>
      <c r="J488" s="73">
        <v>2.10430453403993</v>
      </c>
      <c r="K488" s="73"/>
      <c r="L488" s="73"/>
      <c r="M488" s="73"/>
      <c r="O488" s="13">
        <f t="shared" ca="1" si="240"/>
        <v>-8.5599913083716578E-5</v>
      </c>
      <c r="P488" s="13">
        <f t="shared" ca="1" si="241"/>
        <v>-9.372624926089818E-5</v>
      </c>
      <c r="Q488" s="13">
        <f t="shared" ca="1" si="242"/>
        <v>1.2215470826077414E-2</v>
      </c>
      <c r="R488" s="13">
        <f t="shared" ca="1" si="243"/>
        <v>4.1304823732797287E-4</v>
      </c>
      <c r="S488" s="13">
        <f t="shared" ca="1" si="244"/>
        <v>0.24139699491109964</v>
      </c>
      <c r="T488" s="13">
        <f t="shared" ca="1" si="245"/>
        <v>-7.3485199688815483E-5</v>
      </c>
      <c r="U488" s="13">
        <f t="shared" ca="1" si="246"/>
        <v>0.17458438846622948</v>
      </c>
      <c r="V488" s="13">
        <f t="shared" ca="1" si="247"/>
        <v>2.0971657531174759</v>
      </c>
      <c r="X488" s="3">
        <f t="shared" ca="1" si="248"/>
        <v>-8.5599913083716578E-5</v>
      </c>
      <c r="Y488" s="3">
        <f t="shared" ca="1" si="249"/>
        <v>-9.372624926089818E-5</v>
      </c>
      <c r="Z488" s="3">
        <f t="shared" ca="1" si="250"/>
        <v>1.2215470826077414E-2</v>
      </c>
      <c r="AA488" s="3">
        <f t="shared" ca="1" si="251"/>
        <v>4.1304823732797287E-4</v>
      </c>
      <c r="AB488" s="3">
        <f t="shared" ca="1" si="252"/>
        <v>0.24139699491109964</v>
      </c>
      <c r="AC488" s="3">
        <f t="shared" ca="1" si="253"/>
        <v>-7.3485199688815483E-5</v>
      </c>
      <c r="AD488" s="3">
        <f t="shared" ca="1" si="254"/>
        <v>0.17458438846622948</v>
      </c>
      <c r="AE488" s="3">
        <f t="shared" ca="1" si="255"/>
        <v>2.0971657531174759</v>
      </c>
      <c r="AG488" s="3">
        <f t="shared" ca="1" si="256"/>
        <v>-8.5599913083716578E-5</v>
      </c>
      <c r="AH488" s="3">
        <f t="shared" ca="1" si="257"/>
        <v>-9.372624926089818E-5</v>
      </c>
      <c r="AI488" s="3">
        <f t="shared" ca="1" si="258"/>
        <v>1.2215470826077414E-2</v>
      </c>
      <c r="AJ488" s="3">
        <f t="shared" ca="1" si="259"/>
        <v>4.1304823732797287E-4</v>
      </c>
      <c r="AK488" s="3">
        <f t="shared" ca="1" si="260"/>
        <v>0.24139699491109964</v>
      </c>
      <c r="AL488" s="3">
        <f t="shared" ca="1" si="261"/>
        <v>-7.3485199688815483E-5</v>
      </c>
      <c r="AM488" s="3">
        <f t="shared" ca="1" si="262"/>
        <v>0.17458438846622948</v>
      </c>
      <c r="AN488" s="3">
        <f t="shared" ca="1" si="263"/>
        <v>2.0971657531174759</v>
      </c>
      <c r="AP488" s="3">
        <f t="shared" ca="1" si="264"/>
        <v>8.6876216246594478</v>
      </c>
      <c r="AQ488" s="3">
        <f t="shared" ca="1" si="271"/>
        <v>0.4002294461539494</v>
      </c>
      <c r="AR488" s="3">
        <f t="shared" ca="1" si="265"/>
        <v>1.6531406726063964E-4</v>
      </c>
      <c r="AS488" s="3">
        <f t="shared" ca="1" si="266"/>
        <v>0.17441907439896884</v>
      </c>
      <c r="AT488" s="3">
        <f t="shared" ca="1" si="267"/>
        <v>0.70933655893081471</v>
      </c>
      <c r="AU488" s="3">
        <f t="shared" ca="1" si="268"/>
        <v>5.2535564117726793E-2</v>
      </c>
      <c r="AV488" s="10">
        <f t="shared" ca="1" si="272"/>
        <v>0.70933655893081471</v>
      </c>
      <c r="AW488" s="10">
        <f t="shared" ca="1" si="273"/>
        <v>0.70933655893081471</v>
      </c>
      <c r="AY488" s="3">
        <f t="shared" ca="1" si="279"/>
        <v>8.6876216246594478</v>
      </c>
      <c r="AZ488" s="3">
        <f t="shared" ca="1" si="274"/>
        <v>0.4002294461539494</v>
      </c>
      <c r="BA488" s="3">
        <f t="shared" ca="1" si="269"/>
        <v>1.6531406726063964E-4</v>
      </c>
      <c r="BB488" s="3">
        <f t="shared" ca="1" si="275"/>
        <v>0.17441907439896884</v>
      </c>
      <c r="BC488" s="3">
        <f t="shared" ca="1" si="276"/>
        <v>0.70933655893081471</v>
      </c>
      <c r="BD488" s="3">
        <f t="shared" ca="1" si="270"/>
        <v>5.2535564117726793E-2</v>
      </c>
      <c r="BE488" s="3">
        <f t="shared" ca="1" si="277"/>
        <v>0.70933655893081471</v>
      </c>
      <c r="BF488" s="3">
        <f t="shared" ca="1" si="278"/>
        <v>0.70933655893081471</v>
      </c>
    </row>
    <row r="489" spans="1:58" ht="15" x14ac:dyDescent="0.25">
      <c r="A489" s="72">
        <v>423</v>
      </c>
      <c r="B489" s="72">
        <v>1498730342.346</v>
      </c>
      <c r="C489" s="73">
        <v>3.05886150280176E-4</v>
      </c>
      <c r="D489" s="73">
        <v>6.4253059836107202E-5</v>
      </c>
      <c r="E489" s="73">
        <v>1.2858854145377199E-2</v>
      </c>
      <c r="F489" s="73">
        <v>4.77336240881878E-4</v>
      </c>
      <c r="G489" s="73">
        <v>0.234769087062244</v>
      </c>
      <c r="H489" s="73">
        <v>-5.1488117841868898E-5</v>
      </c>
      <c r="I489" s="73">
        <v>0.16969006677832699</v>
      </c>
      <c r="J489" s="73">
        <v>2.0409406770374501</v>
      </c>
      <c r="K489" s="73"/>
      <c r="L489" s="73"/>
      <c r="M489" s="73"/>
      <c r="O489" s="13">
        <f t="shared" ca="1" si="240"/>
        <v>4.119892100861442E-5</v>
      </c>
      <c r="P489" s="13">
        <f t="shared" ca="1" si="241"/>
        <v>5.2965584451267031E-5</v>
      </c>
      <c r="Q489" s="13">
        <f t="shared" ca="1" si="242"/>
        <v>1.2018114527404514E-2</v>
      </c>
      <c r="R489" s="13">
        <f t="shared" ca="1" si="243"/>
        <v>4.6755996199119687E-4</v>
      </c>
      <c r="S489" s="13">
        <f t="shared" ca="1" si="244"/>
        <v>0.23363400842900264</v>
      </c>
      <c r="T489" s="13">
        <f t="shared" ca="1" si="245"/>
        <v>-5.1837939352892988E-5</v>
      </c>
      <c r="U489" s="13">
        <f t="shared" ca="1" si="246"/>
        <v>0.16903622278353847</v>
      </c>
      <c r="V489" s="13">
        <f t="shared" ca="1" si="247"/>
        <v>2.033801896114996</v>
      </c>
      <c r="X489" s="3">
        <f t="shared" ca="1" si="248"/>
        <v>4.119892100861442E-5</v>
      </c>
      <c r="Y489" s="3">
        <f t="shared" ca="1" si="249"/>
        <v>5.2965584451267031E-5</v>
      </c>
      <c r="Z489" s="3">
        <f t="shared" ca="1" si="250"/>
        <v>1.2018114527404514E-2</v>
      </c>
      <c r="AA489" s="3">
        <f t="shared" ca="1" si="251"/>
        <v>4.6755996199119687E-4</v>
      </c>
      <c r="AB489" s="3">
        <f t="shared" ca="1" si="252"/>
        <v>0.23363400842900264</v>
      </c>
      <c r="AC489" s="3">
        <f t="shared" ca="1" si="253"/>
        <v>-5.1837939352892988E-5</v>
      </c>
      <c r="AD489" s="3">
        <f t="shared" ca="1" si="254"/>
        <v>0.16903622278353847</v>
      </c>
      <c r="AE489" s="3">
        <f t="shared" ca="1" si="255"/>
        <v>2.033801896114996</v>
      </c>
      <c r="AG489" s="3">
        <f t="shared" ca="1" si="256"/>
        <v>4.119892100861442E-5</v>
      </c>
      <c r="AH489" s="3">
        <f t="shared" ca="1" si="257"/>
        <v>5.2965584451267031E-5</v>
      </c>
      <c r="AI489" s="3">
        <f t="shared" ca="1" si="258"/>
        <v>1.1975451030072035E-2</v>
      </c>
      <c r="AJ489" s="3">
        <f t="shared" ca="1" si="259"/>
        <v>4.4400106404712093E-4</v>
      </c>
      <c r="AK489" s="3">
        <f t="shared" ca="1" si="260"/>
        <v>0.23363400842900264</v>
      </c>
      <c r="AL489" s="3">
        <f t="shared" ca="1" si="261"/>
        <v>-5.1837939352892988E-5</v>
      </c>
      <c r="AM489" s="3">
        <f t="shared" ca="1" si="262"/>
        <v>0.16903622278353847</v>
      </c>
      <c r="AN489" s="3">
        <f t="shared" ca="1" si="263"/>
        <v>2.033801896114996</v>
      </c>
      <c r="AP489" s="3">
        <f t="shared" ca="1" si="264"/>
        <v>8.7050764132783929</v>
      </c>
      <c r="AQ489" s="3">
        <f t="shared" ca="1" si="271"/>
        <v>0.40104333256829661</v>
      </c>
      <c r="AR489" s="3">
        <f t="shared" ca="1" si="265"/>
        <v>1.8751180533245568E-4</v>
      </c>
      <c r="AS489" s="3">
        <f t="shared" ca="1" si="266"/>
        <v>0.168848710978206</v>
      </c>
      <c r="AT489" s="3">
        <f t="shared" ca="1" si="267"/>
        <v>0.70878242098359612</v>
      </c>
      <c r="AU489" s="3">
        <f t="shared" ca="1" si="268"/>
        <v>5.3513983937511111E-2</v>
      </c>
      <c r="AV489" s="10">
        <f t="shared" ca="1" si="272"/>
        <v>0.70878242098359612</v>
      </c>
      <c r="AW489" s="10">
        <f t="shared" ca="1" si="273"/>
        <v>0.70878242098359612</v>
      </c>
      <c r="AY489" s="3">
        <f t="shared" ca="1" si="279"/>
        <v>8.7050764132783929</v>
      </c>
      <c r="AZ489" s="3">
        <f t="shared" ca="1" si="274"/>
        <v>0.40104333256829661</v>
      </c>
      <c r="BA489" s="3">
        <f t="shared" ca="1" si="269"/>
        <v>1.7806366638932708E-4</v>
      </c>
      <c r="BB489" s="3">
        <f t="shared" ca="1" si="275"/>
        <v>0.16885815911714913</v>
      </c>
      <c r="BC489" s="3">
        <f t="shared" ca="1" si="276"/>
        <v>0.70882208178263395</v>
      </c>
      <c r="BD489" s="3">
        <f t="shared" ca="1" si="270"/>
        <v>5.3324012897897344E-2</v>
      </c>
      <c r="BE489" s="3">
        <f t="shared" ca="1" si="277"/>
        <v>0.70882208178263395</v>
      </c>
      <c r="BF489" s="3">
        <f t="shared" ca="1" si="278"/>
        <v>0.70882208178263395</v>
      </c>
    </row>
    <row r="490" spans="1:58" ht="15" x14ac:dyDescent="0.25">
      <c r="A490" s="72">
        <v>424</v>
      </c>
      <c r="B490" s="72">
        <v>1498730342.8729999</v>
      </c>
      <c r="C490" s="73">
        <v>1.9978321206039101E-4</v>
      </c>
      <c r="D490" s="73">
        <v>3.2597914409521002E-5</v>
      </c>
      <c r="E490" s="73">
        <v>1.2304342108826199E-2</v>
      </c>
      <c r="F490" s="73">
        <v>4.6043490761732501E-4</v>
      </c>
      <c r="G490" s="73">
        <v>0.225769578550336</v>
      </c>
      <c r="H490" s="73">
        <v>3.1485655872475201E-5</v>
      </c>
      <c r="I490" s="73">
        <v>0.16317193526805701</v>
      </c>
      <c r="J490" s="73">
        <v>1.9613262558914299</v>
      </c>
      <c r="K490" s="73"/>
      <c r="L490" s="73"/>
      <c r="M490" s="73"/>
      <c r="O490" s="13">
        <f t="shared" ca="1" si="240"/>
        <v>-6.4904017211170573E-5</v>
      </c>
      <c r="P490" s="13">
        <f t="shared" ca="1" si="241"/>
        <v>2.1310439024680831E-5</v>
      </c>
      <c r="Q490" s="13">
        <f t="shared" ca="1" si="242"/>
        <v>1.1463602490853514E-2</v>
      </c>
      <c r="R490" s="13">
        <f t="shared" ca="1" si="243"/>
        <v>4.5065862872664388E-4</v>
      </c>
      <c r="S490" s="13">
        <f t="shared" ca="1" si="244"/>
        <v>0.22463449991709464</v>
      </c>
      <c r="T490" s="13">
        <f t="shared" ca="1" si="245"/>
        <v>3.1135834361451111E-5</v>
      </c>
      <c r="U490" s="13">
        <f t="shared" ca="1" si="246"/>
        <v>0.16251809127326849</v>
      </c>
      <c r="V490" s="13">
        <f t="shared" ca="1" si="247"/>
        <v>1.9541874749689758</v>
      </c>
      <c r="X490" s="3">
        <f t="shared" ca="1" si="248"/>
        <v>-6.4904017211170573E-5</v>
      </c>
      <c r="Y490" s="3">
        <f t="shared" ca="1" si="249"/>
        <v>2.1310439024680831E-5</v>
      </c>
      <c r="Z490" s="3">
        <f t="shared" ca="1" si="250"/>
        <v>1.1463364278421461E-2</v>
      </c>
      <c r="AA490" s="3">
        <f t="shared" ca="1" si="251"/>
        <v>4.448928050872073E-4</v>
      </c>
      <c r="AB490" s="3">
        <f t="shared" ca="1" si="252"/>
        <v>0.22459256911513462</v>
      </c>
      <c r="AC490" s="3">
        <f t="shared" ca="1" si="253"/>
        <v>3.1135834361451111E-5</v>
      </c>
      <c r="AD490" s="3">
        <f t="shared" ca="1" si="254"/>
        <v>0.16245616957573228</v>
      </c>
      <c r="AE490" s="3">
        <f t="shared" ca="1" si="255"/>
        <v>1.9541623485846047</v>
      </c>
      <c r="AG490" s="3">
        <f t="shared" ca="1" si="256"/>
        <v>-6.4904017211170573E-5</v>
      </c>
      <c r="AH490" s="3">
        <f t="shared" ca="1" si="257"/>
        <v>2.1310439024680831E-5</v>
      </c>
      <c r="AI490" s="3">
        <f t="shared" ca="1" si="258"/>
        <v>1.1446198832823103E-2</v>
      </c>
      <c r="AJ490" s="3">
        <f t="shared" ca="1" si="259"/>
        <v>4.3541399987194837E-4</v>
      </c>
      <c r="AK490" s="3">
        <f t="shared" ca="1" si="260"/>
        <v>0.22459256911513462</v>
      </c>
      <c r="AL490" s="3">
        <f t="shared" ca="1" si="261"/>
        <v>3.1135834361451111E-5</v>
      </c>
      <c r="AM490" s="3">
        <f t="shared" ca="1" si="262"/>
        <v>0.16245616957573228</v>
      </c>
      <c r="AN490" s="3">
        <f t="shared" ca="1" si="263"/>
        <v>1.9541623485846047</v>
      </c>
      <c r="AP490" s="3">
        <f t="shared" ca="1" si="264"/>
        <v>8.6994093769665994</v>
      </c>
      <c r="AQ490" s="3">
        <f t="shared" ca="1" si="271"/>
        <v>0.40077908635631282</v>
      </c>
      <c r="AR490" s="3">
        <f t="shared" ca="1" si="265"/>
        <v>1.8061455347965312E-4</v>
      </c>
      <c r="AS490" s="3">
        <f t="shared" ca="1" si="266"/>
        <v>0.16233747671978885</v>
      </c>
      <c r="AT490" s="3">
        <f t="shared" ca="1" si="267"/>
        <v>0.70898330492116157</v>
      </c>
      <c r="AU490" s="3">
        <f t="shared" ca="1" si="268"/>
        <v>5.3054505605115578E-2</v>
      </c>
      <c r="AV490" s="10">
        <f t="shared" ca="1" si="272"/>
        <v>0.70898330492116157</v>
      </c>
      <c r="AW490" s="10">
        <f t="shared" ca="1" si="273"/>
        <v>0.70898330492116157</v>
      </c>
      <c r="AY490" s="3">
        <f t="shared" ca="1" si="279"/>
        <v>8.7009216568640237</v>
      </c>
      <c r="AZ490" s="3">
        <f t="shared" ca="1" si="274"/>
        <v>0.40084960171130346</v>
      </c>
      <c r="BA490" s="3">
        <f t="shared" ca="1" si="269"/>
        <v>1.7453552842819603E-4</v>
      </c>
      <c r="BB490" s="3">
        <f t="shared" ca="1" si="275"/>
        <v>0.16228163404730409</v>
      </c>
      <c r="BC490" s="3">
        <f t="shared" ca="1" si="276"/>
        <v>0.70880969174171871</v>
      </c>
      <c r="BD490" s="3">
        <f t="shared" ca="1" si="270"/>
        <v>5.2993274844546759E-2</v>
      </c>
      <c r="BE490" s="3">
        <f t="shared" ca="1" si="277"/>
        <v>0.70880969174171871</v>
      </c>
      <c r="BF490" s="3">
        <f t="shared" ca="1" si="278"/>
        <v>0.70880969174171871</v>
      </c>
    </row>
    <row r="491" spans="1:58" ht="15" x14ac:dyDescent="0.25">
      <c r="A491" s="72">
        <v>425</v>
      </c>
      <c r="B491" s="72">
        <v>1498730343.4000001</v>
      </c>
      <c r="C491" s="73">
        <v>2.9375273218816198E-4</v>
      </c>
      <c r="D491" s="73">
        <v>-1.3938040294217699E-5</v>
      </c>
      <c r="E491" s="73">
        <v>1.1577096482245801E-2</v>
      </c>
      <c r="F491" s="73">
        <v>4.4781860582045901E-4</v>
      </c>
      <c r="G491" s="73">
        <v>0.21214611267230499</v>
      </c>
      <c r="H491" s="73">
        <v>-5.8646762719875904E-6</v>
      </c>
      <c r="I491" s="73">
        <v>0.15321975138093799</v>
      </c>
      <c r="J491" s="73">
        <v>1.84308237312657</v>
      </c>
      <c r="K491" s="73"/>
      <c r="L491" s="73"/>
      <c r="M491" s="73"/>
      <c r="O491" s="13">
        <f t="shared" ca="1" si="240"/>
        <v>2.9065502916600394E-5</v>
      </c>
      <c r="P491" s="13">
        <f t="shared" ca="1" si="241"/>
        <v>-2.5225515679057873E-5</v>
      </c>
      <c r="Q491" s="13">
        <f t="shared" ca="1" si="242"/>
        <v>1.0736356864273116E-2</v>
      </c>
      <c r="R491" s="13">
        <f t="shared" ca="1" si="243"/>
        <v>4.3804232692977788E-4</v>
      </c>
      <c r="S491" s="13">
        <f t="shared" ca="1" si="244"/>
        <v>0.21101103403906363</v>
      </c>
      <c r="T491" s="13">
        <f t="shared" ca="1" si="245"/>
        <v>-6.2144977830116768E-6</v>
      </c>
      <c r="U491" s="13">
        <f t="shared" ca="1" si="246"/>
        <v>0.15256590738614947</v>
      </c>
      <c r="V491" s="13">
        <f t="shared" ca="1" si="247"/>
        <v>1.8359435922041158</v>
      </c>
      <c r="X491" s="3">
        <f t="shared" ca="1" si="248"/>
        <v>2.9065502916600394E-5</v>
      </c>
      <c r="Y491" s="3">
        <f t="shared" ca="1" si="249"/>
        <v>-2.5225515679057873E-5</v>
      </c>
      <c r="Z491" s="3">
        <f t="shared" ca="1" si="250"/>
        <v>1.0736356864273116E-2</v>
      </c>
      <c r="AA491" s="3">
        <f t="shared" ca="1" si="251"/>
        <v>4.3804232692977788E-4</v>
      </c>
      <c r="AB491" s="3">
        <f t="shared" ca="1" si="252"/>
        <v>0.21101103403906363</v>
      </c>
      <c r="AC491" s="3">
        <f t="shared" ca="1" si="253"/>
        <v>-6.2144977830116768E-6</v>
      </c>
      <c r="AD491" s="3">
        <f t="shared" ca="1" si="254"/>
        <v>0.15256590738614947</v>
      </c>
      <c r="AE491" s="3">
        <f t="shared" ca="1" si="255"/>
        <v>1.8359435922041158</v>
      </c>
      <c r="AG491" s="3">
        <f t="shared" ca="1" si="256"/>
        <v>2.9065502916600394E-5</v>
      </c>
      <c r="AH491" s="3">
        <f t="shared" ca="1" si="257"/>
        <v>-2.5225515679057873E-5</v>
      </c>
      <c r="AI491" s="3">
        <f t="shared" ca="1" si="258"/>
        <v>1.0736356864273116E-2</v>
      </c>
      <c r="AJ491" s="3">
        <f t="shared" ca="1" si="259"/>
        <v>4.3804232692977788E-4</v>
      </c>
      <c r="AK491" s="3">
        <f t="shared" ca="1" si="260"/>
        <v>0.21101103403906363</v>
      </c>
      <c r="AL491" s="3">
        <f t="shared" ca="1" si="261"/>
        <v>-6.2144977830116768E-6</v>
      </c>
      <c r="AM491" s="3">
        <f t="shared" ca="1" si="262"/>
        <v>0.15256590738614947</v>
      </c>
      <c r="AN491" s="3">
        <f t="shared" ca="1" si="263"/>
        <v>1.8359435922041158</v>
      </c>
      <c r="AP491" s="3">
        <f t="shared" ca="1" si="264"/>
        <v>8.7006994708354206</v>
      </c>
      <c r="AQ491" s="3">
        <f t="shared" ca="1" si="271"/>
        <v>0.40083924149901984</v>
      </c>
      <c r="AR491" s="3">
        <f t="shared" ca="1" si="265"/>
        <v>1.7558455407099783E-4</v>
      </c>
      <c r="AS491" s="3">
        <f t="shared" ca="1" si="266"/>
        <v>0.15239032283207848</v>
      </c>
      <c r="AT491" s="3">
        <f t="shared" ca="1" si="267"/>
        <v>0.70845695229096239</v>
      </c>
      <c r="AU491" s="3">
        <f t="shared" ca="1" si="268"/>
        <v>5.2904824806567836E-2</v>
      </c>
      <c r="AV491" s="10">
        <f t="shared" ca="1" si="272"/>
        <v>0.70845695229096239</v>
      </c>
      <c r="AW491" s="10">
        <f t="shared" ca="1" si="273"/>
        <v>0.70845695229096239</v>
      </c>
      <c r="AY491" s="3">
        <f t="shared" ca="1" si="279"/>
        <v>8.7006994708354206</v>
      </c>
      <c r="AZ491" s="3">
        <f t="shared" ca="1" si="274"/>
        <v>0.40083924149901984</v>
      </c>
      <c r="BA491" s="3">
        <f t="shared" ca="1" si="269"/>
        <v>1.7558455407099783E-4</v>
      </c>
      <c r="BB491" s="3">
        <f t="shared" ca="1" si="275"/>
        <v>0.15239032283207848</v>
      </c>
      <c r="BC491" s="3">
        <f t="shared" ca="1" si="276"/>
        <v>0.70845695229096239</v>
      </c>
      <c r="BD491" s="3">
        <f t="shared" ca="1" si="270"/>
        <v>5.2904824806567836E-2</v>
      </c>
      <c r="BE491" s="3">
        <f t="shared" ca="1" si="277"/>
        <v>0.70845695229096239</v>
      </c>
      <c r="BF491" s="3">
        <f t="shared" ca="1" si="278"/>
        <v>0.70845695229096239</v>
      </c>
    </row>
    <row r="492" spans="1:58" ht="15" x14ac:dyDescent="0.25">
      <c r="A492" s="72">
        <v>426</v>
      </c>
      <c r="B492" s="72">
        <v>1498730343.927</v>
      </c>
      <c r="C492" s="73">
        <v>4.0153119535414698E-4</v>
      </c>
      <c r="D492" s="73">
        <v>3.0708086927977103E-5</v>
      </c>
      <c r="E492" s="73">
        <v>1.17881628926708E-2</v>
      </c>
      <c r="F492" s="73">
        <v>3.59508954901353E-4</v>
      </c>
      <c r="G492" s="73">
        <v>0.215587554868616</v>
      </c>
      <c r="H492" s="73">
        <v>-2.9741672963243699E-5</v>
      </c>
      <c r="I492" s="73">
        <v>0.155586456520309</v>
      </c>
      <c r="J492" s="73">
        <v>1.86975078806546</v>
      </c>
      <c r="K492" s="73"/>
      <c r="L492" s="73"/>
      <c r="M492" s="73"/>
      <c r="O492" s="13">
        <f t="shared" ca="1" si="240"/>
        <v>1.3684396608258539E-4</v>
      </c>
      <c r="P492" s="13">
        <f t="shared" ca="1" si="241"/>
        <v>1.9420611543136931E-5</v>
      </c>
      <c r="Q492" s="13">
        <f t="shared" ca="1" si="242"/>
        <v>1.0947423274698114E-2</v>
      </c>
      <c r="R492" s="13">
        <f t="shared" ca="1" si="243"/>
        <v>3.4973267601067187E-4</v>
      </c>
      <c r="S492" s="13">
        <f t="shared" ca="1" si="244"/>
        <v>0.21445247623537464</v>
      </c>
      <c r="T492" s="13">
        <f t="shared" ca="1" si="245"/>
        <v>-3.0091494474267786E-5</v>
      </c>
      <c r="U492" s="13">
        <f t="shared" ca="1" si="246"/>
        <v>0.15493261252552049</v>
      </c>
      <c r="V492" s="13">
        <f t="shared" ca="1" si="247"/>
        <v>1.8626120071430059</v>
      </c>
      <c r="X492" s="3">
        <f t="shared" ca="1" si="248"/>
        <v>1.3684396608258539E-4</v>
      </c>
      <c r="Y492" s="3">
        <f t="shared" ca="1" si="249"/>
        <v>1.9420611543136931E-5</v>
      </c>
      <c r="Z492" s="3">
        <f t="shared" ca="1" si="250"/>
        <v>1.0947423274698114E-2</v>
      </c>
      <c r="AA492" s="3">
        <f t="shared" ca="1" si="251"/>
        <v>3.4973267601067187E-4</v>
      </c>
      <c r="AB492" s="3">
        <f t="shared" ca="1" si="252"/>
        <v>0.21445247623537464</v>
      </c>
      <c r="AC492" s="3">
        <f t="shared" ca="1" si="253"/>
        <v>-3.0091494474267786E-5</v>
      </c>
      <c r="AD492" s="3">
        <f t="shared" ca="1" si="254"/>
        <v>0.15493261252552049</v>
      </c>
      <c r="AE492" s="3">
        <f t="shared" ca="1" si="255"/>
        <v>1.8626120071430059</v>
      </c>
      <c r="AG492" s="3">
        <f t="shared" ca="1" si="256"/>
        <v>1.3684396608258539E-4</v>
      </c>
      <c r="AH492" s="3">
        <f t="shared" ca="1" si="257"/>
        <v>1.9420611543136931E-5</v>
      </c>
      <c r="AI492" s="3">
        <f t="shared" ca="1" si="258"/>
        <v>1.0931780075112012E-2</v>
      </c>
      <c r="AJ492" s="3">
        <f t="shared" ca="1" si="259"/>
        <v>3.4109445913651896E-4</v>
      </c>
      <c r="AK492" s="3">
        <f t="shared" ca="1" si="260"/>
        <v>0.21445247623537464</v>
      </c>
      <c r="AL492" s="3">
        <f t="shared" ca="1" si="261"/>
        <v>-3.0091494474267786E-5</v>
      </c>
      <c r="AM492" s="3">
        <f t="shared" ca="1" si="262"/>
        <v>0.15493261252552049</v>
      </c>
      <c r="AN492" s="3">
        <f t="shared" ca="1" si="263"/>
        <v>1.8626120071430059</v>
      </c>
      <c r="AP492" s="3">
        <f t="shared" ca="1" si="264"/>
        <v>8.6854301700796217</v>
      </c>
      <c r="AQ492" s="3">
        <f t="shared" ca="1" si="271"/>
        <v>0.40012726384150638</v>
      </c>
      <c r="AR492" s="3">
        <f t="shared" ca="1" si="265"/>
        <v>1.3993757872811816E-4</v>
      </c>
      <c r="AS492" s="3">
        <f t="shared" ca="1" si="266"/>
        <v>0.15479267494679236</v>
      </c>
      <c r="AT492" s="3">
        <f t="shared" ca="1" si="267"/>
        <v>0.70870376788094946</v>
      </c>
      <c r="AU492" s="3">
        <f t="shared" ca="1" si="268"/>
        <v>5.2983882779234513E-2</v>
      </c>
      <c r="AV492" s="10">
        <f t="shared" ca="1" si="272"/>
        <v>0.70870376788094946</v>
      </c>
      <c r="AW492" s="10">
        <f t="shared" ca="1" si="273"/>
        <v>0.70870376788094946</v>
      </c>
      <c r="AY492" s="3">
        <f t="shared" ca="1" si="279"/>
        <v>8.6854301700796217</v>
      </c>
      <c r="AZ492" s="3">
        <f t="shared" ca="1" si="274"/>
        <v>0.40012726384150638</v>
      </c>
      <c r="BA492" s="3">
        <f t="shared" ca="1" si="269"/>
        <v>1.3648119264579383E-4</v>
      </c>
      <c r="BB492" s="3">
        <f t="shared" ca="1" si="275"/>
        <v>0.1547961313328747</v>
      </c>
      <c r="BC492" s="3">
        <f t="shared" ca="1" si="276"/>
        <v>0.70871959262098094</v>
      </c>
      <c r="BD492" s="3">
        <f t="shared" ca="1" si="270"/>
        <v>5.2908172045085973E-2</v>
      </c>
      <c r="BE492" s="3">
        <f t="shared" ca="1" si="277"/>
        <v>0.70871959262098094</v>
      </c>
      <c r="BF492" s="3">
        <f t="shared" ca="1" si="278"/>
        <v>0.70871959262098094</v>
      </c>
    </row>
    <row r="493" spans="1:58" ht="15" x14ac:dyDescent="0.25">
      <c r="A493" s="72">
        <v>427</v>
      </c>
      <c r="B493" s="72">
        <v>1498730344.454</v>
      </c>
      <c r="C493" s="73">
        <v>2.0382728778917599E-4</v>
      </c>
      <c r="D493" s="73">
        <v>-3.3307692827781302E-5</v>
      </c>
      <c r="E493" s="73">
        <v>1.2077277460925E-2</v>
      </c>
      <c r="F493" s="73">
        <v>3.4070548223260201E-4</v>
      </c>
      <c r="G493" s="73">
        <v>0.22178773381209799</v>
      </c>
      <c r="H493" s="73">
        <v>-4.8041116757065499E-5</v>
      </c>
      <c r="I493" s="73">
        <v>0.159997091003209</v>
      </c>
      <c r="J493" s="73">
        <v>1.92355689997709</v>
      </c>
      <c r="K493" s="73"/>
      <c r="L493" s="73"/>
      <c r="M493" s="73"/>
      <c r="O493" s="13">
        <f t="shared" ca="1" si="240"/>
        <v>-6.0859941482385591E-5</v>
      </c>
      <c r="P493" s="13">
        <f t="shared" ca="1" si="241"/>
        <v>-4.4595168212621474E-5</v>
      </c>
      <c r="Q493" s="13">
        <f t="shared" ca="1" si="242"/>
        <v>1.1236537842952315E-2</v>
      </c>
      <c r="R493" s="13">
        <f t="shared" ca="1" si="243"/>
        <v>3.3092920334192087E-4</v>
      </c>
      <c r="S493" s="13">
        <f t="shared" ca="1" si="244"/>
        <v>0.22065265517885663</v>
      </c>
      <c r="T493" s="13">
        <f t="shared" ca="1" si="245"/>
        <v>-4.8390938268089589E-5</v>
      </c>
      <c r="U493" s="13">
        <f t="shared" ca="1" si="246"/>
        <v>0.15934324700842048</v>
      </c>
      <c r="V493" s="13">
        <f t="shared" ca="1" si="247"/>
        <v>1.9164181190546359</v>
      </c>
      <c r="X493" s="3">
        <f t="shared" ca="1" si="248"/>
        <v>-6.0859941482385591E-5</v>
      </c>
      <c r="Y493" s="3">
        <f t="shared" ca="1" si="249"/>
        <v>-4.4595168212621474E-5</v>
      </c>
      <c r="Z493" s="3">
        <f t="shared" ca="1" si="250"/>
        <v>1.1236537842952315E-2</v>
      </c>
      <c r="AA493" s="3">
        <f t="shared" ca="1" si="251"/>
        <v>3.3092920334192087E-4</v>
      </c>
      <c r="AB493" s="3">
        <f t="shared" ca="1" si="252"/>
        <v>0.22065265517885663</v>
      </c>
      <c r="AC493" s="3">
        <f t="shared" ca="1" si="253"/>
        <v>-4.8390938268089589E-5</v>
      </c>
      <c r="AD493" s="3">
        <f t="shared" ca="1" si="254"/>
        <v>0.15934324700842048</v>
      </c>
      <c r="AE493" s="3">
        <f t="shared" ca="1" si="255"/>
        <v>1.9164181190546359</v>
      </c>
      <c r="AG493" s="3">
        <f t="shared" ca="1" si="256"/>
        <v>-6.0859941482385591E-5</v>
      </c>
      <c r="AH493" s="3">
        <f t="shared" ca="1" si="257"/>
        <v>-4.4595168212621474E-5</v>
      </c>
      <c r="AI493" s="3">
        <f t="shared" ca="1" si="258"/>
        <v>1.1236537842952315E-2</v>
      </c>
      <c r="AJ493" s="3">
        <f t="shared" ca="1" si="259"/>
        <v>3.3092920334192087E-4</v>
      </c>
      <c r="AK493" s="3">
        <f t="shared" ca="1" si="260"/>
        <v>0.22065265517885663</v>
      </c>
      <c r="AL493" s="3">
        <f t="shared" ca="1" si="261"/>
        <v>-4.8390938268089589E-5</v>
      </c>
      <c r="AM493" s="3">
        <f t="shared" ca="1" si="262"/>
        <v>0.15934324700842048</v>
      </c>
      <c r="AN493" s="3">
        <f t="shared" ca="1" si="263"/>
        <v>1.9164181190546359</v>
      </c>
      <c r="AP493" s="3">
        <f t="shared" ca="1" si="264"/>
        <v>8.6852257340897427</v>
      </c>
      <c r="AQ493" s="3">
        <f t="shared" ca="1" si="271"/>
        <v>0.4001177314937035</v>
      </c>
      <c r="AR493" s="3">
        <f t="shared" ca="1" si="265"/>
        <v>1.324106421261879E-4</v>
      </c>
      <c r="AS493" s="3">
        <f t="shared" ca="1" si="266"/>
        <v>0.15921083636629429</v>
      </c>
      <c r="AT493" s="3">
        <f t="shared" ca="1" si="267"/>
        <v>0.70845784817988255</v>
      </c>
      <c r="AU493" s="3">
        <f t="shared" ca="1" si="268"/>
        <v>5.2853753782707277E-2</v>
      </c>
      <c r="AV493" s="10">
        <f t="shared" ca="1" si="272"/>
        <v>0.70845784817988255</v>
      </c>
      <c r="AW493" s="10">
        <f t="shared" ca="1" si="273"/>
        <v>0.70845784817988255</v>
      </c>
      <c r="AY493" s="3">
        <f t="shared" ca="1" si="279"/>
        <v>8.6852257340897427</v>
      </c>
      <c r="AZ493" s="3">
        <f t="shared" ca="1" si="274"/>
        <v>0.4001177314937035</v>
      </c>
      <c r="BA493" s="3">
        <f t="shared" ca="1" si="269"/>
        <v>1.324106421261879E-4</v>
      </c>
      <c r="BB493" s="3">
        <f t="shared" ca="1" si="275"/>
        <v>0.15921083636629429</v>
      </c>
      <c r="BC493" s="3">
        <f t="shared" ca="1" si="276"/>
        <v>0.70845784817988255</v>
      </c>
      <c r="BD493" s="3">
        <f t="shared" ca="1" si="270"/>
        <v>5.2853753782707277E-2</v>
      </c>
      <c r="BE493" s="3">
        <f t="shared" ca="1" si="277"/>
        <v>0.70845784817988255</v>
      </c>
      <c r="BF493" s="3">
        <f t="shared" ca="1" si="278"/>
        <v>0.70845784817988255</v>
      </c>
    </row>
    <row r="494" spans="1:58" ht="15" x14ac:dyDescent="0.25">
      <c r="A494" s="72">
        <v>428</v>
      </c>
      <c r="B494" s="72">
        <v>1498730344.9809999</v>
      </c>
      <c r="C494" s="73">
        <v>2.7186537043675098E-4</v>
      </c>
      <c r="D494" s="73">
        <v>-9.21367743438774E-6</v>
      </c>
      <c r="E494" s="73">
        <v>1.1612712352250899E-2</v>
      </c>
      <c r="F494" s="73">
        <v>5.4042120767327703E-4</v>
      </c>
      <c r="G494" s="73">
        <v>0.21147293550540899</v>
      </c>
      <c r="H494" s="73">
        <v>2.71380248826219E-5</v>
      </c>
      <c r="I494" s="73">
        <v>0.15276083805511401</v>
      </c>
      <c r="J494" s="73">
        <v>1.83698182322542</v>
      </c>
      <c r="K494" s="73"/>
      <c r="L494" s="73"/>
      <c r="M494" s="73"/>
      <c r="O494" s="13">
        <f t="shared" ca="1" si="240"/>
        <v>7.1781411651893924E-6</v>
      </c>
      <c r="P494" s="13">
        <f t="shared" ca="1" si="241"/>
        <v>-2.0501152819227913E-5</v>
      </c>
      <c r="Q494" s="13">
        <f t="shared" ca="1" si="242"/>
        <v>1.0771972734278214E-2</v>
      </c>
      <c r="R494" s="13">
        <f t="shared" ca="1" si="243"/>
        <v>5.306449287825959E-4</v>
      </c>
      <c r="S494" s="13">
        <f t="shared" ca="1" si="244"/>
        <v>0.21033785687216763</v>
      </c>
      <c r="T494" s="13">
        <f t="shared" ca="1" si="245"/>
        <v>2.6788203371597813E-5</v>
      </c>
      <c r="U494" s="13">
        <f t="shared" ca="1" si="246"/>
        <v>0.15210699406032549</v>
      </c>
      <c r="V494" s="13">
        <f t="shared" ca="1" si="247"/>
        <v>1.8298430423029659</v>
      </c>
      <c r="X494" s="3">
        <f t="shared" ca="1" si="248"/>
        <v>7.1781411651893924E-6</v>
      </c>
      <c r="Y494" s="3">
        <f t="shared" ca="1" si="249"/>
        <v>-2.0501152819227913E-5</v>
      </c>
      <c r="Z494" s="3">
        <f t="shared" ca="1" si="250"/>
        <v>1.07717677844766E-2</v>
      </c>
      <c r="AA494" s="3">
        <f t="shared" ca="1" si="251"/>
        <v>5.2568421199354393E-4</v>
      </c>
      <c r="AB494" s="3">
        <f t="shared" ca="1" si="252"/>
        <v>0.21030178104913363</v>
      </c>
      <c r="AC494" s="3">
        <f t="shared" ca="1" si="253"/>
        <v>2.6788203371597813E-5</v>
      </c>
      <c r="AD494" s="3">
        <f t="shared" ca="1" si="254"/>
        <v>0.15205371875678109</v>
      </c>
      <c r="AE494" s="3">
        <f t="shared" ca="1" si="255"/>
        <v>1.8298214244241351</v>
      </c>
      <c r="AG494" s="3">
        <f t="shared" ca="1" si="256"/>
        <v>7.1781411651893924E-6</v>
      </c>
      <c r="AH494" s="3">
        <f t="shared" ca="1" si="257"/>
        <v>-2.0501152819227913E-5</v>
      </c>
      <c r="AI494" s="3">
        <f t="shared" ca="1" si="258"/>
        <v>1.07717677844766E-2</v>
      </c>
      <c r="AJ494" s="3">
        <f t="shared" ca="1" si="259"/>
        <v>5.2568421199354393E-4</v>
      </c>
      <c r="AK494" s="3">
        <f t="shared" ca="1" si="260"/>
        <v>0.21030178104913363</v>
      </c>
      <c r="AL494" s="3">
        <f t="shared" ca="1" si="261"/>
        <v>2.6788203371597813E-5</v>
      </c>
      <c r="AM494" s="3">
        <f t="shared" ca="1" si="262"/>
        <v>0.15205371875678109</v>
      </c>
      <c r="AN494" s="3">
        <f t="shared" ca="1" si="263"/>
        <v>1.8298214244241351</v>
      </c>
      <c r="AP494" s="3">
        <f t="shared" ca="1" si="264"/>
        <v>8.6995421057990949</v>
      </c>
      <c r="AQ494" s="3">
        <f t="shared" ca="1" si="271"/>
        <v>0.40078527529776248</v>
      </c>
      <c r="AR494" s="3">
        <f t="shared" ca="1" si="265"/>
        <v>2.1267467386749427E-4</v>
      </c>
      <c r="AS494" s="3">
        <f t="shared" ca="1" si="266"/>
        <v>0.151894319386458</v>
      </c>
      <c r="AT494" s="3">
        <f t="shared" ca="1" si="267"/>
        <v>0.70845851611855837</v>
      </c>
      <c r="AU494" s="3">
        <f t="shared" ca="1" si="268"/>
        <v>5.3242960005933315E-2</v>
      </c>
      <c r="AV494" s="10">
        <f t="shared" ca="1" si="272"/>
        <v>0.70845851611855837</v>
      </c>
      <c r="AW494" s="10">
        <f t="shared" ca="1" si="273"/>
        <v>0.70845851611855837</v>
      </c>
      <c r="AY494" s="3">
        <f t="shared" ca="1" si="279"/>
        <v>8.7009316578095302</v>
      </c>
      <c r="AZ494" s="3">
        <f t="shared" ca="1" si="274"/>
        <v>0.4008500680409639</v>
      </c>
      <c r="BA494" s="3">
        <f t="shared" ca="1" si="269"/>
        <v>2.1072055214567257E-4</v>
      </c>
      <c r="BB494" s="3">
        <f t="shared" ca="1" si="275"/>
        <v>0.15184299820463543</v>
      </c>
      <c r="BC494" s="3">
        <f t="shared" ca="1" si="276"/>
        <v>0.70828366605579152</v>
      </c>
      <c r="BD494" s="3">
        <f t="shared" ca="1" si="270"/>
        <v>5.3259783696825366E-2</v>
      </c>
      <c r="BE494" s="3">
        <f t="shared" ca="1" si="277"/>
        <v>0.70828366605579152</v>
      </c>
      <c r="BF494" s="3">
        <f t="shared" ca="1" si="278"/>
        <v>0.70828366605579152</v>
      </c>
    </row>
    <row r="495" spans="1:58" ht="15" x14ac:dyDescent="0.25">
      <c r="A495" s="72">
        <v>429</v>
      </c>
      <c r="B495" s="72">
        <v>1498730345.5079999</v>
      </c>
      <c r="C495" s="73">
        <v>2.5473646544007898E-4</v>
      </c>
      <c r="D495" s="73">
        <v>9.6839989665856596E-6</v>
      </c>
      <c r="E495" s="73">
        <v>1.16473668356987E-2</v>
      </c>
      <c r="F495" s="73">
        <v>5.4423023886862902E-4</v>
      </c>
      <c r="G495" s="73">
        <v>0.21225273074961601</v>
      </c>
      <c r="H495" s="73">
        <v>-1.5194157478591E-5</v>
      </c>
      <c r="I495" s="73">
        <v>0.153392885506869</v>
      </c>
      <c r="J495" s="73">
        <v>1.8402862875400301</v>
      </c>
      <c r="K495" s="73"/>
      <c r="L495" s="73"/>
      <c r="M495" s="73"/>
      <c r="O495" s="13">
        <f t="shared" ca="1" si="240"/>
        <v>-9.9507638314825998E-6</v>
      </c>
      <c r="P495" s="13">
        <f t="shared" ca="1" si="241"/>
        <v>-1.6034764182545137E-6</v>
      </c>
      <c r="Q495" s="13">
        <f t="shared" ca="1" si="242"/>
        <v>1.0806627217726015E-2</v>
      </c>
      <c r="R495" s="13">
        <f t="shared" ca="1" si="243"/>
        <v>5.3445395997794788E-4</v>
      </c>
      <c r="S495" s="13">
        <f t="shared" ca="1" si="244"/>
        <v>0.21111765211637465</v>
      </c>
      <c r="T495" s="13">
        <f t="shared" ca="1" si="245"/>
        <v>-1.5543978989615086E-5</v>
      </c>
      <c r="U495" s="13">
        <f t="shared" ca="1" si="246"/>
        <v>0.15273904151208048</v>
      </c>
      <c r="V495" s="13">
        <f t="shared" ca="1" si="247"/>
        <v>1.833147506617576</v>
      </c>
      <c r="X495" s="3">
        <f t="shared" ca="1" si="248"/>
        <v>-9.9507638314825998E-6</v>
      </c>
      <c r="Y495" s="3">
        <f t="shared" ca="1" si="249"/>
        <v>-1.6034764182545137E-6</v>
      </c>
      <c r="Z495" s="3">
        <f t="shared" ca="1" si="250"/>
        <v>1.0806627217726015E-2</v>
      </c>
      <c r="AA495" s="3">
        <f t="shared" ca="1" si="251"/>
        <v>5.3445395997794788E-4</v>
      </c>
      <c r="AB495" s="3">
        <f t="shared" ca="1" si="252"/>
        <v>0.21111765211637465</v>
      </c>
      <c r="AC495" s="3">
        <f t="shared" ca="1" si="253"/>
        <v>-1.5543978989615086E-5</v>
      </c>
      <c r="AD495" s="3">
        <f t="shared" ca="1" si="254"/>
        <v>0.15273904151208048</v>
      </c>
      <c r="AE495" s="3">
        <f t="shared" ca="1" si="255"/>
        <v>1.833147506617576</v>
      </c>
      <c r="AG495" s="3">
        <f t="shared" ca="1" si="256"/>
        <v>-9.9507638314825998E-6</v>
      </c>
      <c r="AH495" s="3">
        <f t="shared" ca="1" si="257"/>
        <v>-1.6034764182545137E-6</v>
      </c>
      <c r="AI495" s="3">
        <f t="shared" ca="1" si="258"/>
        <v>1.0806627217726015E-2</v>
      </c>
      <c r="AJ495" s="3">
        <f t="shared" ca="1" si="259"/>
        <v>5.3445395997794788E-4</v>
      </c>
      <c r="AK495" s="3">
        <f t="shared" ca="1" si="260"/>
        <v>0.21111765211637465</v>
      </c>
      <c r="AL495" s="3">
        <f t="shared" ca="1" si="261"/>
        <v>-1.5543978989615086E-5</v>
      </c>
      <c r="AM495" s="3">
        <f t="shared" ca="1" si="262"/>
        <v>0.15273904151208048</v>
      </c>
      <c r="AN495" s="3">
        <f t="shared" ca="1" si="263"/>
        <v>1.833147506617576</v>
      </c>
      <c r="AP495" s="3">
        <f t="shared" ca="1" si="264"/>
        <v>8.6830612610597235</v>
      </c>
      <c r="AQ495" s="3">
        <f t="shared" ca="1" si="271"/>
        <v>0.40001680760249342</v>
      </c>
      <c r="AR495" s="3">
        <f t="shared" ca="1" si="265"/>
        <v>2.137905668808895E-4</v>
      </c>
      <c r="AS495" s="3">
        <f t="shared" ca="1" si="266"/>
        <v>0.15252525094519959</v>
      </c>
      <c r="AT495" s="3">
        <f t="shared" ca="1" si="267"/>
        <v>0.7094507664363322</v>
      </c>
      <c r="AU495" s="3">
        <f t="shared" ca="1" si="268"/>
        <v>5.3113795507103607E-2</v>
      </c>
      <c r="AV495" s="10">
        <f t="shared" ca="1" si="272"/>
        <v>0.7094507664363322</v>
      </c>
      <c r="AW495" s="10">
        <f t="shared" ca="1" si="273"/>
        <v>0.7094507664363322</v>
      </c>
      <c r="AY495" s="3">
        <f t="shared" ca="1" si="279"/>
        <v>8.6830612610597235</v>
      </c>
      <c r="AZ495" s="3">
        <f t="shared" ca="1" si="274"/>
        <v>0.40001680760249342</v>
      </c>
      <c r="BA495" s="3">
        <f t="shared" ca="1" si="269"/>
        <v>2.137905668808895E-4</v>
      </c>
      <c r="BB495" s="3">
        <f t="shared" ca="1" si="275"/>
        <v>0.15252525094519959</v>
      </c>
      <c r="BC495" s="3">
        <f t="shared" ca="1" si="276"/>
        <v>0.7094507664363322</v>
      </c>
      <c r="BD495" s="3">
        <f t="shared" ca="1" si="270"/>
        <v>5.3113795507103607E-2</v>
      </c>
      <c r="BE495" s="3">
        <f t="shared" ca="1" si="277"/>
        <v>0.7094507664363322</v>
      </c>
      <c r="BF495" s="3">
        <f t="shared" ca="1" si="278"/>
        <v>0.7094507664363322</v>
      </c>
    </row>
    <row r="496" spans="1:58" ht="15" x14ac:dyDescent="0.25">
      <c r="A496" s="72">
        <v>430</v>
      </c>
      <c r="B496" s="72">
        <v>1498730346.0350001</v>
      </c>
      <c r="C496" s="73">
        <v>3.0017628810738201E-4</v>
      </c>
      <c r="D496" s="73">
        <v>6.4253059836107202E-5</v>
      </c>
      <c r="E496" s="73">
        <v>1.19491998580857E-2</v>
      </c>
      <c r="F496" s="73">
        <v>4.7138503457705698E-4</v>
      </c>
      <c r="G496" s="73">
        <v>0.21526808630736499</v>
      </c>
      <c r="H496" s="73">
        <v>2.69017460492567E-5</v>
      </c>
      <c r="I496" s="73">
        <v>0.155489586875981</v>
      </c>
      <c r="J496" s="73">
        <v>1.8679867356537601</v>
      </c>
      <c r="K496" s="73"/>
      <c r="L496" s="73"/>
      <c r="M496" s="73"/>
      <c r="O496" s="13">
        <f t="shared" ca="1" si="240"/>
        <v>3.5489058835820424E-5</v>
      </c>
      <c r="P496" s="13">
        <f t="shared" ca="1" si="241"/>
        <v>5.2965584451267031E-5</v>
      </c>
      <c r="Q496" s="13">
        <f t="shared" ca="1" si="242"/>
        <v>1.1108460240113015E-2</v>
      </c>
      <c r="R496" s="13">
        <f t="shared" ca="1" si="243"/>
        <v>4.6160875568637585E-4</v>
      </c>
      <c r="S496" s="13">
        <f t="shared" ca="1" si="244"/>
        <v>0.21413300767412363</v>
      </c>
      <c r="T496" s="13">
        <f t="shared" ca="1" si="245"/>
        <v>2.6551924538232614E-5</v>
      </c>
      <c r="U496" s="13">
        <f t="shared" ca="1" si="246"/>
        <v>0.15483574288119248</v>
      </c>
      <c r="V496" s="13">
        <f t="shared" ca="1" si="247"/>
        <v>1.8608479547313059</v>
      </c>
      <c r="X496" s="3">
        <f t="shared" ca="1" si="248"/>
        <v>3.5489058835820424E-5</v>
      </c>
      <c r="Y496" s="3">
        <f t="shared" ca="1" si="249"/>
        <v>5.2965584451267031E-5</v>
      </c>
      <c r="Z496" s="3">
        <f t="shared" ca="1" si="250"/>
        <v>1.1108257098021285E-2</v>
      </c>
      <c r="AA496" s="3">
        <f t="shared" ca="1" si="251"/>
        <v>4.5669179369339259E-4</v>
      </c>
      <c r="AB496" s="3">
        <f t="shared" ca="1" si="252"/>
        <v>0.21409725004911362</v>
      </c>
      <c r="AC496" s="3">
        <f t="shared" ca="1" si="253"/>
        <v>2.6551924538232614E-5</v>
      </c>
      <c r="AD496" s="3">
        <f t="shared" ca="1" si="254"/>
        <v>0.15478293747950728</v>
      </c>
      <c r="AE496" s="3">
        <f t="shared" ca="1" si="255"/>
        <v>1.860826527527718</v>
      </c>
      <c r="AG496" s="3">
        <f t="shared" ca="1" si="256"/>
        <v>3.5489058835820424E-5</v>
      </c>
      <c r="AH496" s="3">
        <f t="shared" ca="1" si="257"/>
        <v>5.2965584451267031E-5</v>
      </c>
      <c r="AI496" s="3">
        <f t="shared" ca="1" si="258"/>
        <v>1.1065593600688806E-2</v>
      </c>
      <c r="AJ496" s="3">
        <f t="shared" ca="1" si="259"/>
        <v>4.3313289574931665E-4</v>
      </c>
      <c r="AK496" s="3">
        <f t="shared" ca="1" si="260"/>
        <v>0.21409725004911362</v>
      </c>
      <c r="AL496" s="3">
        <f t="shared" ca="1" si="261"/>
        <v>2.6551924538232614E-5</v>
      </c>
      <c r="AM496" s="3">
        <f t="shared" ca="1" si="262"/>
        <v>0.15478293747950728</v>
      </c>
      <c r="AN496" s="3">
        <f t="shared" ca="1" si="263"/>
        <v>1.860826527527718</v>
      </c>
      <c r="AP496" s="3">
        <f t="shared" ca="1" si="264"/>
        <v>8.6901499910897453</v>
      </c>
      <c r="AQ496" s="3">
        <f t="shared" ca="1" si="271"/>
        <v>0.40034733825270069</v>
      </c>
      <c r="AR496" s="3">
        <f t="shared" ca="1" si="265"/>
        <v>1.8480383665318178E-4</v>
      </c>
      <c r="AS496" s="3">
        <f t="shared" ca="1" si="266"/>
        <v>0.1546509390445393</v>
      </c>
      <c r="AT496" s="3">
        <f t="shared" ca="1" si="267"/>
        <v>0.70891722462403728</v>
      </c>
      <c r="AU496" s="3">
        <f t="shared" ca="1" si="268"/>
        <v>5.3873427819546578E-2</v>
      </c>
      <c r="AV496" s="10">
        <f t="shared" ca="1" si="272"/>
        <v>0.70891722462403728</v>
      </c>
      <c r="AW496" s="10">
        <f t="shared" ca="1" si="273"/>
        <v>0.70891722462403728</v>
      </c>
      <c r="AY496" s="3">
        <f t="shared" ca="1" si="279"/>
        <v>8.6915013018656104</v>
      </c>
      <c r="AZ496" s="3">
        <f t="shared" ca="1" si="274"/>
        <v>0.40041034703689393</v>
      </c>
      <c r="BA496" s="3">
        <f t="shared" ca="1" si="269"/>
        <v>1.7343089310007867E-4</v>
      </c>
      <c r="BB496" s="3">
        <f t="shared" ca="1" si="275"/>
        <v>0.15460950658640721</v>
      </c>
      <c r="BC496" s="3">
        <f t="shared" ca="1" si="276"/>
        <v>0.70879016559092611</v>
      </c>
      <c r="BD496" s="3">
        <f t="shared" ca="1" si="270"/>
        <v>5.3683038070343719E-2</v>
      </c>
      <c r="BE496" s="3">
        <f t="shared" ca="1" si="277"/>
        <v>0.70879016559092611</v>
      </c>
      <c r="BF496" s="3">
        <f t="shared" ca="1" si="278"/>
        <v>0.70879016559092611</v>
      </c>
    </row>
    <row r="497" spans="1:58" ht="15" x14ac:dyDescent="0.25">
      <c r="A497" s="72">
        <v>431</v>
      </c>
      <c r="B497" s="72">
        <v>1498730346.5610001</v>
      </c>
      <c r="C497" s="73">
        <v>3.4847323550007601E-4</v>
      </c>
      <c r="D497" s="73">
        <v>7.6301179031256305E-5</v>
      </c>
      <c r="E497" s="73">
        <v>1.14803624117808E-2</v>
      </c>
      <c r="F497" s="73">
        <v>3.9973529395665998E-4</v>
      </c>
      <c r="G497" s="73">
        <v>0.20951449123921201</v>
      </c>
      <c r="H497" s="73">
        <v>-9.9882645525278598E-7</v>
      </c>
      <c r="I497" s="73">
        <v>0.15128952407700699</v>
      </c>
      <c r="J497" s="73">
        <v>1.81908845065664</v>
      </c>
      <c r="K497" s="73"/>
      <c r="L497" s="73"/>
      <c r="M497" s="73"/>
      <c r="O497" s="13">
        <f t="shared" ca="1" si="240"/>
        <v>8.3786006228514422E-5</v>
      </c>
      <c r="P497" s="13">
        <f t="shared" ca="1" si="241"/>
        <v>6.5013703646416127E-5</v>
      </c>
      <c r="Q497" s="13">
        <f t="shared" ca="1" si="242"/>
        <v>1.0639622793808114E-2</v>
      </c>
      <c r="R497" s="13">
        <f t="shared" ca="1" si="243"/>
        <v>3.8995901506597884E-4</v>
      </c>
      <c r="S497" s="13">
        <f t="shared" ca="1" si="244"/>
        <v>0.20837941260597065</v>
      </c>
      <c r="T497" s="13">
        <f t="shared" ca="1" si="245"/>
        <v>-1.3486479662768727E-6</v>
      </c>
      <c r="U497" s="13">
        <f t="shared" ca="1" si="246"/>
        <v>0.15063568008221848</v>
      </c>
      <c r="V497" s="13">
        <f t="shared" ca="1" si="247"/>
        <v>1.8119496697341859</v>
      </c>
      <c r="X497" s="3">
        <f t="shared" ca="1" si="248"/>
        <v>8.3786006228514422E-5</v>
      </c>
      <c r="Y497" s="3">
        <f t="shared" ca="1" si="249"/>
        <v>6.5013703646416127E-5</v>
      </c>
      <c r="Z497" s="3">
        <f t="shared" ca="1" si="250"/>
        <v>1.0639622793808114E-2</v>
      </c>
      <c r="AA497" s="3">
        <f t="shared" ca="1" si="251"/>
        <v>3.8995901506597884E-4</v>
      </c>
      <c r="AB497" s="3">
        <f t="shared" ca="1" si="252"/>
        <v>0.20837941260597065</v>
      </c>
      <c r="AC497" s="3">
        <f t="shared" ca="1" si="253"/>
        <v>-1.3486479662768727E-6</v>
      </c>
      <c r="AD497" s="3">
        <f t="shared" ca="1" si="254"/>
        <v>0.15063568008221848</v>
      </c>
      <c r="AE497" s="3">
        <f t="shared" ca="1" si="255"/>
        <v>1.8119496697341859</v>
      </c>
      <c r="AG497" s="3">
        <f t="shared" ca="1" si="256"/>
        <v>8.3786006228514422E-5</v>
      </c>
      <c r="AH497" s="3">
        <f t="shared" ca="1" si="257"/>
        <v>6.5013703646416127E-5</v>
      </c>
      <c r="AI497" s="3">
        <f t="shared" ca="1" si="258"/>
        <v>1.0587254600370251E-2</v>
      </c>
      <c r="AJ497" s="3">
        <f t="shared" ca="1" si="259"/>
        <v>3.6104115783773343E-4</v>
      </c>
      <c r="AK497" s="3">
        <f t="shared" ca="1" si="260"/>
        <v>0.20837941260597065</v>
      </c>
      <c r="AL497" s="3">
        <f t="shared" ca="1" si="261"/>
        <v>-1.3486479662768727E-6</v>
      </c>
      <c r="AM497" s="3">
        <f t="shared" ca="1" si="262"/>
        <v>0.15063568008221848</v>
      </c>
      <c r="AN497" s="3">
        <f t="shared" ca="1" si="263"/>
        <v>1.8119496697341859</v>
      </c>
      <c r="AP497" s="3">
        <f t="shared" ca="1" si="264"/>
        <v>8.6954351539537278</v>
      </c>
      <c r="AQ497" s="3">
        <f t="shared" ca="1" si="271"/>
        <v>0.40059377497638571</v>
      </c>
      <c r="AR497" s="3">
        <f t="shared" ca="1" si="265"/>
        <v>1.5621515393135374E-4</v>
      </c>
      <c r="AS497" s="3">
        <f t="shared" ca="1" si="266"/>
        <v>0.15047946492828712</v>
      </c>
      <c r="AT497" s="3">
        <f t="shared" ca="1" si="267"/>
        <v>0.7086242985455018</v>
      </c>
      <c r="AU497" s="3">
        <f t="shared" ca="1" si="268"/>
        <v>5.3057400808574871E-2</v>
      </c>
      <c r="AV497" s="10">
        <f t="shared" ca="1" si="272"/>
        <v>0.7086242985455018</v>
      </c>
      <c r="AW497" s="10">
        <f t="shared" ca="1" si="273"/>
        <v>0.7086242985455018</v>
      </c>
      <c r="AY497" s="3">
        <f t="shared" ca="1" si="279"/>
        <v>8.6954351539537278</v>
      </c>
      <c r="AZ497" s="3">
        <f t="shared" ca="1" si="274"/>
        <v>0.40059377497638571</v>
      </c>
      <c r="BA497" s="3">
        <f t="shared" ca="1" si="269"/>
        <v>1.4463084034006273E-4</v>
      </c>
      <c r="BB497" s="3">
        <f t="shared" ca="1" si="275"/>
        <v>0.15049104924187842</v>
      </c>
      <c r="BC497" s="3">
        <f t="shared" ca="1" si="276"/>
        <v>0.70867885034827882</v>
      </c>
      <c r="BD497" s="3">
        <f t="shared" ca="1" si="270"/>
        <v>5.2796252431165223E-2</v>
      </c>
      <c r="BE497" s="3">
        <f t="shared" ca="1" si="277"/>
        <v>0.70867885034827882</v>
      </c>
      <c r="BF497" s="3">
        <f t="shared" ca="1" si="278"/>
        <v>0.70867885034827882</v>
      </c>
    </row>
    <row r="498" spans="1:58" ht="15" x14ac:dyDescent="0.25">
      <c r="A498" s="72">
        <v>432</v>
      </c>
      <c r="B498" s="72">
        <v>1498730347.0880001</v>
      </c>
      <c r="C498" s="73">
        <v>3.3134301639450002E-4</v>
      </c>
      <c r="D498" s="73">
        <v>2.33850394356122E-5</v>
      </c>
      <c r="E498" s="73">
        <v>1.0903038131001099E-2</v>
      </c>
      <c r="F498" s="73">
        <v>4.9304759589117195E-4</v>
      </c>
      <c r="G498" s="73">
        <v>0.198579670721657</v>
      </c>
      <c r="H498" s="73">
        <v>-2.5561842370594199E-5</v>
      </c>
      <c r="I498" s="73">
        <v>0.14359342822565599</v>
      </c>
      <c r="J498" s="73">
        <v>1.7255401365593801</v>
      </c>
      <c r="K498" s="73"/>
      <c r="L498" s="73"/>
      <c r="M498" s="73"/>
      <c r="O498" s="13">
        <f t="shared" ca="1" si="240"/>
        <v>6.6655787122938434E-5</v>
      </c>
      <c r="P498" s="13">
        <f t="shared" ca="1" si="241"/>
        <v>1.2097564050772026E-5</v>
      </c>
      <c r="Q498" s="13">
        <f t="shared" ca="1" si="242"/>
        <v>1.0062298513028414E-2</v>
      </c>
      <c r="R498" s="13">
        <f t="shared" ca="1" si="243"/>
        <v>4.8327131700049081E-4</v>
      </c>
      <c r="S498" s="13">
        <f t="shared" ca="1" si="244"/>
        <v>0.19744459208841564</v>
      </c>
      <c r="T498" s="13">
        <f t="shared" ca="1" si="245"/>
        <v>-2.5911663881618285E-5</v>
      </c>
      <c r="U498" s="13">
        <f t="shared" ca="1" si="246"/>
        <v>0.14293958423086747</v>
      </c>
      <c r="V498" s="13">
        <f t="shared" ca="1" si="247"/>
        <v>1.718401355636926</v>
      </c>
      <c r="X498" s="3">
        <f t="shared" ca="1" si="248"/>
        <v>6.6655787122938434E-5</v>
      </c>
      <c r="Y498" s="3">
        <f t="shared" ca="1" si="249"/>
        <v>1.2097564050772026E-5</v>
      </c>
      <c r="Z498" s="3">
        <f t="shared" ca="1" si="250"/>
        <v>1.0062298513028414E-2</v>
      </c>
      <c r="AA498" s="3">
        <f t="shared" ca="1" si="251"/>
        <v>4.8327131700049081E-4</v>
      </c>
      <c r="AB498" s="3">
        <f t="shared" ca="1" si="252"/>
        <v>0.19744459208841564</v>
      </c>
      <c r="AC498" s="3">
        <f t="shared" ca="1" si="253"/>
        <v>-2.5911663881618285E-5</v>
      </c>
      <c r="AD498" s="3">
        <f t="shared" ca="1" si="254"/>
        <v>0.14293958423086747</v>
      </c>
      <c r="AE498" s="3">
        <f t="shared" ca="1" si="255"/>
        <v>1.718401355636926</v>
      </c>
      <c r="AG498" s="3">
        <f t="shared" ca="1" si="256"/>
        <v>6.6655787122938434E-5</v>
      </c>
      <c r="AH498" s="3">
        <f t="shared" ca="1" si="257"/>
        <v>1.2097564050772026E-5</v>
      </c>
      <c r="AI498" s="3">
        <f t="shared" ca="1" si="258"/>
        <v>1.0052553989354092E-2</v>
      </c>
      <c r="AJ498" s="3">
        <f t="shared" ca="1" si="259"/>
        <v>4.7789036482566324E-4</v>
      </c>
      <c r="AK498" s="3">
        <f t="shared" ca="1" si="260"/>
        <v>0.19744459208841564</v>
      </c>
      <c r="AL498" s="3">
        <f t="shared" ca="1" si="261"/>
        <v>-2.5911663881618285E-5</v>
      </c>
      <c r="AM498" s="3">
        <f t="shared" ca="1" si="262"/>
        <v>0.14293958423086747</v>
      </c>
      <c r="AN498" s="3">
        <f t="shared" ca="1" si="263"/>
        <v>1.718401355636926</v>
      </c>
      <c r="AP498" s="3">
        <f t="shared" ca="1" si="264"/>
        <v>8.7032080112248718</v>
      </c>
      <c r="AQ498" s="3">
        <f t="shared" ca="1" si="271"/>
        <v>0.40095621128569747</v>
      </c>
      <c r="AR498" s="3">
        <f t="shared" ca="1" si="265"/>
        <v>1.9377063628756608E-4</v>
      </c>
      <c r="AS498" s="3">
        <f t="shared" ca="1" si="266"/>
        <v>0.14274581359457991</v>
      </c>
      <c r="AT498" s="3">
        <f t="shared" ca="1" si="267"/>
        <v>0.70911444566127013</v>
      </c>
      <c r="AU498" s="3">
        <f t="shared" ca="1" si="268"/>
        <v>5.3005821306832894E-2</v>
      </c>
      <c r="AV498" s="10">
        <f t="shared" ca="1" si="272"/>
        <v>0.70911444566127013</v>
      </c>
      <c r="AW498" s="10">
        <f t="shared" ca="1" si="273"/>
        <v>0.70911444566127013</v>
      </c>
      <c r="AY498" s="3">
        <f t="shared" ca="1" si="279"/>
        <v>8.7032080112248718</v>
      </c>
      <c r="AZ498" s="3">
        <f t="shared" ca="1" si="274"/>
        <v>0.40095621128569747</v>
      </c>
      <c r="BA498" s="3">
        <f t="shared" ca="1" si="269"/>
        <v>1.9161311009043767E-4</v>
      </c>
      <c r="BB498" s="3">
        <f t="shared" ca="1" si="275"/>
        <v>0.14274797112077703</v>
      </c>
      <c r="BC498" s="3">
        <f t="shared" ca="1" si="276"/>
        <v>0.70912516354472144</v>
      </c>
      <c r="BD498" s="3">
        <f t="shared" ca="1" si="270"/>
        <v>5.2954489448616547E-2</v>
      </c>
      <c r="BE498" s="3">
        <f t="shared" ca="1" si="277"/>
        <v>0.70912516354472144</v>
      </c>
      <c r="BF498" s="3">
        <f t="shared" ca="1" si="278"/>
        <v>0.70912516354472144</v>
      </c>
    </row>
    <row r="499" spans="1:58" ht="15" x14ac:dyDescent="0.25">
      <c r="A499" s="72">
        <v>433</v>
      </c>
      <c r="B499" s="72">
        <v>1498730347.615</v>
      </c>
      <c r="C499" s="73">
        <v>3.1683014403643701E-4</v>
      </c>
      <c r="D499" s="73">
        <v>9.2129322672603099E-5</v>
      </c>
      <c r="E499" s="73">
        <v>1.07748687757412E-2</v>
      </c>
      <c r="F499" s="73">
        <v>3.7950290909055402E-4</v>
      </c>
      <c r="G499" s="73">
        <v>0.19341226829730901</v>
      </c>
      <c r="H499" s="73">
        <v>1.23870582863633E-4</v>
      </c>
      <c r="I499" s="73">
        <v>0.139815551427554</v>
      </c>
      <c r="J499" s="73">
        <v>1.67919584694318</v>
      </c>
      <c r="K499" s="73"/>
      <c r="L499" s="73"/>
      <c r="M499" s="73"/>
      <c r="O499" s="13">
        <f t="shared" ca="1" si="240"/>
        <v>5.2142914764875424E-5</v>
      </c>
      <c r="P499" s="13">
        <f t="shared" ca="1" si="241"/>
        <v>8.0841847287762921E-5</v>
      </c>
      <c r="Q499" s="13">
        <f t="shared" ca="1" si="242"/>
        <v>9.9341291577685151E-3</v>
      </c>
      <c r="R499" s="13">
        <f t="shared" ca="1" si="243"/>
        <v>3.6972663019987288E-4</v>
      </c>
      <c r="S499" s="13">
        <f t="shared" ca="1" si="244"/>
        <v>0.19227718966406765</v>
      </c>
      <c r="T499" s="13">
        <f t="shared" ca="1" si="245"/>
        <v>1.2352076135260892E-4</v>
      </c>
      <c r="U499" s="13">
        <f t="shared" ca="1" si="246"/>
        <v>0.13916170743276549</v>
      </c>
      <c r="V499" s="13">
        <f t="shared" ca="1" si="247"/>
        <v>1.6720570660207259</v>
      </c>
      <c r="X499" s="3">
        <f t="shared" ca="1" si="248"/>
        <v>5.2142914764875424E-5</v>
      </c>
      <c r="Y499" s="3">
        <f t="shared" ca="1" si="249"/>
        <v>8.0841847287762921E-5</v>
      </c>
      <c r="Z499" s="3">
        <f t="shared" ca="1" si="250"/>
        <v>9.9331841315126231E-3</v>
      </c>
      <c r="AA499" s="3">
        <f t="shared" ca="1" si="251"/>
        <v>3.4685269923337723E-4</v>
      </c>
      <c r="AB499" s="3">
        <f t="shared" ca="1" si="252"/>
        <v>0.19211084356516106</v>
      </c>
      <c r="AC499" s="3">
        <f t="shared" ca="1" si="253"/>
        <v>1.2352076135260892E-4</v>
      </c>
      <c r="AD499" s="3">
        <f t="shared" ca="1" si="254"/>
        <v>0.138916054300907</v>
      </c>
      <c r="AE499" s="3">
        <f t="shared" ca="1" si="255"/>
        <v>1.6719573856944652</v>
      </c>
      <c r="AG499" s="3">
        <f t="shared" ca="1" si="256"/>
        <v>5.2142914764875424E-5</v>
      </c>
      <c r="AH499" s="3">
        <f t="shared" ca="1" si="257"/>
        <v>8.0841847287762921E-5</v>
      </c>
      <c r="AI499" s="3">
        <f t="shared" ca="1" si="258"/>
        <v>9.8680664523281784E-3</v>
      </c>
      <c r="AJ499" s="3">
        <f t="shared" ca="1" si="259"/>
        <v>3.1089454169401645E-4</v>
      </c>
      <c r="AK499" s="3">
        <f t="shared" ca="1" si="260"/>
        <v>0.19211084356516106</v>
      </c>
      <c r="AL499" s="3">
        <f t="shared" ca="1" si="261"/>
        <v>1.2352076135260892E-4</v>
      </c>
      <c r="AM499" s="3">
        <f t="shared" ca="1" si="262"/>
        <v>0.138916054300907</v>
      </c>
      <c r="AN499" s="3">
        <f t="shared" ca="1" si="263"/>
        <v>1.6719573856944652</v>
      </c>
      <c r="AP499" s="3">
        <f t="shared" ca="1" si="264"/>
        <v>8.6960760605146099</v>
      </c>
      <c r="AQ499" s="3">
        <f t="shared" ca="1" si="271"/>
        <v>0.40062365930918836</v>
      </c>
      <c r="AR499" s="3">
        <f t="shared" ca="1" si="265"/>
        <v>1.4812123553472814E-4</v>
      </c>
      <c r="AS499" s="3">
        <f t="shared" ca="1" si="266"/>
        <v>0.13901358619723075</v>
      </c>
      <c r="AT499" s="3">
        <f t="shared" ca="1" si="267"/>
        <v>0.7094257910672539</v>
      </c>
      <c r="AU499" s="3">
        <f t="shared" ca="1" si="268"/>
        <v>5.3691969968661143E-2</v>
      </c>
      <c r="AV499" s="10">
        <f t="shared" ca="1" si="272"/>
        <v>0.7094257910672539</v>
      </c>
      <c r="AW499" s="10">
        <f t="shared" ca="1" si="273"/>
        <v>0.7094257910672539</v>
      </c>
      <c r="AY499" s="3">
        <f t="shared" ca="1" si="279"/>
        <v>8.7030870026207694</v>
      </c>
      <c r="AZ499" s="3">
        <f t="shared" ca="1" si="274"/>
        <v>0.40095056881160474</v>
      </c>
      <c r="BA499" s="3">
        <f t="shared" ca="1" si="269"/>
        <v>1.2465334333263905E-4</v>
      </c>
      <c r="BB499" s="3">
        <f t="shared" ca="1" si="275"/>
        <v>0.13879140095757436</v>
      </c>
      <c r="BC499" s="3">
        <f t="shared" ca="1" si="276"/>
        <v>0.70861757101385547</v>
      </c>
      <c r="BD499" s="3">
        <f t="shared" ca="1" si="270"/>
        <v>5.3425134187570805E-2</v>
      </c>
      <c r="BE499" s="3">
        <f t="shared" ca="1" si="277"/>
        <v>0.70861757101385547</v>
      </c>
      <c r="BF499" s="3">
        <f t="shared" ca="1" si="278"/>
        <v>0.70861757101385547</v>
      </c>
    </row>
    <row r="500" spans="1:58" ht="15" x14ac:dyDescent="0.25">
      <c r="A500" s="72">
        <v>434</v>
      </c>
      <c r="B500" s="72">
        <v>1498730348.142</v>
      </c>
      <c r="C500" s="73">
        <v>3.6132109267385801E-4</v>
      </c>
      <c r="D500" s="73">
        <v>-4.5118270981801299E-5</v>
      </c>
      <c r="E500" s="73">
        <v>1.0387475658417701E-2</v>
      </c>
      <c r="F500" s="73">
        <v>4.9447591314634898E-4</v>
      </c>
      <c r="G500" s="73">
        <v>0.18949710012773899</v>
      </c>
      <c r="H500" s="73">
        <v>4.2615514331667701E-5</v>
      </c>
      <c r="I500" s="73">
        <v>0.13706403776449999</v>
      </c>
      <c r="J500" s="73">
        <v>1.6455429431785999</v>
      </c>
      <c r="K500" s="73"/>
      <c r="L500" s="73"/>
      <c r="M500" s="73"/>
      <c r="O500" s="13">
        <f t="shared" ca="1" si="240"/>
        <v>9.663386340229643E-5</v>
      </c>
      <c r="P500" s="13">
        <f t="shared" ca="1" si="241"/>
        <v>-5.6405746366641471E-5</v>
      </c>
      <c r="Q500" s="13">
        <f t="shared" ca="1" si="242"/>
        <v>9.5467360404450155E-3</v>
      </c>
      <c r="R500" s="13">
        <f t="shared" ca="1" si="243"/>
        <v>4.8469963425566785E-4</v>
      </c>
      <c r="S500" s="13">
        <f t="shared" ca="1" si="244"/>
        <v>0.18836202149449763</v>
      </c>
      <c r="T500" s="13">
        <f t="shared" ca="1" si="245"/>
        <v>4.2265692820643611E-5</v>
      </c>
      <c r="U500" s="13">
        <f t="shared" ca="1" si="246"/>
        <v>0.13641019376971147</v>
      </c>
      <c r="V500" s="13">
        <f t="shared" ca="1" si="247"/>
        <v>1.6384041622561458</v>
      </c>
      <c r="X500" s="3">
        <f t="shared" ca="1" si="248"/>
        <v>9.663386340229643E-5</v>
      </c>
      <c r="Y500" s="3">
        <f t="shared" ca="1" si="249"/>
        <v>-5.6405746366641471E-5</v>
      </c>
      <c r="Z500" s="3">
        <f t="shared" ca="1" si="250"/>
        <v>9.5464126762671905E-3</v>
      </c>
      <c r="AA500" s="3">
        <f t="shared" ca="1" si="251"/>
        <v>4.7687275131515E-4</v>
      </c>
      <c r="AB500" s="3">
        <f t="shared" ca="1" si="252"/>
        <v>0.18830510205001472</v>
      </c>
      <c r="AC500" s="3">
        <f t="shared" ca="1" si="253"/>
        <v>4.2265692820643611E-5</v>
      </c>
      <c r="AD500" s="3">
        <f t="shared" ca="1" si="254"/>
        <v>0.13632613745644181</v>
      </c>
      <c r="AE500" s="3">
        <f t="shared" ca="1" si="255"/>
        <v>1.6383700541596293</v>
      </c>
      <c r="AG500" s="3">
        <f t="shared" ca="1" si="256"/>
        <v>9.663386340229643E-5</v>
      </c>
      <c r="AH500" s="3">
        <f t="shared" ca="1" si="257"/>
        <v>-5.6405746366641471E-5</v>
      </c>
      <c r="AI500" s="3">
        <f t="shared" ca="1" si="258"/>
        <v>9.5464126762671905E-3</v>
      </c>
      <c r="AJ500" s="3">
        <f t="shared" ca="1" si="259"/>
        <v>4.7687275131515E-4</v>
      </c>
      <c r="AK500" s="3">
        <f t="shared" ca="1" si="260"/>
        <v>0.18830510205001472</v>
      </c>
      <c r="AL500" s="3">
        <f t="shared" ca="1" si="261"/>
        <v>4.2265692820643611E-5</v>
      </c>
      <c r="AM500" s="3">
        <f t="shared" ca="1" si="262"/>
        <v>0.13632613745644181</v>
      </c>
      <c r="AN500" s="3">
        <f t="shared" ca="1" si="263"/>
        <v>1.6383700541596293</v>
      </c>
      <c r="AP500" s="3">
        <f t="shared" ca="1" si="264"/>
        <v>8.698166165646116</v>
      </c>
      <c r="AQ500" s="3">
        <f t="shared" ca="1" si="271"/>
        <v>0.40072111737890992</v>
      </c>
      <c r="AR500" s="3">
        <f t="shared" ca="1" si="265"/>
        <v>1.9422937903208019E-4</v>
      </c>
      <c r="AS500" s="3">
        <f t="shared" ca="1" si="266"/>
        <v>0.1362159643906794</v>
      </c>
      <c r="AT500" s="3">
        <f t="shared" ca="1" si="267"/>
        <v>0.70951176044753628</v>
      </c>
      <c r="AU500" s="3">
        <f t="shared" ca="1" si="268"/>
        <v>5.2683627627130213E-2</v>
      </c>
      <c r="AV500" s="10" t="str">
        <f t="shared" ca="1" si="272"/>
        <v>rejected</v>
      </c>
      <c r="AW500" s="10" t="e">
        <f t="shared" ca="1" si="273"/>
        <v>#N/A</v>
      </c>
      <c r="AY500" s="3">
        <f t="shared" ca="1" si="279"/>
        <v>8.7006142495516166</v>
      </c>
      <c r="AZ500" s="3">
        <f t="shared" ca="1" si="274"/>
        <v>0.40083526775500139</v>
      </c>
      <c r="BA500" s="3">
        <f t="shared" ca="1" si="269"/>
        <v>1.9114741695847235E-4</v>
      </c>
      <c r="BB500" s="3">
        <f t="shared" ca="1" si="275"/>
        <v>0.13613499003948334</v>
      </c>
      <c r="BC500" s="3">
        <f t="shared" ca="1" si="276"/>
        <v>0.70920381322009196</v>
      </c>
      <c r="BD500" s="3">
        <f t="shared" ca="1" si="270"/>
        <v>5.2712944002405809E-2</v>
      </c>
      <c r="BE500" s="3">
        <f t="shared" ca="1" si="277"/>
        <v>0.70920381322009196</v>
      </c>
      <c r="BF500" s="3">
        <f t="shared" ca="1" si="278"/>
        <v>0.70920381322009196</v>
      </c>
    </row>
    <row r="501" spans="1:58" ht="15" x14ac:dyDescent="0.25">
      <c r="A501" s="72">
        <v>435</v>
      </c>
      <c r="B501" s="72">
        <v>1498730348.6689999</v>
      </c>
      <c r="C501" s="73">
        <v>3.6274864256344497E-4</v>
      </c>
      <c r="D501" s="73">
        <v>1.4528538419416299E-4</v>
      </c>
      <c r="E501" s="73">
        <v>1.0757796786576001E-2</v>
      </c>
      <c r="F501" s="73">
        <v>4.9995114821087196E-4</v>
      </c>
      <c r="G501" s="73">
        <v>0.19560128044710301</v>
      </c>
      <c r="H501" s="73">
        <v>6.18771368933542E-5</v>
      </c>
      <c r="I501" s="73">
        <v>0.14127360317544599</v>
      </c>
      <c r="J501" s="73">
        <v>1.6969233238358601</v>
      </c>
      <c r="K501" s="73"/>
      <c r="L501" s="73"/>
      <c r="M501" s="73"/>
      <c r="O501" s="13">
        <f t="shared" ca="1" si="240"/>
        <v>9.8061413291883391E-5</v>
      </c>
      <c r="P501" s="13">
        <f t="shared" ca="1" si="241"/>
        <v>1.3399790880932281E-4</v>
      </c>
      <c r="Q501" s="13">
        <f t="shared" ca="1" si="242"/>
        <v>9.9170571686033153E-3</v>
      </c>
      <c r="R501" s="13">
        <f t="shared" ca="1" si="243"/>
        <v>4.9017486932019082E-4</v>
      </c>
      <c r="S501" s="13">
        <f t="shared" ca="1" si="244"/>
        <v>0.19446620181386165</v>
      </c>
      <c r="T501" s="13">
        <f t="shared" ca="1" si="245"/>
        <v>6.152731538233011E-5</v>
      </c>
      <c r="U501" s="13">
        <f t="shared" ca="1" si="246"/>
        <v>0.14061975918065747</v>
      </c>
      <c r="V501" s="13">
        <f t="shared" ca="1" si="247"/>
        <v>1.689784542913406</v>
      </c>
      <c r="X501" s="3">
        <f t="shared" ca="1" si="248"/>
        <v>9.8061413291883391E-5</v>
      </c>
      <c r="Y501" s="3">
        <f t="shared" ca="1" si="249"/>
        <v>1.3399790880932281E-4</v>
      </c>
      <c r="Z501" s="3">
        <f t="shared" ca="1" si="250"/>
        <v>9.916586438599273E-3</v>
      </c>
      <c r="AA501" s="3">
        <f t="shared" ca="1" si="251"/>
        <v>4.7878106354051569E-4</v>
      </c>
      <c r="AB501" s="3">
        <f t="shared" ca="1" si="252"/>
        <v>0.19438334263474091</v>
      </c>
      <c r="AC501" s="3">
        <f t="shared" ca="1" si="253"/>
        <v>6.152731538233011E-5</v>
      </c>
      <c r="AD501" s="3">
        <f t="shared" ca="1" si="254"/>
        <v>0.14049739612562928</v>
      </c>
      <c r="AE501" s="3">
        <f t="shared" ca="1" si="255"/>
        <v>1.6897348908322165</v>
      </c>
      <c r="AG501" s="3">
        <f t="shared" ca="1" si="256"/>
        <v>9.8061413291883391E-5</v>
      </c>
      <c r="AH501" s="3">
        <f t="shared" ca="1" si="257"/>
        <v>1.3399790880932281E-4</v>
      </c>
      <c r="AI501" s="3">
        <f t="shared" ca="1" si="258"/>
        <v>9.8086518338125674E-3</v>
      </c>
      <c r="AJ501" s="3">
        <f t="shared" ca="1" si="259"/>
        <v>4.1917928455395504E-4</v>
      </c>
      <c r="AK501" s="3">
        <f t="shared" ca="1" si="260"/>
        <v>0.19438334263474091</v>
      </c>
      <c r="AL501" s="3">
        <f t="shared" ca="1" si="261"/>
        <v>6.152731538233011E-5</v>
      </c>
      <c r="AM501" s="3">
        <f t="shared" ca="1" si="262"/>
        <v>0.14049739612562928</v>
      </c>
      <c r="AN501" s="3">
        <f t="shared" ca="1" si="263"/>
        <v>1.6897348908322165</v>
      </c>
      <c r="AP501" s="3">
        <f t="shared" ca="1" si="264"/>
        <v>8.6893482114225016</v>
      </c>
      <c r="AQ501" s="3">
        <f t="shared" ca="1" si="271"/>
        <v>0.40030995300644839</v>
      </c>
      <c r="AR501" s="3">
        <f t="shared" ca="1" si="265"/>
        <v>1.9622187890250758E-4</v>
      </c>
      <c r="AS501" s="3">
        <f t="shared" ca="1" si="266"/>
        <v>0.14042353730175497</v>
      </c>
      <c r="AT501" s="3">
        <f t="shared" ca="1" si="267"/>
        <v>0.70883073557021692</v>
      </c>
      <c r="AU501" s="3">
        <f t="shared" ca="1" si="268"/>
        <v>5.2954399017894671E-2</v>
      </c>
      <c r="AV501" s="10">
        <f t="shared" ca="1" si="272"/>
        <v>0.70883073557021692</v>
      </c>
      <c r="AW501" s="10">
        <f t="shared" ca="1" si="273"/>
        <v>0.70883073557021692</v>
      </c>
      <c r="AY501" s="3">
        <f t="shared" ca="1" si="279"/>
        <v>8.6927967588629205</v>
      </c>
      <c r="AZ501" s="3">
        <f t="shared" ca="1" si="274"/>
        <v>0.40047075158821904</v>
      </c>
      <c r="BA501" s="3">
        <f t="shared" ca="1" si="269"/>
        <v>1.678690431355343E-4</v>
      </c>
      <c r="BB501" s="3">
        <f t="shared" ca="1" si="275"/>
        <v>0.14032952708249374</v>
      </c>
      <c r="BC501" s="3">
        <f t="shared" ca="1" si="276"/>
        <v>0.70851654785514506</v>
      </c>
      <c r="BD501" s="3">
        <f t="shared" ca="1" si="270"/>
        <v>5.2419148626818811E-2</v>
      </c>
      <c r="BE501" s="3">
        <f t="shared" ca="1" si="277"/>
        <v>0.70851654785514506</v>
      </c>
      <c r="BF501" s="3">
        <f t="shared" ca="1" si="278"/>
        <v>0.70851654785514506</v>
      </c>
    </row>
    <row r="502" spans="1:58" ht="15" x14ac:dyDescent="0.25">
      <c r="A502" s="72">
        <v>436</v>
      </c>
      <c r="B502" s="72">
        <v>1498730349.1960001</v>
      </c>
      <c r="C502" s="73">
        <v>2.2761630008974899E-4</v>
      </c>
      <c r="D502" s="73">
        <v>-7.3935491645478495E-5</v>
      </c>
      <c r="E502" s="73">
        <v>1.14139533349167E-2</v>
      </c>
      <c r="F502" s="73">
        <v>4.6376754224542398E-4</v>
      </c>
      <c r="G502" s="73">
        <v>0.20887410316890401</v>
      </c>
      <c r="H502" s="73">
        <v>-4.2445387238853801E-5</v>
      </c>
      <c r="I502" s="73">
        <v>0.15084698155103701</v>
      </c>
      <c r="J502" s="73">
        <v>1.8109971321306999</v>
      </c>
      <c r="K502" s="73"/>
      <c r="L502" s="73"/>
      <c r="M502" s="73"/>
      <c r="O502" s="13">
        <f t="shared" ca="1" si="240"/>
        <v>-3.7070929181812597E-5</v>
      </c>
      <c r="P502" s="13">
        <f t="shared" ca="1" si="241"/>
        <v>-8.5222967030318674E-5</v>
      </c>
      <c r="Q502" s="13">
        <f t="shared" ca="1" si="242"/>
        <v>1.0573213716944014E-2</v>
      </c>
      <c r="R502" s="13">
        <f t="shared" ca="1" si="243"/>
        <v>4.5399126335474285E-4</v>
      </c>
      <c r="S502" s="13">
        <f t="shared" ca="1" si="244"/>
        <v>0.20773902453566265</v>
      </c>
      <c r="T502" s="13">
        <f t="shared" ca="1" si="245"/>
        <v>-4.279520874987789E-5</v>
      </c>
      <c r="U502" s="13">
        <f t="shared" ca="1" si="246"/>
        <v>0.1501931375562485</v>
      </c>
      <c r="V502" s="13">
        <f t="shared" ca="1" si="247"/>
        <v>1.8038583512082458</v>
      </c>
      <c r="X502" s="3">
        <f t="shared" ca="1" si="248"/>
        <v>-3.7070929181812597E-5</v>
      </c>
      <c r="Y502" s="3">
        <f t="shared" ca="1" si="249"/>
        <v>-8.5222967030318674E-5</v>
      </c>
      <c r="Z502" s="3">
        <f t="shared" ca="1" si="250"/>
        <v>1.0573213716944014E-2</v>
      </c>
      <c r="AA502" s="3">
        <f t="shared" ca="1" si="251"/>
        <v>4.5399126335474285E-4</v>
      </c>
      <c r="AB502" s="3">
        <f t="shared" ca="1" si="252"/>
        <v>0.20773902453566265</v>
      </c>
      <c r="AC502" s="3">
        <f t="shared" ca="1" si="253"/>
        <v>-4.279520874987789E-5</v>
      </c>
      <c r="AD502" s="3">
        <f t="shared" ca="1" si="254"/>
        <v>0.1501931375562485</v>
      </c>
      <c r="AE502" s="3">
        <f t="shared" ca="1" si="255"/>
        <v>1.8038583512082458</v>
      </c>
      <c r="AG502" s="3">
        <f t="shared" ca="1" si="256"/>
        <v>-3.7070929181812597E-5</v>
      </c>
      <c r="AH502" s="3">
        <f t="shared" ca="1" si="257"/>
        <v>-8.5222967030318674E-5</v>
      </c>
      <c r="AI502" s="3">
        <f t="shared" ca="1" si="258"/>
        <v>1.0573213716944014E-2</v>
      </c>
      <c r="AJ502" s="3">
        <f t="shared" ca="1" si="259"/>
        <v>4.5399126335474285E-4</v>
      </c>
      <c r="AK502" s="3">
        <f t="shared" ca="1" si="260"/>
        <v>0.20773902453566265</v>
      </c>
      <c r="AL502" s="3">
        <f t="shared" ca="1" si="261"/>
        <v>-4.279520874987789E-5</v>
      </c>
      <c r="AM502" s="3">
        <f t="shared" ca="1" si="262"/>
        <v>0.1501931375562485</v>
      </c>
      <c r="AN502" s="3">
        <f t="shared" ca="1" si="263"/>
        <v>1.8038583512082458</v>
      </c>
      <c r="AP502" s="3">
        <f t="shared" ca="1" si="264"/>
        <v>8.6832907550241085</v>
      </c>
      <c r="AQ502" s="3">
        <f t="shared" ca="1" si="271"/>
        <v>0.40002750830990619</v>
      </c>
      <c r="AR502" s="3">
        <f t="shared" ca="1" si="265"/>
        <v>1.8160899387426421E-4</v>
      </c>
      <c r="AS502" s="3">
        <f t="shared" ca="1" si="266"/>
        <v>0.15001152856237424</v>
      </c>
      <c r="AT502" s="3">
        <f t="shared" ca="1" si="267"/>
        <v>0.70909729614415484</v>
      </c>
      <c r="AU502" s="3">
        <f t="shared" ca="1" si="268"/>
        <v>5.281318776447249E-2</v>
      </c>
      <c r="AV502" s="10">
        <f t="shared" ca="1" si="272"/>
        <v>0.70909729614415484</v>
      </c>
      <c r="AW502" s="10">
        <f t="shared" ca="1" si="273"/>
        <v>0.70909729614415484</v>
      </c>
      <c r="AY502" s="3">
        <f t="shared" ca="1" si="279"/>
        <v>8.6832907550241085</v>
      </c>
      <c r="AZ502" s="3">
        <f t="shared" ca="1" si="274"/>
        <v>0.40002750830990619</v>
      </c>
      <c r="BA502" s="3">
        <f t="shared" ca="1" si="269"/>
        <v>1.8160899387426421E-4</v>
      </c>
      <c r="BB502" s="3">
        <f t="shared" ca="1" si="275"/>
        <v>0.15001152856237424</v>
      </c>
      <c r="BC502" s="3">
        <f t="shared" ca="1" si="276"/>
        <v>0.70909729614415484</v>
      </c>
      <c r="BD502" s="3">
        <f t="shared" ca="1" si="270"/>
        <v>5.281318776447249E-2</v>
      </c>
      <c r="BE502" s="3">
        <f t="shared" ca="1" si="277"/>
        <v>0.70909729614415484</v>
      </c>
      <c r="BF502" s="3">
        <f t="shared" ca="1" si="278"/>
        <v>0.70909729614415484</v>
      </c>
    </row>
    <row r="503" spans="1:58" ht="15" x14ac:dyDescent="0.25">
      <c r="A503" s="72">
        <v>437</v>
      </c>
      <c r="B503" s="72">
        <v>1498730349.723</v>
      </c>
      <c r="C503" s="73">
        <v>2.4950269196298601E-4</v>
      </c>
      <c r="D503" s="73">
        <v>8.2666607509846293E-6</v>
      </c>
      <c r="E503" s="73">
        <v>1.17210115579163E-2</v>
      </c>
      <c r="F503" s="73">
        <v>5.4637282529918201E-4</v>
      </c>
      <c r="G503" s="73">
        <v>0.21389278430067801</v>
      </c>
      <c r="H503" s="73">
        <v>-9.3131437249958605E-6</v>
      </c>
      <c r="I503" s="73">
        <v>0.15466040167334</v>
      </c>
      <c r="J503" s="73">
        <v>1.8558235890196499</v>
      </c>
      <c r="K503" s="73"/>
      <c r="L503" s="73"/>
      <c r="M503" s="73"/>
      <c r="O503" s="13">
        <f t="shared" ca="1" si="240"/>
        <v>-1.5184537308575571E-5</v>
      </c>
      <c r="P503" s="13">
        <f t="shared" ca="1" si="241"/>
        <v>-3.0208146338555439E-6</v>
      </c>
      <c r="Q503" s="13">
        <f t="shared" ca="1" si="242"/>
        <v>1.0880271939943615E-2</v>
      </c>
      <c r="R503" s="13">
        <f t="shared" ca="1" si="243"/>
        <v>5.3659654640850088E-4</v>
      </c>
      <c r="S503" s="13">
        <f t="shared" ca="1" si="244"/>
        <v>0.21275770566743665</v>
      </c>
      <c r="T503" s="13">
        <f t="shared" ca="1" si="245"/>
        <v>-9.6629652360199469E-6</v>
      </c>
      <c r="U503" s="13">
        <f t="shared" ca="1" si="246"/>
        <v>0.15400655767855148</v>
      </c>
      <c r="V503" s="13">
        <f t="shared" ca="1" si="247"/>
        <v>1.8486848080971958</v>
      </c>
      <c r="X503" s="3">
        <f t="shared" ca="1" si="248"/>
        <v>-1.5184537308575571E-5</v>
      </c>
      <c r="Y503" s="3">
        <f t="shared" ca="1" si="249"/>
        <v>-3.0208146338555439E-6</v>
      </c>
      <c r="Z503" s="3">
        <f t="shared" ca="1" si="250"/>
        <v>1.0880271939943615E-2</v>
      </c>
      <c r="AA503" s="3">
        <f t="shared" ca="1" si="251"/>
        <v>5.3659654640850088E-4</v>
      </c>
      <c r="AB503" s="3">
        <f t="shared" ca="1" si="252"/>
        <v>0.21275770566743665</v>
      </c>
      <c r="AC503" s="3">
        <f t="shared" ca="1" si="253"/>
        <v>-9.6629652360199469E-6</v>
      </c>
      <c r="AD503" s="3">
        <f t="shared" ca="1" si="254"/>
        <v>0.15400655767855148</v>
      </c>
      <c r="AE503" s="3">
        <f t="shared" ca="1" si="255"/>
        <v>1.8486848080971958</v>
      </c>
      <c r="AG503" s="3">
        <f t="shared" ca="1" si="256"/>
        <v>-1.5184537308575571E-5</v>
      </c>
      <c r="AH503" s="3">
        <f t="shared" ca="1" si="257"/>
        <v>-3.0208146338555439E-6</v>
      </c>
      <c r="AI503" s="3">
        <f t="shared" ca="1" si="258"/>
        <v>1.0880271939943615E-2</v>
      </c>
      <c r="AJ503" s="3">
        <f t="shared" ca="1" si="259"/>
        <v>5.3659654640850088E-4</v>
      </c>
      <c r="AK503" s="3">
        <f t="shared" ca="1" si="260"/>
        <v>0.21275770566743665</v>
      </c>
      <c r="AL503" s="3">
        <f t="shared" ca="1" si="261"/>
        <v>-9.6629652360199469E-6</v>
      </c>
      <c r="AM503" s="3">
        <f t="shared" ca="1" si="262"/>
        <v>0.15400655767855148</v>
      </c>
      <c r="AN503" s="3">
        <f t="shared" ca="1" si="263"/>
        <v>1.8486848080971958</v>
      </c>
      <c r="AP503" s="3">
        <f t="shared" ca="1" si="264"/>
        <v>8.6891555927327513</v>
      </c>
      <c r="AQ503" s="3">
        <f t="shared" ca="1" si="271"/>
        <v>0.40030097162110545</v>
      </c>
      <c r="AR503" s="3">
        <f t="shared" ca="1" si="265"/>
        <v>2.1480011889585252E-4</v>
      </c>
      <c r="AS503" s="3">
        <f t="shared" ca="1" si="266"/>
        <v>0.15379175755965563</v>
      </c>
      <c r="AT503" s="3">
        <f t="shared" ca="1" si="267"/>
        <v>0.70957674489840483</v>
      </c>
      <c r="AU503" s="3">
        <f t="shared" ca="1" si="268"/>
        <v>5.3101643104419546E-2</v>
      </c>
      <c r="AV503" s="10" t="str">
        <f t="shared" ca="1" si="272"/>
        <v>rejected</v>
      </c>
      <c r="AW503" s="10" t="e">
        <f t="shared" ca="1" si="273"/>
        <v>#N/A</v>
      </c>
      <c r="AY503" s="3">
        <f t="shared" ca="1" si="279"/>
        <v>8.6891555927327513</v>
      </c>
      <c r="AZ503" s="3">
        <f t="shared" ca="1" si="274"/>
        <v>0.40030097162110545</v>
      </c>
      <c r="BA503" s="3">
        <f t="shared" ca="1" si="269"/>
        <v>2.1480011889585252E-4</v>
      </c>
      <c r="BB503" s="3">
        <f t="shared" ca="1" si="275"/>
        <v>0.15379175755965563</v>
      </c>
      <c r="BC503" s="3">
        <f t="shared" ca="1" si="276"/>
        <v>0.70957674489840483</v>
      </c>
      <c r="BD503" s="3">
        <f t="shared" ca="1" si="270"/>
        <v>5.3101643104419546E-2</v>
      </c>
      <c r="BE503" s="3" t="str">
        <f t="shared" ca="1" si="277"/>
        <v>rejected</v>
      </c>
      <c r="BF503" s="3" t="e">
        <f t="shared" ca="1" si="278"/>
        <v>#N/A</v>
      </c>
    </row>
    <row r="504" spans="1:58" ht="15" x14ac:dyDescent="0.25">
      <c r="A504" s="72">
        <v>438</v>
      </c>
      <c r="B504" s="72">
        <v>1498730350.2490001</v>
      </c>
      <c r="C504" s="73">
        <v>2.7376860024041398E-4</v>
      </c>
      <c r="D504" s="73">
        <v>1.30637651893314E-4</v>
      </c>
      <c r="E504" s="73">
        <v>1.2203926532464601E-2</v>
      </c>
      <c r="F504" s="73">
        <v>6.9065088504371595E-4</v>
      </c>
      <c r="G504" s="73">
        <v>0.221821077626943</v>
      </c>
      <c r="H504" s="73">
        <v>8.1757161975448106E-5</v>
      </c>
      <c r="I504" s="73">
        <v>0.16026430912168099</v>
      </c>
      <c r="J504" s="73">
        <v>1.92432556619196</v>
      </c>
      <c r="K504" s="73"/>
      <c r="L504" s="73"/>
      <c r="M504" s="73"/>
      <c r="O504" s="13">
        <f t="shared" ca="1" si="240"/>
        <v>9.0813709688524012E-6</v>
      </c>
      <c r="P504" s="13">
        <f t="shared" ca="1" si="241"/>
        <v>1.1935017650847383E-4</v>
      </c>
      <c r="Q504" s="13">
        <f t="shared" ca="1" si="242"/>
        <v>1.1363186914491915E-2</v>
      </c>
      <c r="R504" s="13">
        <f t="shared" ca="1" si="243"/>
        <v>6.8087460615303482E-4</v>
      </c>
      <c r="S504" s="13">
        <f t="shared" ca="1" si="244"/>
        <v>0.22068599899370164</v>
      </c>
      <c r="T504" s="13">
        <f t="shared" ca="1" si="245"/>
        <v>8.1407340464424016E-5</v>
      </c>
      <c r="U504" s="13">
        <f t="shared" ca="1" si="246"/>
        <v>0.15961046512689248</v>
      </c>
      <c r="V504" s="13">
        <f t="shared" ca="1" si="247"/>
        <v>1.9171867852695059</v>
      </c>
      <c r="X504" s="3">
        <f t="shared" ca="1" si="248"/>
        <v>9.0813709688524012E-6</v>
      </c>
      <c r="Y504" s="3">
        <f t="shared" ca="1" si="249"/>
        <v>1.1935017650847383E-4</v>
      </c>
      <c r="Z504" s="3">
        <f t="shared" ca="1" si="250"/>
        <v>1.1362564087419617E-2</v>
      </c>
      <c r="AA504" s="3">
        <f t="shared" ca="1" si="251"/>
        <v>6.6579935997127285E-4</v>
      </c>
      <c r="AB504" s="3">
        <f t="shared" ca="1" si="252"/>
        <v>0.22057636727381644</v>
      </c>
      <c r="AC504" s="3">
        <f t="shared" ca="1" si="253"/>
        <v>8.1407340464424016E-5</v>
      </c>
      <c r="AD504" s="3">
        <f t="shared" ca="1" si="254"/>
        <v>0.15944856547599678</v>
      </c>
      <c r="AE504" s="3">
        <f t="shared" ca="1" si="255"/>
        <v>1.9171210901574562</v>
      </c>
      <c r="AG504" s="3">
        <f t="shared" ca="1" si="256"/>
        <v>9.0813709688524012E-6</v>
      </c>
      <c r="AH504" s="3">
        <f t="shared" ca="1" si="257"/>
        <v>1.1935017650847383E-4</v>
      </c>
      <c r="AI504" s="3">
        <f t="shared" ca="1" si="258"/>
        <v>1.1266428153305924E-2</v>
      </c>
      <c r="AJ504" s="3">
        <f t="shared" ca="1" si="259"/>
        <v>6.1271283865557496E-4</v>
      </c>
      <c r="AK504" s="3">
        <f t="shared" ca="1" si="260"/>
        <v>0.22057636727381644</v>
      </c>
      <c r="AL504" s="3">
        <f t="shared" ca="1" si="261"/>
        <v>8.1407340464424016E-5</v>
      </c>
      <c r="AM504" s="3">
        <f t="shared" ca="1" si="262"/>
        <v>0.15944856547599678</v>
      </c>
      <c r="AN504" s="3">
        <f t="shared" ca="1" si="263"/>
        <v>1.9171210901574562</v>
      </c>
      <c r="AP504" s="3">
        <f t="shared" ca="1" si="264"/>
        <v>8.6873965453704312</v>
      </c>
      <c r="AQ504" s="3">
        <f t="shared" ca="1" si="271"/>
        <v>0.40021895122787671</v>
      </c>
      <c r="AR504" s="3">
        <f t="shared" ca="1" si="265"/>
        <v>2.7249892079226121E-4</v>
      </c>
      <c r="AS504" s="3">
        <f t="shared" ca="1" si="266"/>
        <v>0.15933796620610022</v>
      </c>
      <c r="AT504" s="3">
        <f t="shared" ca="1" si="267"/>
        <v>0.70882720989293335</v>
      </c>
      <c r="AU504" s="3">
        <f t="shared" ca="1" si="268"/>
        <v>5.3455070237298077E-2</v>
      </c>
      <c r="AV504" s="10">
        <f t="shared" ca="1" si="272"/>
        <v>0.70882720989293335</v>
      </c>
      <c r="AW504" s="10">
        <f t="shared" ca="1" si="273"/>
        <v>0.70882720989293335</v>
      </c>
      <c r="AY504" s="3">
        <f t="shared" ca="1" si="279"/>
        <v>8.6914165549639488</v>
      </c>
      <c r="AZ504" s="3">
        <f t="shared" ca="1" si="274"/>
        <v>0.4004063954633163</v>
      </c>
      <c r="BA504" s="3">
        <f t="shared" ca="1" si="269"/>
        <v>2.4533413918017524E-4</v>
      </c>
      <c r="BB504" s="3">
        <f t="shared" ca="1" si="275"/>
        <v>0.1592032313368166</v>
      </c>
      <c r="BC504" s="3">
        <f t="shared" ca="1" si="276"/>
        <v>0.70841477254560947</v>
      </c>
      <c r="BD504" s="3">
        <f t="shared" ca="1" si="270"/>
        <v>5.3051344790310123E-2</v>
      </c>
      <c r="BE504" s="3">
        <f t="shared" ca="1" si="277"/>
        <v>0.70841477254560947</v>
      </c>
      <c r="BF504" s="3">
        <f t="shared" ca="1" si="278"/>
        <v>0.70841477254560947</v>
      </c>
    </row>
    <row r="505" spans="1:58" ht="15" x14ac:dyDescent="0.25">
      <c r="A505" s="72">
        <v>439</v>
      </c>
      <c r="B505" s="72">
        <v>1498730350.776</v>
      </c>
      <c r="C505" s="73">
        <v>4.0700370136228999E-4</v>
      </c>
      <c r="D505" s="73">
        <v>3.4251516408893398E-5</v>
      </c>
      <c r="E505" s="73">
        <v>1.19419779201216E-2</v>
      </c>
      <c r="F505" s="73">
        <v>4.8495383669095799E-4</v>
      </c>
      <c r="G505" s="73">
        <v>0.217953613369988</v>
      </c>
      <c r="H505" s="73">
        <v>3.0138815030499699E-5</v>
      </c>
      <c r="I505" s="73">
        <v>0.15756591657805399</v>
      </c>
      <c r="J505" s="73">
        <v>1.893219994114</v>
      </c>
      <c r="K505" s="73"/>
      <c r="L505" s="73"/>
      <c r="M505" s="73"/>
      <c r="O505" s="13">
        <f t="shared" ca="1" si="240"/>
        <v>1.423164720907284E-4</v>
      </c>
      <c r="P505" s="13">
        <f t="shared" ca="1" si="241"/>
        <v>2.2964041024053226E-5</v>
      </c>
      <c r="Q505" s="13">
        <f t="shared" ca="1" si="242"/>
        <v>1.1101238302148915E-2</v>
      </c>
      <c r="R505" s="13">
        <f t="shared" ca="1" si="243"/>
        <v>4.7517755780027686E-4</v>
      </c>
      <c r="S505" s="13">
        <f t="shared" ca="1" si="244"/>
        <v>0.21681853473674664</v>
      </c>
      <c r="T505" s="13">
        <f t="shared" ca="1" si="245"/>
        <v>2.9788993519475613E-5</v>
      </c>
      <c r="U505" s="13">
        <f t="shared" ca="1" si="246"/>
        <v>0.15691207258326548</v>
      </c>
      <c r="V505" s="13">
        <f t="shared" ca="1" si="247"/>
        <v>1.8860812131915459</v>
      </c>
      <c r="X505" s="3">
        <f t="shared" ca="1" si="248"/>
        <v>1.423164720907284E-4</v>
      </c>
      <c r="Y505" s="3">
        <f t="shared" ca="1" si="249"/>
        <v>2.2964041024053226E-5</v>
      </c>
      <c r="Z505" s="3">
        <f t="shared" ca="1" si="250"/>
        <v>1.1101010394057155E-2</v>
      </c>
      <c r="AA505" s="3">
        <f t="shared" ca="1" si="251"/>
        <v>4.6966114603383109E-4</v>
      </c>
      <c r="AB505" s="3">
        <f t="shared" ca="1" si="252"/>
        <v>0.21677841773286766</v>
      </c>
      <c r="AC505" s="3">
        <f t="shared" ca="1" si="253"/>
        <v>2.9788993519475613E-5</v>
      </c>
      <c r="AD505" s="3">
        <f t="shared" ca="1" si="254"/>
        <v>0.15685282942873147</v>
      </c>
      <c r="AE505" s="3">
        <f t="shared" ca="1" si="255"/>
        <v>1.8860571736976139</v>
      </c>
      <c r="AG505" s="3">
        <f t="shared" ca="1" si="256"/>
        <v>1.423164720907284E-4</v>
      </c>
      <c r="AH505" s="3">
        <f t="shared" ca="1" si="257"/>
        <v>2.2964041024053226E-5</v>
      </c>
      <c r="AI505" s="3">
        <f t="shared" ca="1" si="258"/>
        <v>1.108251298081943E-2</v>
      </c>
      <c r="AJ505" s="3">
        <f t="shared" ca="1" si="259"/>
        <v>4.5944682470661118E-4</v>
      </c>
      <c r="AK505" s="3">
        <f t="shared" ca="1" si="260"/>
        <v>0.21677841773286766</v>
      </c>
      <c r="AL505" s="3">
        <f t="shared" ca="1" si="261"/>
        <v>2.9788993519475613E-5</v>
      </c>
      <c r="AM505" s="3">
        <f t="shared" ca="1" si="262"/>
        <v>0.15685282942873147</v>
      </c>
      <c r="AN505" s="3">
        <f t="shared" ca="1" si="263"/>
        <v>1.8860571736976139</v>
      </c>
      <c r="AP505" s="3">
        <f t="shared" ca="1" si="264"/>
        <v>8.6988929036051221</v>
      </c>
      <c r="AQ505" s="3">
        <f t="shared" ca="1" si="271"/>
        <v>0.40075500400820674</v>
      </c>
      <c r="AR505" s="3">
        <f t="shared" ca="1" si="265"/>
        <v>1.9042978408085985E-4</v>
      </c>
      <c r="AS505" s="3">
        <f t="shared" ca="1" si="266"/>
        <v>0.15672164279918463</v>
      </c>
      <c r="AT505" s="3">
        <f t="shared" ca="1" si="267"/>
        <v>0.7091518324522712</v>
      </c>
      <c r="AU505" s="3">
        <f t="shared" ca="1" si="268"/>
        <v>5.322629630114039E-2</v>
      </c>
      <c r="AV505" s="10">
        <f t="shared" ca="1" si="272"/>
        <v>0.7091518324522712</v>
      </c>
      <c r="AW505" s="10">
        <f t="shared" ca="1" si="273"/>
        <v>0.7091518324522712</v>
      </c>
      <c r="AY505" s="3">
        <f t="shared" ca="1" si="279"/>
        <v>8.7003918260062676</v>
      </c>
      <c r="AZ505" s="3">
        <f t="shared" ca="1" si="274"/>
        <v>0.40082489647210251</v>
      </c>
      <c r="BA505" s="3">
        <f t="shared" ca="1" si="269"/>
        <v>1.8415772594746366E-4</v>
      </c>
      <c r="BB505" s="3">
        <f t="shared" ca="1" si="275"/>
        <v>0.15666867170278401</v>
      </c>
      <c r="BC505" s="3">
        <f t="shared" ca="1" si="276"/>
        <v>0.7089818147521102</v>
      </c>
      <c r="BD505" s="3">
        <f t="shared" ca="1" si="270"/>
        <v>5.3155719498750587E-2</v>
      </c>
      <c r="BE505" s="3">
        <f t="shared" ca="1" si="277"/>
        <v>0.7089818147521102</v>
      </c>
      <c r="BF505" s="3">
        <f t="shared" ca="1" si="278"/>
        <v>0.7089818147521102</v>
      </c>
    </row>
    <row r="506" spans="1:58" ht="15" x14ac:dyDescent="0.25">
      <c r="A506" s="72">
        <v>440</v>
      </c>
      <c r="B506" s="72">
        <v>1498730351.303</v>
      </c>
      <c r="C506" s="73">
        <v>4.38173763949961E-4</v>
      </c>
      <c r="D506" s="73">
        <v>8.59870279957673E-5</v>
      </c>
      <c r="E506" s="73">
        <v>1.19369225942422E-2</v>
      </c>
      <c r="F506" s="73">
        <v>6.53269915733E-4</v>
      </c>
      <c r="G506" s="73">
        <v>0.21970044727030499</v>
      </c>
      <c r="H506" s="73">
        <v>4.5900360899273598E-5</v>
      </c>
      <c r="I506" s="73">
        <v>0.15877709715177701</v>
      </c>
      <c r="J506" s="73">
        <v>1.9062394725124501</v>
      </c>
      <c r="K506" s="73"/>
      <c r="L506" s="73"/>
      <c r="M506" s="73"/>
      <c r="O506" s="13">
        <f t="shared" ca="1" si="240"/>
        <v>1.7348653467839941E-4</v>
      </c>
      <c r="P506" s="13">
        <f t="shared" ca="1" si="241"/>
        <v>7.4699552610927122E-5</v>
      </c>
      <c r="Q506" s="13">
        <f t="shared" ca="1" si="242"/>
        <v>1.1096182976269514E-2</v>
      </c>
      <c r="R506" s="13">
        <f t="shared" ca="1" si="243"/>
        <v>6.4349363684231887E-4</v>
      </c>
      <c r="S506" s="13">
        <f t="shared" ca="1" si="244"/>
        <v>0.21856536863706363</v>
      </c>
      <c r="T506" s="13">
        <f t="shared" ca="1" si="245"/>
        <v>4.5550539388249508E-5</v>
      </c>
      <c r="U506" s="13">
        <f t="shared" ca="1" si="246"/>
        <v>0.1581232531569885</v>
      </c>
      <c r="V506" s="13">
        <f t="shared" ca="1" si="247"/>
        <v>1.8991006915899959</v>
      </c>
      <c r="X506" s="3">
        <f t="shared" ca="1" si="248"/>
        <v>1.7348653467839941E-4</v>
      </c>
      <c r="Y506" s="3">
        <f t="shared" ca="1" si="249"/>
        <v>7.4699552610927122E-5</v>
      </c>
      <c r="Z506" s="3">
        <f t="shared" ca="1" si="250"/>
        <v>1.1095834480557372E-2</v>
      </c>
      <c r="AA506" s="3">
        <f t="shared" ca="1" si="251"/>
        <v>6.3505845653704903E-4</v>
      </c>
      <c r="AB506" s="3">
        <f t="shared" ca="1" si="252"/>
        <v>0.21850402547136943</v>
      </c>
      <c r="AC506" s="3">
        <f t="shared" ca="1" si="253"/>
        <v>4.5550539388249508E-5</v>
      </c>
      <c r="AD506" s="3">
        <f t="shared" ca="1" si="254"/>
        <v>0.15803266407272415</v>
      </c>
      <c r="AE506" s="3">
        <f t="shared" ca="1" si="255"/>
        <v>1.8990639326469823</v>
      </c>
      <c r="AG506" s="3">
        <f t="shared" ca="1" si="256"/>
        <v>1.7348653467839941E-4</v>
      </c>
      <c r="AH506" s="3">
        <f t="shared" ca="1" si="257"/>
        <v>7.4699552610927122E-5</v>
      </c>
      <c r="AI506" s="3">
        <f t="shared" ca="1" si="258"/>
        <v>1.1035664387154816E-2</v>
      </c>
      <c r="AJ506" s="3">
        <f t="shared" ca="1" si="259"/>
        <v>6.018323691699179E-4</v>
      </c>
      <c r="AK506" s="3">
        <f t="shared" ca="1" si="260"/>
        <v>0.21850402547136943</v>
      </c>
      <c r="AL506" s="3">
        <f t="shared" ca="1" si="261"/>
        <v>4.5550539388249508E-5</v>
      </c>
      <c r="AM506" s="3">
        <f t="shared" ca="1" si="262"/>
        <v>0.15803266407272415</v>
      </c>
      <c r="AN506" s="3">
        <f t="shared" ca="1" si="263"/>
        <v>1.8990639326469823</v>
      </c>
      <c r="AP506" s="3">
        <f t="shared" ca="1" si="264"/>
        <v>8.6889368770197404</v>
      </c>
      <c r="AQ506" s="3">
        <f t="shared" ca="1" si="271"/>
        <v>0.40029077339196312</v>
      </c>
      <c r="AR506" s="3">
        <f t="shared" ca="1" si="265"/>
        <v>2.5758456556441886E-4</v>
      </c>
      <c r="AS506" s="3">
        <f t="shared" ca="1" si="266"/>
        <v>0.15786566859142409</v>
      </c>
      <c r="AT506" s="3">
        <f t="shared" ca="1" si="267"/>
        <v>0.70902812181953045</v>
      </c>
      <c r="AU506" s="3">
        <f t="shared" ca="1" si="268"/>
        <v>5.2715044998366226E-2</v>
      </c>
      <c r="AV506" s="10">
        <f t="shared" ca="1" si="272"/>
        <v>0.70902812181953045</v>
      </c>
      <c r="AW506" s="10">
        <f t="shared" ca="1" si="273"/>
        <v>0.70902812181953045</v>
      </c>
      <c r="AY506" s="3">
        <f t="shared" ca="1" si="279"/>
        <v>8.6912079928514476</v>
      </c>
      <c r="AZ506" s="3">
        <f t="shared" ca="1" si="274"/>
        <v>0.4003966706433143</v>
      </c>
      <c r="BA506" s="3">
        <f t="shared" ca="1" si="269"/>
        <v>2.4097167690101317E-4</v>
      </c>
      <c r="BB506" s="3">
        <f t="shared" ca="1" si="275"/>
        <v>0.15779169239582314</v>
      </c>
      <c r="BC506" s="3">
        <f t="shared" ca="1" si="276"/>
        <v>0.70880153709915272</v>
      </c>
      <c r="BD506" s="3">
        <f t="shared" ca="1" si="270"/>
        <v>5.2456281809808956E-2</v>
      </c>
      <c r="BE506" s="3">
        <f t="shared" ca="1" si="277"/>
        <v>0.70880153709915272</v>
      </c>
      <c r="BF506" s="3">
        <f t="shared" ca="1" si="278"/>
        <v>0.70880153709915272</v>
      </c>
    </row>
    <row r="507" spans="1:58" ht="15" x14ac:dyDescent="0.25">
      <c r="A507" s="72">
        <v>441</v>
      </c>
      <c r="B507" s="72">
        <v>1498730351.829</v>
      </c>
      <c r="C507" s="73">
        <v>3.5180414556184301E-4</v>
      </c>
      <c r="D507" s="73">
        <v>5.1260154073391998E-5</v>
      </c>
      <c r="E507" s="73">
        <v>1.24274069291587E-2</v>
      </c>
      <c r="F507" s="73">
        <v>5.5351481325835905E-4</v>
      </c>
      <c r="G507" s="73">
        <v>0.226764501509367</v>
      </c>
      <c r="H507" s="73">
        <v>-3.4790224540986302E-6</v>
      </c>
      <c r="I507" s="73">
        <v>0.163839419257231</v>
      </c>
      <c r="J507" s="73">
        <v>1.96923706429233</v>
      </c>
      <c r="K507" s="73"/>
      <c r="L507" s="73"/>
      <c r="M507" s="73"/>
      <c r="O507" s="13">
        <f t="shared" ca="1" si="240"/>
        <v>8.7116916290281426E-5</v>
      </c>
      <c r="P507" s="13">
        <f t="shared" ca="1" si="241"/>
        <v>3.9972678688551827E-5</v>
      </c>
      <c r="Q507" s="13">
        <f t="shared" ca="1" si="242"/>
        <v>1.1586667311186015E-2</v>
      </c>
      <c r="R507" s="13">
        <f t="shared" ca="1" si="243"/>
        <v>5.4373853436767792E-4</v>
      </c>
      <c r="S507" s="13">
        <f t="shared" ca="1" si="244"/>
        <v>0.22562942287612564</v>
      </c>
      <c r="T507" s="13">
        <f t="shared" ca="1" si="245"/>
        <v>-3.8288439651227171E-6</v>
      </c>
      <c r="U507" s="13">
        <f t="shared" ca="1" si="246"/>
        <v>0.16318557526244248</v>
      </c>
      <c r="V507" s="13">
        <f t="shared" ca="1" si="247"/>
        <v>1.9620982833698759</v>
      </c>
      <c r="X507" s="3">
        <f t="shared" ca="1" si="248"/>
        <v>8.7116916290281426E-5</v>
      </c>
      <c r="Y507" s="3">
        <f t="shared" ca="1" si="249"/>
        <v>3.9972678688551827E-5</v>
      </c>
      <c r="Z507" s="3">
        <f t="shared" ca="1" si="250"/>
        <v>1.1586667311186015E-2</v>
      </c>
      <c r="AA507" s="3">
        <f t="shared" ca="1" si="251"/>
        <v>5.4373853436767792E-4</v>
      </c>
      <c r="AB507" s="3">
        <f t="shared" ca="1" si="252"/>
        <v>0.22562942287612564</v>
      </c>
      <c r="AC507" s="3">
        <f t="shared" ca="1" si="253"/>
        <v>-3.8288439651227171E-6</v>
      </c>
      <c r="AD507" s="3">
        <f t="shared" ca="1" si="254"/>
        <v>0.16318557526244248</v>
      </c>
      <c r="AE507" s="3">
        <f t="shared" ca="1" si="255"/>
        <v>1.9620982833698759</v>
      </c>
      <c r="AG507" s="3">
        <f t="shared" ca="1" si="256"/>
        <v>8.7116916290281426E-5</v>
      </c>
      <c r="AH507" s="3">
        <f t="shared" ca="1" si="257"/>
        <v>3.9972678688551827E-5</v>
      </c>
      <c r="AI507" s="3">
        <f t="shared" ca="1" si="258"/>
        <v>1.1554469530527705E-2</v>
      </c>
      <c r="AJ507" s="3">
        <f t="shared" ca="1" si="259"/>
        <v>5.2595883331214832E-4</v>
      </c>
      <c r="AK507" s="3">
        <f t="shared" ca="1" si="260"/>
        <v>0.22562942287612564</v>
      </c>
      <c r="AL507" s="3">
        <f t="shared" ca="1" si="261"/>
        <v>-3.8288439651227171E-6</v>
      </c>
      <c r="AM507" s="3">
        <f t="shared" ca="1" si="262"/>
        <v>0.16318557526244248</v>
      </c>
      <c r="AN507" s="3">
        <f t="shared" ca="1" si="263"/>
        <v>1.9620982833698759</v>
      </c>
      <c r="AP507" s="3">
        <f t="shared" ca="1" si="264"/>
        <v>8.6961100124211228</v>
      </c>
      <c r="AQ507" s="3">
        <f t="shared" ca="1" si="271"/>
        <v>0.40062524242693592</v>
      </c>
      <c r="AR507" s="3">
        <f t="shared" ca="1" si="265"/>
        <v>2.1783538214791779E-4</v>
      </c>
      <c r="AS507" s="3">
        <f t="shared" ca="1" si="266"/>
        <v>0.16296773988029456</v>
      </c>
      <c r="AT507" s="3">
        <f t="shared" ca="1" si="267"/>
        <v>0.7087328255182771</v>
      </c>
      <c r="AU507" s="3">
        <f t="shared" ca="1" si="268"/>
        <v>5.336688352663313E-2</v>
      </c>
      <c r="AV507" s="10">
        <f t="shared" ca="1" si="272"/>
        <v>0.7087328255182771</v>
      </c>
      <c r="AW507" s="10">
        <f t="shared" ca="1" si="273"/>
        <v>0.7087328255182771</v>
      </c>
      <c r="AY507" s="3">
        <f t="shared" ca="1" si="279"/>
        <v>8.6961100124211228</v>
      </c>
      <c r="AZ507" s="3">
        <f t="shared" ca="1" si="274"/>
        <v>0.40062524242693592</v>
      </c>
      <c r="BA507" s="3">
        <f t="shared" ca="1" si="269"/>
        <v>2.1071238510226781E-4</v>
      </c>
      <c r="BB507" s="3">
        <f t="shared" ca="1" si="275"/>
        <v>0.16297486287734023</v>
      </c>
      <c r="BC507" s="3">
        <f t="shared" ca="1" si="276"/>
        <v>0.70876380282597029</v>
      </c>
      <c r="BD507" s="3">
        <f t="shared" ca="1" si="270"/>
        <v>5.3218584178420271E-2</v>
      </c>
      <c r="BE507" s="3">
        <f t="shared" ca="1" si="277"/>
        <v>0.70876380282597029</v>
      </c>
      <c r="BF507" s="3">
        <f t="shared" ca="1" si="278"/>
        <v>0.70876380282597029</v>
      </c>
    </row>
    <row r="508" spans="1:58" ht="15" x14ac:dyDescent="0.25">
      <c r="A508" s="72">
        <v>442</v>
      </c>
      <c r="B508" s="72">
        <v>1498730352.3559999</v>
      </c>
      <c r="C508" s="73">
        <v>3.88206958298283E-4</v>
      </c>
      <c r="D508" s="73">
        <v>6.0945758590282103E-5</v>
      </c>
      <c r="E508" s="73">
        <v>1.2841987871786E-2</v>
      </c>
      <c r="F508" s="73">
        <v>6.3017536624018799E-4</v>
      </c>
      <c r="G508" s="73">
        <v>0.23370603576500301</v>
      </c>
      <c r="H508" s="73">
        <v>4.2095620528532003E-5</v>
      </c>
      <c r="I508" s="73">
        <v>0.16889264164352299</v>
      </c>
      <c r="J508" s="73">
        <v>2.0275247414283002</v>
      </c>
      <c r="K508" s="73"/>
      <c r="L508" s="73"/>
      <c r="M508" s="73"/>
      <c r="O508" s="13">
        <f t="shared" ca="1" si="240"/>
        <v>1.2351972902672142E-4</v>
      </c>
      <c r="P508" s="13">
        <f t="shared" ca="1" si="241"/>
        <v>4.9658283205441931E-5</v>
      </c>
      <c r="Q508" s="13">
        <f t="shared" ca="1" si="242"/>
        <v>1.2001248253813315E-2</v>
      </c>
      <c r="R508" s="13">
        <f t="shared" ca="1" si="243"/>
        <v>6.2039908734950685E-4</v>
      </c>
      <c r="S508" s="13">
        <f t="shared" ca="1" si="244"/>
        <v>0.23257095713176165</v>
      </c>
      <c r="T508" s="13">
        <f t="shared" ca="1" si="245"/>
        <v>4.1745799017507913E-5</v>
      </c>
      <c r="U508" s="13">
        <f t="shared" ca="1" si="246"/>
        <v>0.16823879764873448</v>
      </c>
      <c r="V508" s="13">
        <f t="shared" ca="1" si="247"/>
        <v>2.0203859605058461</v>
      </c>
      <c r="X508" s="3">
        <f t="shared" ca="1" si="248"/>
        <v>1.2351972902672142E-4</v>
      </c>
      <c r="Y508" s="3">
        <f t="shared" ca="1" si="249"/>
        <v>4.9658283205441931E-5</v>
      </c>
      <c r="Z508" s="3">
        <f t="shared" ca="1" si="250"/>
        <v>1.2000928867212126E-2</v>
      </c>
      <c r="AA508" s="3">
        <f t="shared" ca="1" si="251"/>
        <v>6.1266847984343909E-4</v>
      </c>
      <c r="AB508" s="3">
        <f t="shared" ca="1" si="252"/>
        <v>0.23251473783116589</v>
      </c>
      <c r="AC508" s="3">
        <f t="shared" ca="1" si="253"/>
        <v>4.1745799017507913E-5</v>
      </c>
      <c r="AD508" s="3">
        <f t="shared" ca="1" si="254"/>
        <v>0.16815577527939116</v>
      </c>
      <c r="AE508" s="3">
        <f t="shared" ca="1" si="255"/>
        <v>2.0203522719597222</v>
      </c>
      <c r="AG508" s="3">
        <f t="shared" ca="1" si="256"/>
        <v>1.2351972902672142E-4</v>
      </c>
      <c r="AH508" s="3">
        <f t="shared" ca="1" si="257"/>
        <v>4.9658283205441931E-5</v>
      </c>
      <c r="AI508" s="3">
        <f t="shared" ca="1" si="258"/>
        <v>1.1960929383490386E-2</v>
      </c>
      <c r="AJ508" s="3">
        <f t="shared" ca="1" si="259"/>
        <v>5.9058065737843007E-4</v>
      </c>
      <c r="AK508" s="3">
        <f t="shared" ca="1" si="260"/>
        <v>0.23251473783116589</v>
      </c>
      <c r="AL508" s="3">
        <f t="shared" ca="1" si="261"/>
        <v>4.1745799017507913E-5</v>
      </c>
      <c r="AM508" s="3">
        <f t="shared" ca="1" si="262"/>
        <v>0.16815577527939116</v>
      </c>
      <c r="AN508" s="3">
        <f t="shared" ca="1" si="263"/>
        <v>2.0203522719597222</v>
      </c>
      <c r="AP508" s="3">
        <f t="shared" ca="1" si="264"/>
        <v>8.6871808304130109</v>
      </c>
      <c r="AQ508" s="3">
        <f t="shared" ca="1" si="271"/>
        <v>0.40020889294199807</v>
      </c>
      <c r="AR508" s="3">
        <f t="shared" ca="1" si="265"/>
        <v>2.482892319303721E-4</v>
      </c>
      <c r="AS508" s="3">
        <f t="shared" ca="1" si="266"/>
        <v>0.1679905084168041</v>
      </c>
      <c r="AT508" s="3">
        <f t="shared" ca="1" si="267"/>
        <v>0.709137720663087</v>
      </c>
      <c r="AU508" s="3">
        <f t="shared" ca="1" si="268"/>
        <v>5.3570221199145701E-2</v>
      </c>
      <c r="AV508" s="10">
        <f t="shared" ca="1" si="272"/>
        <v>0.709137720663087</v>
      </c>
      <c r="AW508" s="10">
        <f t="shared" ca="1" si="273"/>
        <v>0.709137720663087</v>
      </c>
      <c r="AY508" s="3">
        <f t="shared" ca="1" si="279"/>
        <v>8.6891363997182189</v>
      </c>
      <c r="AZ508" s="3">
        <f t="shared" ca="1" si="274"/>
        <v>0.40030007669323447</v>
      </c>
      <c r="BA508" s="3">
        <f t="shared" ca="1" si="269"/>
        <v>2.3640948244212637E-4</v>
      </c>
      <c r="BB508" s="3">
        <f t="shared" ca="1" si="275"/>
        <v>0.16791936579694902</v>
      </c>
      <c r="BC508" s="3">
        <f t="shared" ca="1" si="276"/>
        <v>0.70892843273161821</v>
      </c>
      <c r="BD508" s="3">
        <f t="shared" ca="1" si="270"/>
        <v>5.3415459259879811E-2</v>
      </c>
      <c r="BE508" s="3">
        <f t="shared" ca="1" si="277"/>
        <v>0.70892843273161821</v>
      </c>
      <c r="BF508" s="3">
        <f t="shared" ca="1" si="278"/>
        <v>0.70892843273161821</v>
      </c>
    </row>
    <row r="509" spans="1:58" ht="15" x14ac:dyDescent="0.25">
      <c r="A509" s="72">
        <v>443</v>
      </c>
      <c r="B509" s="72">
        <v>1498730352.8829999</v>
      </c>
      <c r="C509" s="73">
        <v>2.8875666170721001E-4</v>
      </c>
      <c r="D509" s="73">
        <v>-1.13396435052362E-5</v>
      </c>
      <c r="E509" s="73">
        <v>1.2448360748776499E-2</v>
      </c>
      <c r="F509" s="73">
        <v>5.6470403039472197E-4</v>
      </c>
      <c r="G509" s="73">
        <v>0.225979045847882</v>
      </c>
      <c r="H509" s="73">
        <v>-1.2785109677179301E-5</v>
      </c>
      <c r="I509" s="73">
        <v>0.163416285126293</v>
      </c>
      <c r="J509" s="73">
        <v>1.9636968494918701</v>
      </c>
      <c r="K509" s="73"/>
      <c r="L509" s="73"/>
      <c r="M509" s="73"/>
      <c r="O509" s="13">
        <f t="shared" ca="1" si="240"/>
        <v>2.4069432435648423E-5</v>
      </c>
      <c r="P509" s="13">
        <f t="shared" ca="1" si="241"/>
        <v>-2.2627118890076371E-5</v>
      </c>
      <c r="Q509" s="13">
        <f t="shared" ca="1" si="242"/>
        <v>1.1607621130803814E-2</v>
      </c>
      <c r="R509" s="13">
        <f t="shared" ca="1" si="243"/>
        <v>5.5492775150404084E-4</v>
      </c>
      <c r="S509" s="13">
        <f t="shared" ca="1" si="244"/>
        <v>0.22484396721464064</v>
      </c>
      <c r="T509" s="13">
        <f t="shared" ca="1" si="245"/>
        <v>-1.3134931188203387E-5</v>
      </c>
      <c r="U509" s="13">
        <f t="shared" ca="1" si="246"/>
        <v>0.16276244113150448</v>
      </c>
      <c r="V509" s="13">
        <f t="shared" ca="1" si="247"/>
        <v>1.9565580685694159</v>
      </c>
      <c r="X509" s="3">
        <f t="shared" ca="1" si="248"/>
        <v>2.4069432435648423E-5</v>
      </c>
      <c r="Y509" s="3">
        <f t="shared" ca="1" si="249"/>
        <v>-2.2627118890076371E-5</v>
      </c>
      <c r="Z509" s="3">
        <f t="shared" ca="1" si="250"/>
        <v>1.1607621130803814E-2</v>
      </c>
      <c r="AA509" s="3">
        <f t="shared" ca="1" si="251"/>
        <v>5.5492775150404084E-4</v>
      </c>
      <c r="AB509" s="3">
        <f t="shared" ca="1" si="252"/>
        <v>0.22484396721464064</v>
      </c>
      <c r="AC509" s="3">
        <f t="shared" ca="1" si="253"/>
        <v>-1.3134931188203387E-5</v>
      </c>
      <c r="AD509" s="3">
        <f t="shared" ca="1" si="254"/>
        <v>0.16276244113150448</v>
      </c>
      <c r="AE509" s="3">
        <f t="shared" ca="1" si="255"/>
        <v>1.9565580685694159</v>
      </c>
      <c r="AG509" s="3">
        <f t="shared" ca="1" si="256"/>
        <v>2.4069432435648423E-5</v>
      </c>
      <c r="AH509" s="3">
        <f t="shared" ca="1" si="257"/>
        <v>-2.2627118890076371E-5</v>
      </c>
      <c r="AI509" s="3">
        <f t="shared" ca="1" si="258"/>
        <v>1.1607621130803814E-2</v>
      </c>
      <c r="AJ509" s="3">
        <f t="shared" ca="1" si="259"/>
        <v>5.5492775150404084E-4</v>
      </c>
      <c r="AK509" s="3">
        <f t="shared" ca="1" si="260"/>
        <v>0.22484396721464064</v>
      </c>
      <c r="AL509" s="3">
        <f t="shared" ca="1" si="261"/>
        <v>-1.3134931188203387E-5</v>
      </c>
      <c r="AM509" s="3">
        <f t="shared" ca="1" si="262"/>
        <v>0.16276244113150448</v>
      </c>
      <c r="AN509" s="3">
        <f t="shared" ca="1" si="263"/>
        <v>1.9565580685694159</v>
      </c>
      <c r="AP509" s="3">
        <f t="shared" ca="1" si="264"/>
        <v>8.7018481874661351</v>
      </c>
      <c r="AQ509" s="3">
        <f t="shared" ca="1" si="271"/>
        <v>0.40089280452414772</v>
      </c>
      <c r="AR509" s="3">
        <f t="shared" ca="1" si="265"/>
        <v>2.2246654260873425E-4</v>
      </c>
      <c r="AS509" s="3">
        <f t="shared" ca="1" si="266"/>
        <v>0.16253997458889574</v>
      </c>
      <c r="AT509" s="3">
        <f t="shared" ca="1" si="267"/>
        <v>0.70910625776191583</v>
      </c>
      <c r="AU509" s="3">
        <f t="shared" ca="1" si="268"/>
        <v>5.3686384813657076E-2</v>
      </c>
      <c r="AV509" s="10">
        <f t="shared" ca="1" si="272"/>
        <v>0.70910625776191583</v>
      </c>
      <c r="AW509" s="10">
        <f t="shared" ca="1" si="273"/>
        <v>0.70910625776191583</v>
      </c>
      <c r="AY509" s="3">
        <f t="shared" ca="1" si="279"/>
        <v>8.7018481874661351</v>
      </c>
      <c r="AZ509" s="3">
        <f t="shared" ca="1" si="274"/>
        <v>0.40089280452414772</v>
      </c>
      <c r="BA509" s="3">
        <f t="shared" ca="1" si="269"/>
        <v>2.2246654260873425E-4</v>
      </c>
      <c r="BB509" s="3">
        <f t="shared" ca="1" si="275"/>
        <v>0.16253997458889574</v>
      </c>
      <c r="BC509" s="3">
        <f t="shared" ca="1" si="276"/>
        <v>0.70910625776191583</v>
      </c>
      <c r="BD509" s="3">
        <f t="shared" ca="1" si="270"/>
        <v>5.3686384813657076E-2</v>
      </c>
      <c r="BE509" s="3">
        <f t="shared" ca="1" si="277"/>
        <v>0.70910625776191583</v>
      </c>
      <c r="BF509" s="3">
        <f t="shared" ca="1" si="278"/>
        <v>0.70910625776191583</v>
      </c>
    </row>
    <row r="510" spans="1:58" ht="15" x14ac:dyDescent="0.25">
      <c r="A510" s="72">
        <v>444</v>
      </c>
      <c r="B510" s="72">
        <v>1498730353.4100001</v>
      </c>
      <c r="C510" s="73">
        <v>1.9002992033361201E-4</v>
      </c>
      <c r="D510" s="73">
        <v>-4.3228587925013002E-5</v>
      </c>
      <c r="E510" s="73">
        <v>1.15511073150312E-2</v>
      </c>
      <c r="F510" s="73">
        <v>5.3637412794275204E-4</v>
      </c>
      <c r="G510" s="73">
        <v>0.21060887533183401</v>
      </c>
      <c r="H510" s="73">
        <v>1.80416960692697E-5</v>
      </c>
      <c r="I510" s="73">
        <v>0.15200114483677901</v>
      </c>
      <c r="J510" s="73">
        <v>1.82902313196789</v>
      </c>
      <c r="K510" s="73"/>
      <c r="L510" s="73"/>
      <c r="M510" s="73"/>
      <c r="O510" s="13">
        <f t="shared" ca="1" si="240"/>
        <v>-7.4657308937949577E-5</v>
      </c>
      <c r="P510" s="13">
        <f t="shared" ca="1" si="241"/>
        <v>-5.4516063309853173E-5</v>
      </c>
      <c r="Q510" s="13">
        <f t="shared" ca="1" si="242"/>
        <v>1.0710367697058515E-2</v>
      </c>
      <c r="R510" s="13">
        <f t="shared" ca="1" si="243"/>
        <v>5.2659784905207091E-4</v>
      </c>
      <c r="S510" s="13">
        <f t="shared" ca="1" si="244"/>
        <v>0.20947379669859265</v>
      </c>
      <c r="T510" s="13">
        <f t="shared" ca="1" si="245"/>
        <v>1.7691874558245614E-5</v>
      </c>
      <c r="U510" s="13">
        <f t="shared" ca="1" si="246"/>
        <v>0.1513473008419905</v>
      </c>
      <c r="V510" s="13">
        <f t="shared" ca="1" si="247"/>
        <v>1.8218843510454359</v>
      </c>
      <c r="X510" s="3">
        <f t="shared" ca="1" si="248"/>
        <v>-7.4657308937949577E-5</v>
      </c>
      <c r="Y510" s="3">
        <f t="shared" ca="1" si="249"/>
        <v>-5.4516063309853173E-5</v>
      </c>
      <c r="Z510" s="3">
        <f t="shared" ca="1" si="250"/>
        <v>1.0710232340979177E-2</v>
      </c>
      <c r="AA510" s="3">
        <f t="shared" ca="1" si="251"/>
        <v>5.2332161667719118E-4</v>
      </c>
      <c r="AB510" s="3">
        <f t="shared" ca="1" si="252"/>
        <v>0.20944997095235468</v>
      </c>
      <c r="AC510" s="3">
        <f t="shared" ca="1" si="253"/>
        <v>1.7691874558245614E-5</v>
      </c>
      <c r="AD510" s="3">
        <f t="shared" ca="1" si="254"/>
        <v>0.15131211595204899</v>
      </c>
      <c r="AE510" s="3">
        <f t="shared" ca="1" si="255"/>
        <v>1.8218700738356064</v>
      </c>
      <c r="AG510" s="3">
        <f t="shared" ca="1" si="256"/>
        <v>-7.4657308937949577E-5</v>
      </c>
      <c r="AH510" s="3">
        <f t="shared" ca="1" si="257"/>
        <v>-5.4516063309853173E-5</v>
      </c>
      <c r="AI510" s="3">
        <f t="shared" ca="1" si="258"/>
        <v>1.0710232340979177E-2</v>
      </c>
      <c r="AJ510" s="3">
        <f t="shared" ca="1" si="259"/>
        <v>5.2332161667719118E-4</v>
      </c>
      <c r="AK510" s="3">
        <f t="shared" ca="1" si="260"/>
        <v>0.20944997095235468</v>
      </c>
      <c r="AL510" s="3">
        <f t="shared" ca="1" si="261"/>
        <v>1.7691874558245614E-5</v>
      </c>
      <c r="AM510" s="3">
        <f t="shared" ca="1" si="262"/>
        <v>0.15131211595204899</v>
      </c>
      <c r="AN510" s="3">
        <f t="shared" ca="1" si="263"/>
        <v>1.8218700738356064</v>
      </c>
      <c r="AP510" s="3">
        <f t="shared" ca="1" si="264"/>
        <v>8.6974331861989693</v>
      </c>
      <c r="AQ510" s="3">
        <f t="shared" ca="1" si="271"/>
        <v>0.40068693975378183</v>
      </c>
      <c r="AR510" s="3">
        <f t="shared" ca="1" si="265"/>
        <v>2.1100088061759824E-4</v>
      </c>
      <c r="AS510" s="3">
        <f t="shared" ca="1" si="266"/>
        <v>0.1511362999613729</v>
      </c>
      <c r="AT510" s="3">
        <f t="shared" ca="1" si="267"/>
        <v>0.70791716685178019</v>
      </c>
      <c r="AU510" s="3">
        <f t="shared" ca="1" si="268"/>
        <v>5.314364348963127E-2</v>
      </c>
      <c r="AV510" s="10" t="str">
        <f t="shared" ca="1" si="272"/>
        <v>rejected</v>
      </c>
      <c r="AW510" s="10" t="e">
        <f t="shared" ca="1" si="273"/>
        <v>#N/A</v>
      </c>
      <c r="AY510" s="3">
        <f t="shared" ca="1" si="279"/>
        <v>8.6983543876930991</v>
      </c>
      <c r="AZ510" s="3">
        <f t="shared" ca="1" si="274"/>
        <v>0.40072989386878211</v>
      </c>
      <c r="BA510" s="3">
        <f t="shared" ca="1" si="269"/>
        <v>2.0971061591029029E-4</v>
      </c>
      <c r="BB510" s="3">
        <f t="shared" ca="1" si="275"/>
        <v>0.1511024053361387</v>
      </c>
      <c r="BC510" s="3">
        <f t="shared" ca="1" si="276"/>
        <v>0.70780116357773804</v>
      </c>
      <c r="BD510" s="3">
        <f t="shared" ca="1" si="270"/>
        <v>5.3154777336021274E-2</v>
      </c>
      <c r="BE510" s="3" t="str">
        <f t="shared" ca="1" si="277"/>
        <v>rejected</v>
      </c>
      <c r="BF510" s="3" t="e">
        <f t="shared" ca="1" si="278"/>
        <v>#N/A</v>
      </c>
    </row>
    <row r="511" spans="1:58" ht="15" x14ac:dyDescent="0.25">
      <c r="A511" s="72">
        <v>445</v>
      </c>
      <c r="B511" s="72">
        <v>1498730353.937</v>
      </c>
      <c r="C511" s="73">
        <v>2.7067585365173302E-4</v>
      </c>
      <c r="D511" s="73">
        <v>-4.6299321064777302E-5</v>
      </c>
      <c r="E511" s="73">
        <v>1.1617284750780501E-2</v>
      </c>
      <c r="F511" s="73">
        <v>5.6756087187679195E-4</v>
      </c>
      <c r="G511" s="73">
        <v>0.21337639921354101</v>
      </c>
      <c r="H511" s="73">
        <v>-7.3999676864593199E-6</v>
      </c>
      <c r="I511" s="73">
        <v>0.15411999540118801</v>
      </c>
      <c r="J511" s="73">
        <v>1.8511525644897999</v>
      </c>
      <c r="K511" s="73"/>
      <c r="L511" s="73"/>
      <c r="M511" s="73"/>
      <c r="O511" s="13">
        <f t="shared" ca="1" si="240"/>
        <v>5.9886243801714374E-6</v>
      </c>
      <c r="P511" s="13">
        <f t="shared" ca="1" si="241"/>
        <v>-5.7586796449617473E-5</v>
      </c>
      <c r="Q511" s="13">
        <f t="shared" ca="1" si="242"/>
        <v>1.0776545132807815E-2</v>
      </c>
      <c r="R511" s="13">
        <f t="shared" ca="1" si="243"/>
        <v>5.5778459298611081E-4</v>
      </c>
      <c r="S511" s="13">
        <f t="shared" ca="1" si="244"/>
        <v>0.21224132058029965</v>
      </c>
      <c r="T511" s="13">
        <f t="shared" ca="1" si="245"/>
        <v>-7.7497891974834072E-6</v>
      </c>
      <c r="U511" s="13">
        <f t="shared" ca="1" si="246"/>
        <v>0.15346615140639949</v>
      </c>
      <c r="V511" s="13">
        <f t="shared" ca="1" si="247"/>
        <v>1.8440137835673458</v>
      </c>
      <c r="X511" s="3">
        <f t="shared" ca="1" si="248"/>
        <v>5.9886243801714374E-6</v>
      </c>
      <c r="Y511" s="3">
        <f t="shared" ca="1" si="249"/>
        <v>-5.7586796449617473E-5</v>
      </c>
      <c r="Z511" s="3">
        <f t="shared" ca="1" si="250"/>
        <v>1.0776545132807815E-2</v>
      </c>
      <c r="AA511" s="3">
        <f t="shared" ca="1" si="251"/>
        <v>5.5778459298611081E-4</v>
      </c>
      <c r="AB511" s="3">
        <f t="shared" ca="1" si="252"/>
        <v>0.21224132058029965</v>
      </c>
      <c r="AC511" s="3">
        <f t="shared" ca="1" si="253"/>
        <v>-7.7497891974834072E-6</v>
      </c>
      <c r="AD511" s="3">
        <f t="shared" ca="1" si="254"/>
        <v>0.15346615140639949</v>
      </c>
      <c r="AE511" s="3">
        <f t="shared" ca="1" si="255"/>
        <v>1.8440137835673458</v>
      </c>
      <c r="AG511" s="3">
        <f t="shared" ca="1" si="256"/>
        <v>5.9886243801714374E-6</v>
      </c>
      <c r="AH511" s="3">
        <f t="shared" ca="1" si="257"/>
        <v>-5.7586796449617473E-5</v>
      </c>
      <c r="AI511" s="3">
        <f t="shared" ca="1" si="258"/>
        <v>1.0776545132807815E-2</v>
      </c>
      <c r="AJ511" s="3">
        <f t="shared" ca="1" si="259"/>
        <v>5.5778459298611081E-4</v>
      </c>
      <c r="AK511" s="3">
        <f t="shared" ca="1" si="260"/>
        <v>0.21224132058029965</v>
      </c>
      <c r="AL511" s="3">
        <f t="shared" ca="1" si="261"/>
        <v>-7.7497891974834072E-6</v>
      </c>
      <c r="AM511" s="3">
        <f t="shared" ca="1" si="262"/>
        <v>0.15346615140639949</v>
      </c>
      <c r="AN511" s="3">
        <f t="shared" ca="1" si="263"/>
        <v>1.8440137835673458</v>
      </c>
      <c r="AP511" s="3">
        <f t="shared" ca="1" si="264"/>
        <v>8.688288305620862</v>
      </c>
      <c r="AQ511" s="3">
        <f t="shared" ca="1" si="271"/>
        <v>0.40026053196282169</v>
      </c>
      <c r="AR511" s="3">
        <f t="shared" ca="1" si="265"/>
        <v>2.2325915790928671E-4</v>
      </c>
      <c r="AS511" s="3">
        <f t="shared" ca="1" si="266"/>
        <v>0.15324289224849019</v>
      </c>
      <c r="AT511" s="3">
        <f t="shared" ca="1" si="267"/>
        <v>0.70880022020203171</v>
      </c>
      <c r="AU511" s="3">
        <f t="shared" ca="1" si="268"/>
        <v>5.2717980173538341E-2</v>
      </c>
      <c r="AV511" s="10">
        <f t="shared" ca="1" si="272"/>
        <v>0.70880022020203171</v>
      </c>
      <c r="AW511" s="10">
        <f t="shared" ca="1" si="273"/>
        <v>0.70880022020203171</v>
      </c>
      <c r="AY511" s="3">
        <f t="shared" ca="1" si="279"/>
        <v>8.688288305620862</v>
      </c>
      <c r="AZ511" s="3">
        <f t="shared" ca="1" si="274"/>
        <v>0.40026053196282169</v>
      </c>
      <c r="BA511" s="3">
        <f t="shared" ca="1" si="269"/>
        <v>2.2325915790928671E-4</v>
      </c>
      <c r="BB511" s="3">
        <f t="shared" ca="1" si="275"/>
        <v>0.15324289224849019</v>
      </c>
      <c r="BC511" s="3">
        <f t="shared" ca="1" si="276"/>
        <v>0.70880022020203171</v>
      </c>
      <c r="BD511" s="3">
        <f t="shared" ca="1" si="270"/>
        <v>5.2717980173538341E-2</v>
      </c>
      <c r="BE511" s="3">
        <f t="shared" ca="1" si="277"/>
        <v>0.70880022020203171</v>
      </c>
      <c r="BF511" s="3">
        <f t="shared" ca="1" si="278"/>
        <v>0.70880022020203171</v>
      </c>
    </row>
    <row r="512" spans="1:58" ht="15" x14ac:dyDescent="0.25">
      <c r="A512" s="72">
        <v>446</v>
      </c>
      <c r="B512" s="72">
        <v>1498730354.464</v>
      </c>
      <c r="C512" s="73">
        <v>2.4712371308709997E-4</v>
      </c>
      <c r="D512" s="73">
        <v>8.5278304133787794E-5</v>
      </c>
      <c r="E512" s="73">
        <v>1.2716463443088201E-2</v>
      </c>
      <c r="F512" s="73">
        <v>6.44936769295865E-4</v>
      </c>
      <c r="G512" s="73">
        <v>0.23397164026660899</v>
      </c>
      <c r="H512" s="73">
        <v>-3.1465506582435801E-5</v>
      </c>
      <c r="I512" s="73">
        <v>0.16891711751167199</v>
      </c>
      <c r="J512" s="73">
        <v>2.0297473599712998</v>
      </c>
      <c r="K512" s="73"/>
      <c r="L512" s="73"/>
      <c r="M512" s="73"/>
      <c r="O512" s="13">
        <f t="shared" ca="1" si="240"/>
        <v>-1.756351618446161E-5</v>
      </c>
      <c r="P512" s="13">
        <f t="shared" ca="1" si="241"/>
        <v>7.3990828748947616E-5</v>
      </c>
      <c r="Q512" s="13">
        <f t="shared" ca="1" si="242"/>
        <v>1.1875723825115515E-2</v>
      </c>
      <c r="R512" s="13">
        <f t="shared" ca="1" si="243"/>
        <v>6.3516049040518387E-4</v>
      </c>
      <c r="S512" s="13">
        <f t="shared" ca="1" si="244"/>
        <v>0.23283656163336763</v>
      </c>
      <c r="T512" s="13">
        <f t="shared" ca="1" si="245"/>
        <v>-3.1815328093459891E-5</v>
      </c>
      <c r="U512" s="13">
        <f t="shared" ca="1" si="246"/>
        <v>0.16826327351688347</v>
      </c>
      <c r="V512" s="13">
        <f t="shared" ca="1" si="247"/>
        <v>2.0226085790488457</v>
      </c>
      <c r="X512" s="3">
        <f t="shared" ca="1" si="248"/>
        <v>-1.756351618446161E-5</v>
      </c>
      <c r="Y512" s="3">
        <f t="shared" ca="1" si="249"/>
        <v>7.3990828748947616E-5</v>
      </c>
      <c r="Z512" s="3">
        <f t="shared" ca="1" si="250"/>
        <v>1.1875723825115515E-2</v>
      </c>
      <c r="AA512" s="3">
        <f t="shared" ca="1" si="251"/>
        <v>6.3516049040518387E-4</v>
      </c>
      <c r="AB512" s="3">
        <f t="shared" ca="1" si="252"/>
        <v>0.23283656163336763</v>
      </c>
      <c r="AC512" s="3">
        <f t="shared" ca="1" si="253"/>
        <v>-3.1815328093459891E-5</v>
      </c>
      <c r="AD512" s="3">
        <f t="shared" ca="1" si="254"/>
        <v>0.16826327351688347</v>
      </c>
      <c r="AE512" s="3">
        <f t="shared" ca="1" si="255"/>
        <v>2.0226085790488457</v>
      </c>
      <c r="AG512" s="3">
        <f t="shared" ca="1" si="256"/>
        <v>-1.756351618446161E-5</v>
      </c>
      <c r="AH512" s="3">
        <f t="shared" ca="1" si="257"/>
        <v>7.3990828748947616E-5</v>
      </c>
      <c r="AI512" s="3">
        <f t="shared" ca="1" si="258"/>
        <v>1.1816124605024531E-2</v>
      </c>
      <c r="AJ512" s="3">
        <f t="shared" ca="1" si="259"/>
        <v>6.0224964081571322E-4</v>
      </c>
      <c r="AK512" s="3">
        <f t="shared" ca="1" si="260"/>
        <v>0.23283656163336763</v>
      </c>
      <c r="AL512" s="3">
        <f t="shared" ca="1" si="261"/>
        <v>-3.1815328093459891E-5</v>
      </c>
      <c r="AM512" s="3">
        <f t="shared" ca="1" si="262"/>
        <v>0.16826327351688347</v>
      </c>
      <c r="AN512" s="3">
        <f t="shared" ca="1" si="263"/>
        <v>2.0226085790488457</v>
      </c>
      <c r="AP512" s="3">
        <f t="shared" ca="1" si="264"/>
        <v>8.686816902208486</v>
      </c>
      <c r="AQ512" s="3">
        <f t="shared" ca="1" si="271"/>
        <v>0.40019192382458979</v>
      </c>
      <c r="AR512" s="3">
        <f t="shared" ca="1" si="265"/>
        <v>2.5418609859262045E-4</v>
      </c>
      <c r="AS512" s="3">
        <f t="shared" ca="1" si="266"/>
        <v>0.16800908741829085</v>
      </c>
      <c r="AT512" s="3">
        <f t="shared" ca="1" si="267"/>
        <v>0.70842206700770216</v>
      </c>
      <c r="AU512" s="3">
        <f t="shared" ca="1" si="268"/>
        <v>5.2947175243964369E-2</v>
      </c>
      <c r="AV512" s="10">
        <f t="shared" ca="1" si="272"/>
        <v>0.70842206700770216</v>
      </c>
      <c r="AW512" s="10">
        <f t="shared" ca="1" si="273"/>
        <v>0.70842206700770216</v>
      </c>
      <c r="AY512" s="3">
        <f t="shared" ca="1" si="279"/>
        <v>8.686816902208486</v>
      </c>
      <c r="AZ512" s="3">
        <f t="shared" ca="1" si="274"/>
        <v>0.40019192382458979</v>
      </c>
      <c r="BA512" s="3">
        <f t="shared" ca="1" si="269"/>
        <v>2.4101544238070848E-4</v>
      </c>
      <c r="BB512" s="3">
        <f t="shared" ca="1" si="275"/>
        <v>0.16802225807450277</v>
      </c>
      <c r="BC512" s="3">
        <f t="shared" ca="1" si="276"/>
        <v>0.70847760200072474</v>
      </c>
      <c r="BD512" s="3">
        <f t="shared" ca="1" si="270"/>
        <v>5.2681455832075785E-2</v>
      </c>
      <c r="BE512" s="3">
        <f t="shared" ca="1" si="277"/>
        <v>0.70847760200072474</v>
      </c>
      <c r="BF512" s="3">
        <f t="shared" ca="1" si="278"/>
        <v>0.70847760200072474</v>
      </c>
    </row>
    <row r="513" spans="1:58" ht="15" x14ac:dyDescent="0.25">
      <c r="A513" s="72">
        <v>447</v>
      </c>
      <c r="B513" s="72">
        <v>1498730354.9909999</v>
      </c>
      <c r="C513" s="73">
        <v>2.3451521966730101E-4</v>
      </c>
      <c r="D513" s="73">
        <v>-1.16214980815825E-4</v>
      </c>
      <c r="E513" s="73">
        <v>1.2410788691288799E-2</v>
      </c>
      <c r="F513" s="73">
        <v>6.2112816250422197E-4</v>
      </c>
      <c r="G513" s="73">
        <v>0.227791091580472</v>
      </c>
      <c r="H513" s="73">
        <v>1.68131649509811E-5</v>
      </c>
      <c r="I513" s="73">
        <v>0.16467076974908301</v>
      </c>
      <c r="J513" s="73">
        <v>1.9785900112345201</v>
      </c>
      <c r="K513" s="73"/>
      <c r="L513" s="73"/>
      <c r="M513" s="73"/>
      <c r="O513" s="13">
        <f t="shared" ca="1" si="240"/>
        <v>-3.0172009604260578E-5</v>
      </c>
      <c r="P513" s="13">
        <f t="shared" ca="1" si="241"/>
        <v>-1.2750245620066518E-4</v>
      </c>
      <c r="Q513" s="13">
        <f t="shared" ca="1" si="242"/>
        <v>1.1570049073316114E-2</v>
      </c>
      <c r="R513" s="13">
        <f t="shared" ca="1" si="243"/>
        <v>6.1135188361354084E-4</v>
      </c>
      <c r="S513" s="13">
        <f t="shared" ca="1" si="244"/>
        <v>0.22665601294723065</v>
      </c>
      <c r="T513" s="13">
        <f t="shared" ca="1" si="245"/>
        <v>1.6463343439957014E-5</v>
      </c>
      <c r="U513" s="13">
        <f t="shared" ca="1" si="246"/>
        <v>0.1640169257542945</v>
      </c>
      <c r="V513" s="13">
        <f t="shared" ca="1" si="247"/>
        <v>1.9714512303120659</v>
      </c>
      <c r="X513" s="3">
        <f t="shared" ca="1" si="248"/>
        <v>-3.0172009604260578E-5</v>
      </c>
      <c r="Y513" s="3">
        <f t="shared" ca="1" si="249"/>
        <v>-1.2750245620066518E-4</v>
      </c>
      <c r="Z513" s="3">
        <f t="shared" ca="1" si="250"/>
        <v>1.1569923116419151E-2</v>
      </c>
      <c r="AA513" s="3">
        <f t="shared" ca="1" si="251"/>
        <v>6.0830315417567508E-4</v>
      </c>
      <c r="AB513" s="3">
        <f t="shared" ca="1" si="252"/>
        <v>0.22663384167070832</v>
      </c>
      <c r="AC513" s="3">
        <f t="shared" ca="1" si="253"/>
        <v>1.6463343439957014E-5</v>
      </c>
      <c r="AD513" s="3">
        <f t="shared" ca="1" si="254"/>
        <v>0.16398418411772586</v>
      </c>
      <c r="AE513" s="3">
        <f t="shared" ca="1" si="255"/>
        <v>1.9714379445176176</v>
      </c>
      <c r="AG513" s="3">
        <f t="shared" ca="1" si="256"/>
        <v>-3.0172009604260578E-5</v>
      </c>
      <c r="AH513" s="3">
        <f t="shared" ca="1" si="257"/>
        <v>-1.2750245620066518E-4</v>
      </c>
      <c r="AI513" s="3">
        <f t="shared" ca="1" si="258"/>
        <v>1.1569923116419151E-2</v>
      </c>
      <c r="AJ513" s="3">
        <f t="shared" ca="1" si="259"/>
        <v>6.0830315417567508E-4</v>
      </c>
      <c r="AK513" s="3">
        <f t="shared" ca="1" si="260"/>
        <v>0.22663384167070832</v>
      </c>
      <c r="AL513" s="3">
        <f t="shared" ca="1" si="261"/>
        <v>1.6463343439957014E-5</v>
      </c>
      <c r="AM513" s="3">
        <f t="shared" ca="1" si="262"/>
        <v>0.16398418411772586</v>
      </c>
      <c r="AN513" s="3">
        <f t="shared" ca="1" si="263"/>
        <v>1.9714379445176176</v>
      </c>
      <c r="AP513" s="3">
        <f t="shared" ca="1" si="264"/>
        <v>8.6979877775007584</v>
      </c>
      <c r="AQ513" s="3">
        <f t="shared" ca="1" si="271"/>
        <v>0.40071279943010446</v>
      </c>
      <c r="AR513" s="3">
        <f t="shared" ca="1" si="265"/>
        <v>2.4497652471964934E-4</v>
      </c>
      <c r="AS513" s="3">
        <f t="shared" ca="1" si="266"/>
        <v>0.16377194922957486</v>
      </c>
      <c r="AT513" s="3">
        <f t="shared" ca="1" si="267"/>
        <v>0.70892728259188842</v>
      </c>
      <c r="AU513" s="3">
        <f t="shared" ca="1" si="268"/>
        <v>5.3060695871647461E-2</v>
      </c>
      <c r="AV513" s="10">
        <f t="shared" ca="1" si="272"/>
        <v>0.70892728259188842</v>
      </c>
      <c r="AW513" s="10">
        <f t="shared" ca="1" si="273"/>
        <v>0.70892728259188842</v>
      </c>
      <c r="AY513" s="3">
        <f t="shared" ca="1" si="279"/>
        <v>8.6987800673742868</v>
      </c>
      <c r="AZ513" s="3">
        <f t="shared" ca="1" si="274"/>
        <v>0.40074974263288621</v>
      </c>
      <c r="BA513" s="3">
        <f t="shared" ca="1" si="269"/>
        <v>2.437773324786747E-4</v>
      </c>
      <c r="BB513" s="3">
        <f t="shared" ca="1" si="275"/>
        <v>0.16374040678524718</v>
      </c>
      <c r="BC513" s="3">
        <f t="shared" ca="1" si="276"/>
        <v>0.7088275689409862</v>
      </c>
      <c r="BD513" s="3">
        <f t="shared" ca="1" si="270"/>
        <v>5.3070255075761796E-2</v>
      </c>
      <c r="BE513" s="3">
        <f t="shared" ca="1" si="277"/>
        <v>0.7088275689409862</v>
      </c>
      <c r="BF513" s="3">
        <f t="shared" ca="1" si="278"/>
        <v>0.7088275689409862</v>
      </c>
    </row>
    <row r="514" spans="1:58" ht="15" x14ac:dyDescent="0.25">
      <c r="A514" s="72">
        <v>448</v>
      </c>
      <c r="B514" s="72">
        <v>1498730355.5179999</v>
      </c>
      <c r="C514" s="73">
        <v>4.02244998784871E-4</v>
      </c>
      <c r="D514" s="73">
        <v>7.6773657274914107E-5</v>
      </c>
      <c r="E514" s="73">
        <v>1.18100662641012E-2</v>
      </c>
      <c r="F514" s="73">
        <v>4.9566617908554595E-4</v>
      </c>
      <c r="G514" s="73">
        <v>0.214425237408744</v>
      </c>
      <c r="H514" s="73">
        <v>-2.0578876261178599E-5</v>
      </c>
      <c r="I514" s="73">
        <v>0.154892672977852</v>
      </c>
      <c r="J514" s="73">
        <v>1.8644263806111001</v>
      </c>
      <c r="K514" s="73"/>
      <c r="L514" s="73"/>
      <c r="M514" s="73"/>
      <c r="O514" s="13">
        <f t="shared" ca="1" si="240"/>
        <v>1.3755776951330942E-4</v>
      </c>
      <c r="P514" s="13">
        <f t="shared" ca="1" si="241"/>
        <v>6.5486181890073928E-5</v>
      </c>
      <c r="Q514" s="13">
        <f t="shared" ca="1" si="242"/>
        <v>1.0969326646128515E-2</v>
      </c>
      <c r="R514" s="13">
        <f t="shared" ca="1" si="243"/>
        <v>4.8588990019486481E-4</v>
      </c>
      <c r="S514" s="13">
        <f t="shared" ca="1" si="244"/>
        <v>0.21329015877550264</v>
      </c>
      <c r="T514" s="13">
        <f t="shared" ca="1" si="245"/>
        <v>-2.0928697772202686E-5</v>
      </c>
      <c r="U514" s="13">
        <f t="shared" ca="1" si="246"/>
        <v>0.15423882898306349</v>
      </c>
      <c r="V514" s="13">
        <f t="shared" ca="1" si="247"/>
        <v>1.857287599688646</v>
      </c>
      <c r="X514" s="3">
        <f t="shared" ca="1" si="248"/>
        <v>1.3755776951330942E-4</v>
      </c>
      <c r="Y514" s="3">
        <f t="shared" ca="1" si="249"/>
        <v>6.5486181890073928E-5</v>
      </c>
      <c r="Z514" s="3">
        <f t="shared" ca="1" si="250"/>
        <v>1.0969326646128515E-2</v>
      </c>
      <c r="AA514" s="3">
        <f t="shared" ca="1" si="251"/>
        <v>4.8588990019486481E-4</v>
      </c>
      <c r="AB514" s="3">
        <f t="shared" ca="1" si="252"/>
        <v>0.21329015877550264</v>
      </c>
      <c r="AC514" s="3">
        <f t="shared" ca="1" si="253"/>
        <v>-2.0928697772202686E-5</v>
      </c>
      <c r="AD514" s="3">
        <f t="shared" ca="1" si="254"/>
        <v>0.15423882898306349</v>
      </c>
      <c r="AE514" s="3">
        <f t="shared" ca="1" si="255"/>
        <v>1.857287599688646</v>
      </c>
      <c r="AG514" s="3">
        <f t="shared" ca="1" si="256"/>
        <v>1.3755776951330942E-4</v>
      </c>
      <c r="AH514" s="3">
        <f t="shared" ca="1" si="257"/>
        <v>6.5486181890073928E-5</v>
      </c>
      <c r="AI514" s="3">
        <f t="shared" ca="1" si="258"/>
        <v>1.0916577873971529E-2</v>
      </c>
      <c r="AJ514" s="3">
        <f t="shared" ca="1" si="259"/>
        <v>4.5676188637458985E-4</v>
      </c>
      <c r="AK514" s="3">
        <f t="shared" ca="1" si="260"/>
        <v>0.21329015877550264</v>
      </c>
      <c r="AL514" s="3">
        <f t="shared" ca="1" si="261"/>
        <v>-2.0928697772202686E-5</v>
      </c>
      <c r="AM514" s="3">
        <f t="shared" ca="1" si="262"/>
        <v>0.15423882898306349</v>
      </c>
      <c r="AN514" s="3">
        <f t="shared" ca="1" si="263"/>
        <v>1.857287599688646</v>
      </c>
      <c r="AP514" s="3">
        <f t="shared" ca="1" si="264"/>
        <v>8.70779791412469</v>
      </c>
      <c r="AQ514" s="3">
        <f t="shared" ca="1" si="271"/>
        <v>0.40117023320084327</v>
      </c>
      <c r="AR514" s="3">
        <f t="shared" ca="1" si="265"/>
        <v>1.9492456457110839E-4</v>
      </c>
      <c r="AS514" s="3">
        <f t="shared" ca="1" si="266"/>
        <v>0.15404390441849239</v>
      </c>
      <c r="AT514" s="3">
        <f t="shared" ca="1" si="267"/>
        <v>0.70820107872994753</v>
      </c>
      <c r="AU514" s="3">
        <f t="shared" ca="1" si="268"/>
        <v>5.3519872194527529E-2</v>
      </c>
      <c r="AV514" s="10">
        <f t="shared" ca="1" si="272"/>
        <v>0.70820107872994753</v>
      </c>
      <c r="AW514" s="10">
        <f t="shared" ca="1" si="273"/>
        <v>0.70820107872994753</v>
      </c>
      <c r="AY514" s="3">
        <f t="shared" ca="1" si="279"/>
        <v>8.70779791412469</v>
      </c>
      <c r="AZ514" s="3">
        <f t="shared" ca="1" si="274"/>
        <v>0.40117023320084327</v>
      </c>
      <c r="BA514" s="3">
        <f t="shared" ca="1" si="269"/>
        <v>1.8323927247415129E-4</v>
      </c>
      <c r="BB514" s="3">
        <f t="shared" ca="1" si="275"/>
        <v>0.15405558971058933</v>
      </c>
      <c r="BC514" s="3">
        <f t="shared" ca="1" si="276"/>
        <v>0.70825480066396074</v>
      </c>
      <c r="BD514" s="3">
        <f t="shared" ca="1" si="270"/>
        <v>5.326250839861426E-2</v>
      </c>
      <c r="BE514" s="3">
        <f t="shared" ca="1" si="277"/>
        <v>0.70825480066396074</v>
      </c>
      <c r="BF514" s="3">
        <f t="shared" ca="1" si="278"/>
        <v>0.70825480066396074</v>
      </c>
    </row>
    <row r="515" spans="1:58" ht="15" x14ac:dyDescent="0.25">
      <c r="A515" s="72">
        <v>449</v>
      </c>
      <c r="B515" s="72">
        <v>1498730356.0450001</v>
      </c>
      <c r="C515" s="73">
        <v>2.8209527328198998E-4</v>
      </c>
      <c r="D515" s="73">
        <v>2.8335496812268602E-6</v>
      </c>
      <c r="E515" s="73">
        <v>1.12823511360304E-2</v>
      </c>
      <c r="F515" s="73">
        <v>6.2469941734839699E-4</v>
      </c>
      <c r="G515" s="73">
        <v>0.20498750855971101</v>
      </c>
      <c r="H515" s="73">
        <v>-7.9668385085225592E-6</v>
      </c>
      <c r="I515" s="73">
        <v>0.147944096969712</v>
      </c>
      <c r="J515" s="73">
        <v>1.7769114605193099</v>
      </c>
      <c r="K515" s="73"/>
      <c r="L515" s="73"/>
      <c r="M515" s="73"/>
      <c r="O515" s="13">
        <f t="shared" ref="O515:O578" ca="1" si="280">C515-AVERAGE(OFFSET(C$67,$J$2,0,$J$3))</f>
        <v>1.7408044010428392E-5</v>
      </c>
      <c r="P515" s="13">
        <f t="shared" ref="P515:P578" ca="1" si="281">D515-AVERAGE(OFFSET(D$67,$J$2,0,$J$3))</f>
        <v>-8.4539257036133139E-6</v>
      </c>
      <c r="Q515" s="13">
        <f t="shared" ref="Q515:Q578" ca="1" si="282">E515-AVERAGE(OFFSET(E$67,$J$2,0,$J$3))</f>
        <v>1.0441611518057715E-2</v>
      </c>
      <c r="R515" s="13">
        <f t="shared" ref="R515:R578" ca="1" si="283">F515-AVERAGE(OFFSET(F$67,$J$2,0,$J$3))</f>
        <v>6.1492313845771585E-4</v>
      </c>
      <c r="S515" s="13">
        <f t="shared" ref="S515:S578" ca="1" si="284">G515-AVERAGE(OFFSET(G$67,$J$2,0,$J$3))</f>
        <v>0.20385242992646965</v>
      </c>
      <c r="T515" s="13">
        <f t="shared" ref="T515:T578" ca="1" si="285">H515-AVERAGE(OFFSET(H$67,$J$2,0,$J$3))</f>
        <v>-8.3166600195466457E-6</v>
      </c>
      <c r="U515" s="13">
        <f t="shared" ref="U515:U578" ca="1" si="286">I515-AVERAGE(OFFSET(I$67,$J$2,0,$J$3))</f>
        <v>0.14729025297492349</v>
      </c>
      <c r="V515" s="13">
        <f t="shared" ref="V515:V578" ca="1" si="287">J515-AVERAGE(OFFSET(J$67,$J$2,0,$J$3))</f>
        <v>1.7697726795968558</v>
      </c>
      <c r="X515" s="3">
        <f t="shared" ref="X515:X578" ca="1" si="288">O515</f>
        <v>1.7408044010428392E-5</v>
      </c>
      <c r="Y515" s="3">
        <f t="shared" ref="Y515:Y578" ca="1" si="289">P515</f>
        <v>-8.4539257036133139E-6</v>
      </c>
      <c r="Z515" s="3">
        <f t="shared" ref="Z515:Z578" ca="1" si="290">IF($T515&gt;0,Q515-($B$14/$B$18*$T515), Q515)</f>
        <v>1.0441611518057715E-2</v>
      </c>
      <c r="AA515" s="3">
        <f t="shared" ref="AA515:AA578" ca="1" si="291">IF($T515&gt;0,R515-($B$15/$B$18*$T515), R515)</f>
        <v>6.1492313845771585E-4</v>
      </c>
      <c r="AB515" s="3">
        <f t="shared" ref="AB515:AB578" ca="1" si="292">IF($T515&gt;0,S515-($B$17/$B$18*$T515), S515)</f>
        <v>0.20385242992646965</v>
      </c>
      <c r="AC515" s="3">
        <f t="shared" ref="AC515:AC578" ca="1" si="293">T515</f>
        <v>-8.3166600195466457E-6</v>
      </c>
      <c r="AD515" s="3">
        <f t="shared" ref="AD515:AD578" ca="1" si="294">IF($T515&gt;0,U515-($B$19/$B$18*$T515), U515)</f>
        <v>0.14729025297492349</v>
      </c>
      <c r="AE515" s="3">
        <f t="shared" ref="AE515:AE578" ca="1" si="295">IF($T515&gt;0,V515-($B$20/$B$18*$T515), V515)</f>
        <v>1.7697726795968558</v>
      </c>
      <c r="AG515" s="3">
        <f t="shared" ref="AG515:AG578" ca="1" si="296">X515</f>
        <v>1.7408044010428392E-5</v>
      </c>
      <c r="AH515" s="3">
        <f t="shared" ref="AH515:AH578" ca="1" si="297">Y515</f>
        <v>-8.4539257036133139E-6</v>
      </c>
      <c r="AI515" s="3">
        <f t="shared" ref="AI515:AI578" ca="1" si="298">IF($Y515&gt;0,Z515-($B$25/$B$23*$Y515),Z515)</f>
        <v>1.0441611518057715E-2</v>
      </c>
      <c r="AJ515" s="3">
        <f t="shared" ref="AJ515:AJ578" ca="1" si="299">IF($Y515&gt;0,AA515-($B$26/$B$23*$Y515),AA515)</f>
        <v>6.1492313845771585E-4</v>
      </c>
      <c r="AK515" s="3">
        <f t="shared" ref="AK515:AK578" ca="1" si="300">AB515</f>
        <v>0.20385242992646965</v>
      </c>
      <c r="AL515" s="3">
        <f t="shared" ref="AL515:AL578" ca="1" si="301">AC515</f>
        <v>-8.3166600195466457E-6</v>
      </c>
      <c r="AM515" s="3">
        <f t="shared" ref="AM515:AM578" ca="1" si="302">AD515</f>
        <v>0.14729025297492349</v>
      </c>
      <c r="AN515" s="3">
        <f t="shared" ref="AN515:AN578" ca="1" si="303">AE515</f>
        <v>1.7697726795968558</v>
      </c>
      <c r="AP515" s="3">
        <f t="shared" ref="AP515:AP578" ca="1" si="304">IF(AND(S515&gt;0,V515&gt;0),V515/S515, #N/A)</f>
        <v>8.6816364182424497</v>
      </c>
      <c r="AQ515" s="3">
        <f t="shared" ca="1" si="271"/>
        <v>0.3999503709599419</v>
      </c>
      <c r="AR515" s="3">
        <f t="shared" ref="AR515:AR578" ca="1" si="305">AQ515*R515</f>
        <v>2.4593873733801515E-4</v>
      </c>
      <c r="AS515" s="3">
        <f t="shared" ref="AS515:AS578" ca="1" si="306">U515-AR515</f>
        <v>0.14704431423758546</v>
      </c>
      <c r="AT515" s="3">
        <f t="shared" ref="AT515:AT578" ca="1" si="307">(AS515/S515)/((AP515/$B$10)^$B$12)</f>
        <v>0.70839142711920444</v>
      </c>
      <c r="AU515" s="3">
        <f t="shared" ref="AU515:AU578" ca="1" si="308">(Q515/S515)/((AP515/$B$10)^$B$13)</f>
        <v>5.3139862260035087E-2</v>
      </c>
      <c r="AV515" s="10">
        <f t="shared" ca="1" si="272"/>
        <v>0.70839142711920444</v>
      </c>
      <c r="AW515" s="10">
        <f t="shared" ca="1" si="273"/>
        <v>0.70839142711920444</v>
      </c>
      <c r="AY515" s="3">
        <f t="shared" ca="1" si="279"/>
        <v>8.6816364182424497</v>
      </c>
      <c r="AZ515" s="3">
        <f t="shared" ca="1" si="274"/>
        <v>0.3999503709599419</v>
      </c>
      <c r="BA515" s="3">
        <f t="shared" ref="BA515:BA578" ca="1" si="309">AZ515*AJ515</f>
        <v>2.4593873733801515E-4</v>
      </c>
      <c r="BB515" s="3">
        <f t="shared" ca="1" si="275"/>
        <v>0.14704431423758546</v>
      </c>
      <c r="BC515" s="3">
        <f t="shared" ca="1" si="276"/>
        <v>0.70839142711920444</v>
      </c>
      <c r="BD515" s="3">
        <f t="shared" ref="BD515:BD578" ca="1" si="310">(AI515/AK515)/((AY515/$B$10)^$B$13)</f>
        <v>5.3139862260035087E-2</v>
      </c>
      <c r="BE515" s="3">
        <f t="shared" ca="1" si="277"/>
        <v>0.70839142711920444</v>
      </c>
      <c r="BF515" s="3">
        <f t="shared" ca="1" si="278"/>
        <v>0.70839142711920444</v>
      </c>
    </row>
    <row r="516" spans="1:58" ht="15" x14ac:dyDescent="0.25">
      <c r="A516" s="72">
        <v>450</v>
      </c>
      <c r="B516" s="72">
        <v>1498730356.573</v>
      </c>
      <c r="C516" s="73">
        <v>3.38004733350867E-4</v>
      </c>
      <c r="D516" s="73">
        <v>4.3228261064457799E-5</v>
      </c>
      <c r="E516" s="73">
        <v>1.13119420932477E-2</v>
      </c>
      <c r="F516" s="73">
        <v>4.7876453567100702E-4</v>
      </c>
      <c r="G516" s="73">
        <v>0.20405154342152701</v>
      </c>
      <c r="H516" s="73">
        <v>1.25134258648633E-5</v>
      </c>
      <c r="I516" s="73">
        <v>0.14750163894135401</v>
      </c>
      <c r="J516" s="73">
        <v>1.77244424950516</v>
      </c>
      <c r="K516" s="73"/>
      <c r="L516" s="73"/>
      <c r="M516" s="73"/>
      <c r="O516" s="13">
        <f t="shared" ca="1" si="280"/>
        <v>7.3317504079305413E-5</v>
      </c>
      <c r="P516" s="13">
        <f t="shared" ca="1" si="281"/>
        <v>3.1940785679617627E-5</v>
      </c>
      <c r="Q516" s="13">
        <f t="shared" ca="1" si="282"/>
        <v>1.0471202475275014E-2</v>
      </c>
      <c r="R516" s="13">
        <f t="shared" ca="1" si="283"/>
        <v>4.6898825678032589E-4</v>
      </c>
      <c r="S516" s="13">
        <f t="shared" ca="1" si="284"/>
        <v>0.20291646478828565</v>
      </c>
      <c r="T516" s="13">
        <f t="shared" ca="1" si="285"/>
        <v>1.2163604353839214E-5</v>
      </c>
      <c r="U516" s="13">
        <f t="shared" ca="1" si="286"/>
        <v>0.1468477949465655</v>
      </c>
      <c r="V516" s="13">
        <f t="shared" ca="1" si="287"/>
        <v>1.7653054685827059</v>
      </c>
      <c r="X516" s="3">
        <f t="shared" ca="1" si="288"/>
        <v>7.3317504079305413E-5</v>
      </c>
      <c r="Y516" s="3">
        <f t="shared" ca="1" si="289"/>
        <v>3.1940785679617627E-5</v>
      </c>
      <c r="Z516" s="3">
        <f t="shared" ca="1" si="290"/>
        <v>1.0471109414599588E-2</v>
      </c>
      <c r="AA516" s="3">
        <f t="shared" ca="1" si="291"/>
        <v>4.6673576543193438E-4</v>
      </c>
      <c r="AB516" s="3">
        <f t="shared" ca="1" si="292"/>
        <v>0.20290008399439524</v>
      </c>
      <c r="AC516" s="3">
        <f t="shared" ca="1" si="293"/>
        <v>1.2163604353839214E-5</v>
      </c>
      <c r="AD516" s="3">
        <f t="shared" ca="1" si="294"/>
        <v>0.14682360445849299</v>
      </c>
      <c r="AE516" s="3">
        <f t="shared" ca="1" si="295"/>
        <v>1.7652956526453911</v>
      </c>
      <c r="AG516" s="3">
        <f t="shared" ca="1" si="296"/>
        <v>7.3317504079305413E-5</v>
      </c>
      <c r="AH516" s="3">
        <f t="shared" ca="1" si="297"/>
        <v>3.1940785679617627E-5</v>
      </c>
      <c r="AI516" s="3">
        <f t="shared" ca="1" si="298"/>
        <v>1.0445381281156758E-2</v>
      </c>
      <c r="AJ516" s="3">
        <f t="shared" ca="1" si="299"/>
        <v>4.5252862096490656E-4</v>
      </c>
      <c r="AK516" s="3">
        <f t="shared" ca="1" si="300"/>
        <v>0.20290008399439524</v>
      </c>
      <c r="AL516" s="3">
        <f t="shared" ca="1" si="301"/>
        <v>1.2163604353839214E-5</v>
      </c>
      <c r="AM516" s="3">
        <f t="shared" ca="1" si="302"/>
        <v>0.14682360445849299</v>
      </c>
      <c r="AN516" s="3">
        <f t="shared" ca="1" si="303"/>
        <v>1.7652956526453911</v>
      </c>
      <c r="AP516" s="3">
        <f t="shared" ca="1" si="304"/>
        <v>8.6996659951894486</v>
      </c>
      <c r="AQ516" s="3">
        <f t="shared" ref="AQ516:AQ523" ca="1" si="311">$B$8*((AP516/$B$10)^$B$11)</f>
        <v>0.40079105207064503</v>
      </c>
      <c r="AR516" s="3">
        <f t="shared" ca="1" si="305"/>
        <v>1.8796629684376463E-4</v>
      </c>
      <c r="AS516" s="3">
        <f t="shared" ca="1" si="306"/>
        <v>0.14665982864972174</v>
      </c>
      <c r="AT516" s="3">
        <f t="shared" ca="1" si="307"/>
        <v>0.70905693456029384</v>
      </c>
      <c r="AU516" s="3">
        <f t="shared" ca="1" si="308"/>
        <v>5.3650032493112877E-2</v>
      </c>
      <c r="AV516" s="10">
        <f t="shared" ref="AV516:AV579" ca="1" si="312">IF(AND(AT516&lt;$M$3,AT516&gt;$M$4),AT516,"rejected")</f>
        <v>0.70905693456029384</v>
      </c>
      <c r="AW516" s="10">
        <f t="shared" ref="AW516:AW579" ca="1" si="313">IF(AND(AT516&lt;$M$3,AT516&gt;$M$4),AT516,#N/A)</f>
        <v>0.70905693456029384</v>
      </c>
      <c r="AY516" s="3">
        <f t="shared" ca="1" si="279"/>
        <v>8.7003199697746521</v>
      </c>
      <c r="AZ516" s="3">
        <f t="shared" ref="AZ516:AZ523" ca="1" si="314">$B$8*((AY516/$B$10)^$B$11)</f>
        <v>0.40082154592235691</v>
      </c>
      <c r="BA516" s="3">
        <f t="shared" ca="1" si="309"/>
        <v>1.8138322142926614E-4</v>
      </c>
      <c r="BB516" s="3">
        <f t="shared" ref="BB516:BB523" ca="1" si="315">AM516-BA516</f>
        <v>0.14664222123706372</v>
      </c>
      <c r="BC516" s="3">
        <f t="shared" ref="BC516:BC523" ca="1" si="316">(BB516/AK516)/((AY516/$B$10)^$B$12)</f>
        <v>0.70900220585505358</v>
      </c>
      <c r="BD516" s="3">
        <f t="shared" ca="1" si="310"/>
        <v>5.352617315957308E-2</v>
      </c>
      <c r="BE516" s="3">
        <f t="shared" ref="BE516:BE579" ca="1" si="317">IF(AND(BC516&lt;$P$3,BC516&gt;$P$4),BC516,"rejected")</f>
        <v>0.70900220585505358</v>
      </c>
      <c r="BF516" s="3">
        <f t="shared" ref="BF516:BF579" ca="1" si="318">IF(AND(BC516&lt;$P$3,BC516&gt;$P$4),BC516,#N/A)</f>
        <v>0.70900220585505358</v>
      </c>
    </row>
    <row r="517" spans="1:58" ht="15" x14ac:dyDescent="0.25">
      <c r="A517" s="72">
        <v>451</v>
      </c>
      <c r="B517" s="72">
        <v>1498730357.0999999</v>
      </c>
      <c r="C517" s="73">
        <v>3.1016856833562898E-4</v>
      </c>
      <c r="D517" s="73">
        <v>9.8744144079286007E-5</v>
      </c>
      <c r="E517" s="73">
        <v>1.16841885261525E-2</v>
      </c>
      <c r="F517" s="73">
        <v>7.6327396390311105E-4</v>
      </c>
      <c r="G517" s="73">
        <v>0.209848902948616</v>
      </c>
      <c r="H517" s="73">
        <v>2.8650222744137102E-5</v>
      </c>
      <c r="I517" s="73">
        <v>0.15155523953393901</v>
      </c>
      <c r="J517" s="73">
        <v>1.82126328957838</v>
      </c>
      <c r="K517" s="73"/>
      <c r="L517" s="73"/>
      <c r="M517" s="73"/>
      <c r="O517" s="13">
        <f t="shared" ca="1" si="280"/>
        <v>4.5481339064067398E-5</v>
      </c>
      <c r="P517" s="13">
        <f t="shared" ca="1" si="281"/>
        <v>8.7456668694445828E-5</v>
      </c>
      <c r="Q517" s="13">
        <f t="shared" ca="1" si="282"/>
        <v>1.0843448908179815E-2</v>
      </c>
      <c r="R517" s="13">
        <f t="shared" ca="1" si="283"/>
        <v>7.5349768501242992E-4</v>
      </c>
      <c r="S517" s="13">
        <f t="shared" ca="1" si="284"/>
        <v>0.20871382431537464</v>
      </c>
      <c r="T517" s="13">
        <f t="shared" ca="1" si="285"/>
        <v>2.8300401233113015E-5</v>
      </c>
      <c r="U517" s="13">
        <f t="shared" ca="1" si="286"/>
        <v>0.1509013955391505</v>
      </c>
      <c r="V517" s="13">
        <f t="shared" ca="1" si="287"/>
        <v>1.8141245086559259</v>
      </c>
      <c r="X517" s="3">
        <f t="shared" ca="1" si="288"/>
        <v>4.5481339064067398E-5</v>
      </c>
      <c r="Y517" s="3">
        <f t="shared" ca="1" si="289"/>
        <v>8.7456668694445828E-5</v>
      </c>
      <c r="Z517" s="3">
        <f t="shared" ca="1" si="290"/>
        <v>1.084323238893297E-2</v>
      </c>
      <c r="AA517" s="3">
        <f t="shared" ca="1" si="291"/>
        <v>7.4825693506042448E-4</v>
      </c>
      <c r="AB517" s="3">
        <f t="shared" ca="1" si="292"/>
        <v>0.20867571200703822</v>
      </c>
      <c r="AC517" s="3">
        <f t="shared" ca="1" si="293"/>
        <v>2.8300401233113015E-5</v>
      </c>
      <c r="AD517" s="3">
        <f t="shared" ca="1" si="294"/>
        <v>0.15084511283720115</v>
      </c>
      <c r="AE517" s="3">
        <f t="shared" ca="1" si="295"/>
        <v>1.8141016704447837</v>
      </c>
      <c r="AG517" s="3">
        <f t="shared" ca="1" si="296"/>
        <v>4.5481339064067398E-5</v>
      </c>
      <c r="AH517" s="3">
        <f t="shared" ca="1" si="297"/>
        <v>8.7456668694445828E-5</v>
      </c>
      <c r="AI517" s="3">
        <f t="shared" ca="1" si="298"/>
        <v>1.0772786506192148E-2</v>
      </c>
      <c r="AJ517" s="3">
        <f t="shared" ca="1" si="299"/>
        <v>7.0935652919032509E-4</v>
      </c>
      <c r="AK517" s="3">
        <f t="shared" ca="1" si="300"/>
        <v>0.20867571200703822</v>
      </c>
      <c r="AL517" s="3">
        <f t="shared" ca="1" si="301"/>
        <v>2.8300401233113015E-5</v>
      </c>
      <c r="AM517" s="3">
        <f t="shared" ca="1" si="302"/>
        <v>0.15084511283720115</v>
      </c>
      <c r="AN517" s="3">
        <f t="shared" ca="1" si="303"/>
        <v>1.8141016704447837</v>
      </c>
      <c r="AP517" s="3">
        <f t="shared" ca="1" si="304"/>
        <v>8.6919230894581947</v>
      </c>
      <c r="AQ517" s="3">
        <f t="shared" ca="1" si="311"/>
        <v>0.40043001413106016</v>
      </c>
      <c r="AR517" s="3">
        <f t="shared" ca="1" si="305"/>
        <v>3.0172308865724842E-4</v>
      </c>
      <c r="AS517" s="3">
        <f t="shared" ca="1" si="306"/>
        <v>0.15059967245049324</v>
      </c>
      <c r="AT517" s="3">
        <f t="shared" ca="1" si="307"/>
        <v>0.70819813072458038</v>
      </c>
      <c r="AU517" s="3">
        <f t="shared" ca="1" si="308"/>
        <v>5.3964883729577848E-2</v>
      </c>
      <c r="AV517" s="10">
        <f t="shared" ca="1" si="312"/>
        <v>0.70819813072458038</v>
      </c>
      <c r="AW517" s="10">
        <f t="shared" ca="1" si="313"/>
        <v>0.70819813072458038</v>
      </c>
      <c r="AY517" s="3">
        <f t="shared" ref="AY517:AY580" ca="1" si="319">IF(AND(AN517&gt;0, AK517&gt;0),AN517/AK517, #N/A)</f>
        <v>8.6934011294213178</v>
      </c>
      <c r="AZ517" s="3">
        <f t="shared" ca="1" si="314"/>
        <v>0.40049893220778171</v>
      </c>
      <c r="BA517" s="3">
        <f t="shared" ca="1" si="309"/>
        <v>2.8409653249534335E-4</v>
      </c>
      <c r="BB517" s="3">
        <f t="shared" ca="1" si="315"/>
        <v>0.15056101630470581</v>
      </c>
      <c r="BC517" s="3">
        <f t="shared" ca="1" si="316"/>
        <v>0.70808502657826633</v>
      </c>
      <c r="BD517" s="3">
        <f t="shared" ca="1" si="310"/>
        <v>5.3632338600471903E-2</v>
      </c>
      <c r="BE517" s="3">
        <f t="shared" ca="1" si="317"/>
        <v>0.70808502657826633</v>
      </c>
      <c r="BF517" s="3">
        <f t="shared" ca="1" si="318"/>
        <v>0.70808502657826633</v>
      </c>
    </row>
    <row r="518" spans="1:58" ht="15" x14ac:dyDescent="0.25">
      <c r="A518" s="72">
        <v>452</v>
      </c>
      <c r="B518" s="72">
        <v>1498730357.6270001</v>
      </c>
      <c r="C518" s="73">
        <v>2.5188167650643699E-4</v>
      </c>
      <c r="D518" s="73">
        <v>-7.0976759662213199E-7</v>
      </c>
      <c r="E518" s="73">
        <v>1.2243417320016201E-2</v>
      </c>
      <c r="F518" s="73">
        <v>6.3065153712758197E-4</v>
      </c>
      <c r="G518" s="73">
        <v>0.22475912159679901</v>
      </c>
      <c r="H518" s="73">
        <v>-2.2090323716633601E-5</v>
      </c>
      <c r="I518" s="73">
        <v>0.162292733708333</v>
      </c>
      <c r="J518" s="73">
        <v>1.94689497306229</v>
      </c>
      <c r="K518" s="73"/>
      <c r="L518" s="73"/>
      <c r="M518" s="73"/>
      <c r="O518" s="13">
        <f t="shared" ca="1" si="280"/>
        <v>-1.280555276512459E-5</v>
      </c>
      <c r="P518" s="13">
        <f t="shared" ca="1" si="281"/>
        <v>-1.1997242981462305E-5</v>
      </c>
      <c r="Q518" s="13">
        <f t="shared" ca="1" si="282"/>
        <v>1.1402677702043515E-2</v>
      </c>
      <c r="R518" s="13">
        <f t="shared" ca="1" si="283"/>
        <v>6.2087525823690084E-4</v>
      </c>
      <c r="S518" s="13">
        <f t="shared" ca="1" si="284"/>
        <v>0.22362404296355765</v>
      </c>
      <c r="T518" s="13">
        <f t="shared" ca="1" si="285"/>
        <v>-2.2440145227657688E-5</v>
      </c>
      <c r="U518" s="13">
        <f t="shared" ca="1" si="286"/>
        <v>0.16163888971354448</v>
      </c>
      <c r="V518" s="13">
        <f t="shared" ca="1" si="287"/>
        <v>1.9397561921398359</v>
      </c>
      <c r="X518" s="3">
        <f t="shared" ca="1" si="288"/>
        <v>-1.280555276512459E-5</v>
      </c>
      <c r="Y518" s="3">
        <f t="shared" ca="1" si="289"/>
        <v>-1.1997242981462305E-5</v>
      </c>
      <c r="Z518" s="3">
        <f t="shared" ca="1" si="290"/>
        <v>1.1402677702043515E-2</v>
      </c>
      <c r="AA518" s="3">
        <f t="shared" ca="1" si="291"/>
        <v>6.2087525823690084E-4</v>
      </c>
      <c r="AB518" s="3">
        <f t="shared" ca="1" si="292"/>
        <v>0.22362404296355765</v>
      </c>
      <c r="AC518" s="3">
        <f t="shared" ca="1" si="293"/>
        <v>-2.2440145227657688E-5</v>
      </c>
      <c r="AD518" s="3">
        <f t="shared" ca="1" si="294"/>
        <v>0.16163888971354448</v>
      </c>
      <c r="AE518" s="3">
        <f t="shared" ca="1" si="295"/>
        <v>1.9397561921398359</v>
      </c>
      <c r="AG518" s="3">
        <f t="shared" ca="1" si="296"/>
        <v>-1.280555276512459E-5</v>
      </c>
      <c r="AH518" s="3">
        <f t="shared" ca="1" si="297"/>
        <v>-1.1997242981462305E-5</v>
      </c>
      <c r="AI518" s="3">
        <f t="shared" ca="1" si="298"/>
        <v>1.1402677702043515E-2</v>
      </c>
      <c r="AJ518" s="3">
        <f t="shared" ca="1" si="299"/>
        <v>6.2087525823690084E-4</v>
      </c>
      <c r="AK518" s="3">
        <f t="shared" ca="1" si="300"/>
        <v>0.22362404296355765</v>
      </c>
      <c r="AL518" s="3">
        <f t="shared" ca="1" si="301"/>
        <v>-2.2440145227657688E-5</v>
      </c>
      <c r="AM518" s="3">
        <f t="shared" ca="1" si="302"/>
        <v>0.16163888971354448</v>
      </c>
      <c r="AN518" s="3">
        <f t="shared" ca="1" si="303"/>
        <v>1.9397561921398359</v>
      </c>
      <c r="AP518" s="3">
        <f t="shared" ca="1" si="304"/>
        <v>8.6741844321987482</v>
      </c>
      <c r="AQ518" s="3">
        <f t="shared" ca="1" si="311"/>
        <v>0.39960290676495164</v>
      </c>
      <c r="AR518" s="3">
        <f t="shared" ca="1" si="305"/>
        <v>2.4810355792990557E-4</v>
      </c>
      <c r="AS518" s="3">
        <f t="shared" ca="1" si="306"/>
        <v>0.16139078615561459</v>
      </c>
      <c r="AT518" s="3">
        <f t="shared" ca="1" si="307"/>
        <v>0.70906982867602675</v>
      </c>
      <c r="AU518" s="3">
        <f t="shared" ca="1" si="308"/>
        <v>5.285371602654141E-2</v>
      </c>
      <c r="AV518" s="10">
        <f t="shared" ca="1" si="312"/>
        <v>0.70906982867602675</v>
      </c>
      <c r="AW518" s="10">
        <f t="shared" ca="1" si="313"/>
        <v>0.70906982867602675</v>
      </c>
      <c r="AY518" s="3">
        <f t="shared" ca="1" si="319"/>
        <v>8.6741844321987482</v>
      </c>
      <c r="AZ518" s="3">
        <f t="shared" ca="1" si="314"/>
        <v>0.39960290676495164</v>
      </c>
      <c r="BA518" s="3">
        <f t="shared" ca="1" si="309"/>
        <v>2.4810355792990557E-4</v>
      </c>
      <c r="BB518" s="3">
        <f t="shared" ca="1" si="315"/>
        <v>0.16139078615561459</v>
      </c>
      <c r="BC518" s="3">
        <f t="shared" ca="1" si="316"/>
        <v>0.70906982867602675</v>
      </c>
      <c r="BD518" s="3">
        <f t="shared" ca="1" si="310"/>
        <v>5.285371602654141E-2</v>
      </c>
      <c r="BE518" s="3">
        <f t="shared" ca="1" si="317"/>
        <v>0.70906982867602675</v>
      </c>
      <c r="BF518" s="3">
        <f t="shared" ca="1" si="318"/>
        <v>0.70906982867602675</v>
      </c>
    </row>
    <row r="519" spans="1:58" ht="15" x14ac:dyDescent="0.25">
      <c r="A519" s="72">
        <v>453</v>
      </c>
      <c r="B519" s="72">
        <v>1498730358.1530001</v>
      </c>
      <c r="C519" s="73">
        <v>3.6203486736346302E-4</v>
      </c>
      <c r="D519" s="73">
        <v>6.6131020585444701E-6</v>
      </c>
      <c r="E519" s="73">
        <v>1.3102723701088399E-2</v>
      </c>
      <c r="F519" s="73">
        <v>8.3066337891468602E-4</v>
      </c>
      <c r="G519" s="73">
        <v>0.23974486136641601</v>
      </c>
      <c r="H519" s="73">
        <v>1.12710519648989E-6</v>
      </c>
      <c r="I519" s="73">
        <v>0.17338573736395199</v>
      </c>
      <c r="J519" s="73">
        <v>2.08169534361513</v>
      </c>
      <c r="K519" s="73"/>
      <c r="L519" s="73"/>
      <c r="M519" s="73"/>
      <c r="O519" s="13">
        <f t="shared" ca="1" si="280"/>
        <v>9.7347638091901435E-5</v>
      </c>
      <c r="P519" s="13">
        <f t="shared" ca="1" si="281"/>
        <v>-4.6743733262957031E-6</v>
      </c>
      <c r="Q519" s="13">
        <f t="shared" ca="1" si="282"/>
        <v>1.2261984083115714E-2</v>
      </c>
      <c r="R519" s="13">
        <f t="shared" ca="1" si="283"/>
        <v>8.2088710002400488E-4</v>
      </c>
      <c r="S519" s="13">
        <f t="shared" ca="1" si="284"/>
        <v>0.23860978273317465</v>
      </c>
      <c r="T519" s="13">
        <f t="shared" ca="1" si="285"/>
        <v>7.7728368546580328E-7</v>
      </c>
      <c r="U519" s="13">
        <f t="shared" ca="1" si="286"/>
        <v>0.17273189336916348</v>
      </c>
      <c r="V519" s="13">
        <f t="shared" ca="1" si="287"/>
        <v>2.0745565626926759</v>
      </c>
      <c r="X519" s="3">
        <f t="shared" ca="1" si="288"/>
        <v>9.7347638091901435E-5</v>
      </c>
      <c r="Y519" s="3">
        <f t="shared" ca="1" si="289"/>
        <v>-4.6743733262957031E-6</v>
      </c>
      <c r="Z519" s="3">
        <f t="shared" ca="1" si="290"/>
        <v>1.2261978136313873E-2</v>
      </c>
      <c r="AA519" s="3">
        <f t="shared" ca="1" si="291"/>
        <v>8.2074316038852958E-4</v>
      </c>
      <c r="AB519" s="3">
        <f t="shared" ca="1" si="292"/>
        <v>0.23860873596089602</v>
      </c>
      <c r="AC519" s="3">
        <f t="shared" ca="1" si="293"/>
        <v>7.7728368546580328E-7</v>
      </c>
      <c r="AD519" s="3">
        <f t="shared" ca="1" si="294"/>
        <v>0.17273034753857122</v>
      </c>
      <c r="AE519" s="3">
        <f t="shared" ca="1" si="295"/>
        <v>2.0745559354305825</v>
      </c>
      <c r="AG519" s="3">
        <f t="shared" ca="1" si="296"/>
        <v>9.7347638091901435E-5</v>
      </c>
      <c r="AH519" s="3">
        <f t="shared" ca="1" si="297"/>
        <v>-4.6743733262957031E-6</v>
      </c>
      <c r="AI519" s="3">
        <f t="shared" ca="1" si="298"/>
        <v>1.2261978136313873E-2</v>
      </c>
      <c r="AJ519" s="3">
        <f t="shared" ca="1" si="299"/>
        <v>8.2074316038852958E-4</v>
      </c>
      <c r="AK519" s="3">
        <f t="shared" ca="1" si="300"/>
        <v>0.23860873596089602</v>
      </c>
      <c r="AL519" s="3">
        <f t="shared" ca="1" si="301"/>
        <v>7.7728368546580328E-7</v>
      </c>
      <c r="AM519" s="3">
        <f t="shared" ca="1" si="302"/>
        <v>0.17273034753857122</v>
      </c>
      <c r="AN519" s="3">
        <f t="shared" ca="1" si="303"/>
        <v>2.0745559354305825</v>
      </c>
      <c r="AP519" s="3">
        <f t="shared" ca="1" si="304"/>
        <v>8.6943483160225181</v>
      </c>
      <c r="AQ519" s="3">
        <f t="shared" ca="1" si="311"/>
        <v>0.40054309771813335</v>
      </c>
      <c r="AR519" s="3">
        <f t="shared" ca="1" si="305"/>
        <v>3.2880066192047006E-4</v>
      </c>
      <c r="AS519" s="3">
        <f t="shared" ca="1" si="306"/>
        <v>0.17240309270724299</v>
      </c>
      <c r="AT519" s="3">
        <f t="shared" ca="1" si="307"/>
        <v>0.70905146091285653</v>
      </c>
      <c r="AU519" s="3">
        <f t="shared" ca="1" si="308"/>
        <v>5.3393882822363986E-2</v>
      </c>
      <c r="AV519" s="10">
        <f t="shared" ca="1" si="312"/>
        <v>0.70905146091285653</v>
      </c>
      <c r="AW519" s="10">
        <f t="shared" ca="1" si="313"/>
        <v>0.70905146091285653</v>
      </c>
      <c r="AY519" s="3">
        <f t="shared" ca="1" si="319"/>
        <v>8.6943838291426498</v>
      </c>
      <c r="AZ519" s="3">
        <f t="shared" ca="1" si="314"/>
        <v>0.40054475362853992</v>
      </c>
      <c r="BA519" s="3">
        <f t="shared" ca="1" si="309"/>
        <v>3.2874436697013278E-4</v>
      </c>
      <c r="BB519" s="3">
        <f t="shared" ca="1" si="315"/>
        <v>0.17240160317160108</v>
      </c>
      <c r="BC519" s="3">
        <f t="shared" ca="1" si="316"/>
        <v>0.7090469868892898</v>
      </c>
      <c r="BD519" s="3">
        <f t="shared" ca="1" si="310"/>
        <v>5.3394314330819072E-2</v>
      </c>
      <c r="BE519" s="3">
        <f t="shared" ca="1" si="317"/>
        <v>0.7090469868892898</v>
      </c>
      <c r="BF519" s="3">
        <f t="shared" ca="1" si="318"/>
        <v>0.7090469868892898</v>
      </c>
    </row>
    <row r="520" spans="1:58" ht="15" x14ac:dyDescent="0.25">
      <c r="A520" s="72">
        <v>454</v>
      </c>
      <c r="B520" s="72">
        <v>1498730358.681</v>
      </c>
      <c r="C520" s="73">
        <v>2.5735336246583397E-4</v>
      </c>
      <c r="D520" s="73">
        <v>1.9841648762444799E-5</v>
      </c>
      <c r="E520" s="73">
        <v>1.20967794214845E-2</v>
      </c>
      <c r="F520" s="73">
        <v>5.9422511970854601E-4</v>
      </c>
      <c r="G520" s="73">
        <v>0.22133504504767099</v>
      </c>
      <c r="H520" s="73">
        <v>6.4240783771694296E-5</v>
      </c>
      <c r="I520" s="73">
        <v>0.160238404074417</v>
      </c>
      <c r="J520" s="73">
        <v>1.9263956866276299</v>
      </c>
      <c r="K520" s="73"/>
      <c r="L520" s="73"/>
      <c r="M520" s="73"/>
      <c r="O520" s="13">
        <f t="shared" ca="1" si="280"/>
        <v>-7.3338668057276106E-6</v>
      </c>
      <c r="P520" s="13">
        <f t="shared" ca="1" si="281"/>
        <v>8.5541733776046262E-6</v>
      </c>
      <c r="Q520" s="13">
        <f t="shared" ca="1" si="282"/>
        <v>1.1256039803511815E-2</v>
      </c>
      <c r="R520" s="13">
        <f t="shared" ca="1" si="283"/>
        <v>5.8444884081786488E-4</v>
      </c>
      <c r="S520" s="13">
        <f t="shared" ca="1" si="284"/>
        <v>0.22019996641442963</v>
      </c>
      <c r="T520" s="13">
        <f t="shared" ca="1" si="285"/>
        <v>6.3890962260670207E-5</v>
      </c>
      <c r="U520" s="13">
        <f t="shared" ca="1" si="286"/>
        <v>0.15958456007962848</v>
      </c>
      <c r="V520" s="13">
        <f t="shared" ca="1" si="287"/>
        <v>1.9192569057051758</v>
      </c>
      <c r="X520" s="3">
        <f t="shared" ca="1" si="288"/>
        <v>-7.3338668057276106E-6</v>
      </c>
      <c r="Y520" s="3">
        <f t="shared" ca="1" si="289"/>
        <v>8.5541733776046262E-6</v>
      </c>
      <c r="Z520" s="3">
        <f t="shared" ca="1" si="290"/>
        <v>1.1255550989840418E-2</v>
      </c>
      <c r="AA520" s="3">
        <f t="shared" ca="1" si="291"/>
        <v>5.7261732808971987E-4</v>
      </c>
      <c r="AB520" s="3">
        <f t="shared" ca="1" si="292"/>
        <v>0.22011392409886205</v>
      </c>
      <c r="AC520" s="3">
        <f t="shared" ca="1" si="293"/>
        <v>6.3890962260670207E-5</v>
      </c>
      <c r="AD520" s="3">
        <f t="shared" ca="1" si="294"/>
        <v>0.15945749629856917</v>
      </c>
      <c r="AE520" s="3">
        <f t="shared" ca="1" si="295"/>
        <v>1.9192053461787164</v>
      </c>
      <c r="AG520" s="3">
        <f t="shared" ca="1" si="296"/>
        <v>-7.3338668057276106E-6</v>
      </c>
      <c r="AH520" s="3">
        <f t="shared" ca="1" si="297"/>
        <v>8.5541733776046262E-6</v>
      </c>
      <c r="AI520" s="3">
        <f t="shared" ca="1" si="298"/>
        <v>1.1248660648558282E-2</v>
      </c>
      <c r="AJ520" s="3">
        <f t="shared" ca="1" si="299"/>
        <v>5.6881246310641468E-4</v>
      </c>
      <c r="AK520" s="3">
        <f t="shared" ca="1" si="300"/>
        <v>0.22011392409886205</v>
      </c>
      <c r="AL520" s="3">
        <f t="shared" ca="1" si="301"/>
        <v>6.3890962260670207E-5</v>
      </c>
      <c r="AM520" s="3">
        <f t="shared" ca="1" si="302"/>
        <v>0.15945749629856917</v>
      </c>
      <c r="AN520" s="3">
        <f t="shared" ca="1" si="303"/>
        <v>1.9192053461787164</v>
      </c>
      <c r="AP520" s="3">
        <f t="shared" ca="1" si="304"/>
        <v>8.7159727449413804</v>
      </c>
      <c r="AQ520" s="3">
        <f t="shared" ca="1" si="311"/>
        <v>0.40155141958691715</v>
      </c>
      <c r="AR520" s="3">
        <f t="shared" ca="1" si="305"/>
        <v>2.346862617063418E-4</v>
      </c>
      <c r="AS520" s="3">
        <f t="shared" ca="1" si="306"/>
        <v>0.15934987381792215</v>
      </c>
      <c r="AT520" s="3">
        <f t="shared" ca="1" si="307"/>
        <v>0.7092708868431391</v>
      </c>
      <c r="AU520" s="3">
        <f t="shared" ca="1" si="308"/>
        <v>5.3246526827647016E-2</v>
      </c>
      <c r="AV520" s="10">
        <f t="shared" ca="1" si="312"/>
        <v>0.7092708868431391</v>
      </c>
      <c r="AW520" s="10">
        <f t="shared" ca="1" si="313"/>
        <v>0.7092708868431391</v>
      </c>
      <c r="AY520" s="3">
        <f t="shared" ca="1" si="319"/>
        <v>8.7191455698946321</v>
      </c>
      <c r="AZ520" s="3">
        <f t="shared" ca="1" si="314"/>
        <v>0.40169936726383265</v>
      </c>
      <c r="BA520" s="3">
        <f t="shared" ca="1" si="309"/>
        <v>2.2849160652162892E-4</v>
      </c>
      <c r="BB520" s="3">
        <f t="shared" ca="1" si="315"/>
        <v>0.15922900469204754</v>
      </c>
      <c r="BC520" s="3">
        <f t="shared" ca="1" si="316"/>
        <v>0.70887999762158982</v>
      </c>
      <c r="BD520" s="3">
        <f t="shared" ca="1" si="310"/>
        <v>5.3252248733636431E-2</v>
      </c>
      <c r="BE520" s="3">
        <f t="shared" ca="1" si="317"/>
        <v>0.70887999762158982</v>
      </c>
      <c r="BF520" s="3">
        <f t="shared" ca="1" si="318"/>
        <v>0.70887999762158982</v>
      </c>
    </row>
    <row r="521" spans="1:58" ht="15" x14ac:dyDescent="0.25">
      <c r="A521" s="72">
        <v>455</v>
      </c>
      <c r="B521" s="72">
        <v>1498730359.2079999</v>
      </c>
      <c r="C521" s="73">
        <v>3.2277801703615701E-4</v>
      </c>
      <c r="D521" s="73">
        <v>3.9448569205214002E-5</v>
      </c>
      <c r="E521" s="73">
        <v>1.0689505772068701E-2</v>
      </c>
      <c r="F521" s="73">
        <v>5.3208900257038804E-4</v>
      </c>
      <c r="G521" s="73">
        <v>0.19378641906198099</v>
      </c>
      <c r="H521" s="73">
        <v>-5.32351822206161E-5</v>
      </c>
      <c r="I521" s="73">
        <v>0.14014140537105799</v>
      </c>
      <c r="J521" s="73">
        <v>1.68470689102612</v>
      </c>
      <c r="K521" s="73"/>
      <c r="L521" s="73"/>
      <c r="M521" s="73"/>
      <c r="O521" s="13">
        <f t="shared" ca="1" si="280"/>
        <v>5.8090787764595426E-5</v>
      </c>
      <c r="P521" s="13">
        <f t="shared" ca="1" si="281"/>
        <v>2.816109382037383E-5</v>
      </c>
      <c r="Q521" s="13">
        <f t="shared" ca="1" si="282"/>
        <v>9.8487661540960156E-3</v>
      </c>
      <c r="R521" s="13">
        <f t="shared" ca="1" si="283"/>
        <v>5.2231272367970691E-4</v>
      </c>
      <c r="S521" s="13">
        <f t="shared" ca="1" si="284"/>
        <v>0.19265134042873963</v>
      </c>
      <c r="T521" s="13">
        <f t="shared" ca="1" si="285"/>
        <v>-5.358500373164019E-5</v>
      </c>
      <c r="U521" s="13">
        <f t="shared" ca="1" si="286"/>
        <v>0.13948756137626947</v>
      </c>
      <c r="V521" s="13">
        <f t="shared" ca="1" si="287"/>
        <v>1.6775681101036659</v>
      </c>
      <c r="X521" s="3">
        <f t="shared" ca="1" si="288"/>
        <v>5.8090787764595426E-5</v>
      </c>
      <c r="Y521" s="3">
        <f t="shared" ca="1" si="289"/>
        <v>2.816109382037383E-5</v>
      </c>
      <c r="Z521" s="3">
        <f t="shared" ca="1" si="290"/>
        <v>9.8487661540960156E-3</v>
      </c>
      <c r="AA521" s="3">
        <f t="shared" ca="1" si="291"/>
        <v>5.2231272367970691E-4</v>
      </c>
      <c r="AB521" s="3">
        <f t="shared" ca="1" si="292"/>
        <v>0.19265134042873963</v>
      </c>
      <c r="AC521" s="3">
        <f t="shared" ca="1" si="293"/>
        <v>-5.358500373164019E-5</v>
      </c>
      <c r="AD521" s="3">
        <f t="shared" ca="1" si="294"/>
        <v>0.13948756137626947</v>
      </c>
      <c r="AE521" s="3">
        <f t="shared" ca="1" si="295"/>
        <v>1.6775681101036659</v>
      </c>
      <c r="AG521" s="3">
        <f t="shared" ca="1" si="296"/>
        <v>5.8090787764595426E-5</v>
      </c>
      <c r="AH521" s="3">
        <f t="shared" ca="1" si="297"/>
        <v>2.816109382037383E-5</v>
      </c>
      <c r="AI521" s="3">
        <f t="shared" ca="1" si="298"/>
        <v>9.8260825423973543E-3</v>
      </c>
      <c r="AJ521" s="3">
        <f t="shared" ca="1" si="299"/>
        <v>5.097867723061662E-4</v>
      </c>
      <c r="AK521" s="3">
        <f t="shared" ca="1" si="300"/>
        <v>0.19265134042873963</v>
      </c>
      <c r="AL521" s="3">
        <f t="shared" ca="1" si="301"/>
        <v>-5.358500373164019E-5</v>
      </c>
      <c r="AM521" s="3">
        <f t="shared" ca="1" si="302"/>
        <v>0.13948756137626947</v>
      </c>
      <c r="AN521" s="3">
        <f t="shared" ca="1" si="303"/>
        <v>1.6775681101036659</v>
      </c>
      <c r="AP521" s="3">
        <f t="shared" ca="1" si="304"/>
        <v>8.7077936046034754</v>
      </c>
      <c r="AQ521" s="3">
        <f t="shared" ca="1" si="311"/>
        <v>0.40117003225216308</v>
      </c>
      <c r="AR521" s="3">
        <f t="shared" ca="1" si="305"/>
        <v>2.0953621220430317E-4</v>
      </c>
      <c r="AS521" s="3">
        <f t="shared" ca="1" si="306"/>
        <v>0.13927802516406518</v>
      </c>
      <c r="AT521" s="3">
        <f t="shared" ca="1" si="307"/>
        <v>0.70891400649721925</v>
      </c>
      <c r="AU521" s="3">
        <f t="shared" ca="1" si="308"/>
        <v>5.3200472174393588E-2</v>
      </c>
      <c r="AV521" s="10">
        <f t="shared" ca="1" si="312"/>
        <v>0.70891400649721925</v>
      </c>
      <c r="AW521" s="10">
        <f t="shared" ca="1" si="313"/>
        <v>0.70891400649721925</v>
      </c>
      <c r="AY521" s="3">
        <f t="shared" ca="1" si="319"/>
        <v>8.7077936046034754</v>
      </c>
      <c r="AZ521" s="3">
        <f t="shared" ca="1" si="314"/>
        <v>0.40117003225216308</v>
      </c>
      <c r="BA521" s="3">
        <f t="shared" ca="1" si="309"/>
        <v>2.0451117588779082E-4</v>
      </c>
      <c r="BB521" s="3">
        <f t="shared" ca="1" si="315"/>
        <v>0.13928305020038168</v>
      </c>
      <c r="BC521" s="3">
        <f t="shared" ca="1" si="316"/>
        <v>0.7089395835300909</v>
      </c>
      <c r="BD521" s="3">
        <f t="shared" ca="1" si="310"/>
        <v>5.3077941206137479E-2</v>
      </c>
      <c r="BE521" s="3">
        <f t="shared" ca="1" si="317"/>
        <v>0.7089395835300909</v>
      </c>
      <c r="BF521" s="3">
        <f t="shared" ca="1" si="318"/>
        <v>0.7089395835300909</v>
      </c>
    </row>
    <row r="522" spans="1:58" ht="15" x14ac:dyDescent="0.25">
      <c r="A522" s="72">
        <v>456</v>
      </c>
      <c r="B522" s="72">
        <v>1498730359.734</v>
      </c>
      <c r="C522" s="73">
        <v>4.3127343723907202E-4</v>
      </c>
      <c r="D522" s="73">
        <v>1.5095553216983601E-4</v>
      </c>
      <c r="E522" s="73">
        <v>1.08982284807475E-2</v>
      </c>
      <c r="F522" s="73">
        <v>6.1779500283530998E-4</v>
      </c>
      <c r="G522" s="73">
        <v>0.19786040289513501</v>
      </c>
      <c r="H522" s="73">
        <v>1.534839773559E-5</v>
      </c>
      <c r="I522" s="73">
        <v>0.14296073523328301</v>
      </c>
      <c r="J522" s="73">
        <v>1.71634564451696</v>
      </c>
      <c r="K522" s="73"/>
      <c r="L522" s="73"/>
      <c r="M522" s="73"/>
      <c r="O522" s="13">
        <f t="shared" ca="1" si="280"/>
        <v>1.6658620796751043E-4</v>
      </c>
      <c r="P522" s="13">
        <f t="shared" ca="1" si="281"/>
        <v>1.3966805678499583E-4</v>
      </c>
      <c r="Q522" s="13">
        <f t="shared" ca="1" si="282"/>
        <v>1.0057488862774815E-2</v>
      </c>
      <c r="R522" s="13">
        <f t="shared" ca="1" si="283"/>
        <v>6.0801872394462885E-4</v>
      </c>
      <c r="S522" s="13">
        <f t="shared" ca="1" si="284"/>
        <v>0.19672532426189365</v>
      </c>
      <c r="T522" s="13">
        <f t="shared" ca="1" si="285"/>
        <v>1.4998576224565914E-5</v>
      </c>
      <c r="U522" s="13">
        <f t="shared" ca="1" si="286"/>
        <v>0.14230689123849449</v>
      </c>
      <c r="V522" s="13">
        <f t="shared" ca="1" si="287"/>
        <v>1.7092068635945059</v>
      </c>
      <c r="X522" s="3">
        <f t="shared" ca="1" si="288"/>
        <v>1.6658620796751043E-4</v>
      </c>
      <c r="Y522" s="3">
        <f t="shared" ca="1" si="289"/>
        <v>1.3966805678499583E-4</v>
      </c>
      <c r="Z522" s="3">
        <f t="shared" ca="1" si="290"/>
        <v>1.0057374112443146E-2</v>
      </c>
      <c r="AA522" s="3">
        <f t="shared" ca="1" si="291"/>
        <v>6.0524124432582147E-4</v>
      </c>
      <c r="AB522" s="3">
        <f t="shared" ca="1" si="292"/>
        <v>0.19670512559555781</v>
      </c>
      <c r="AC522" s="3">
        <f t="shared" ca="1" si="293"/>
        <v>1.4998576224565914E-5</v>
      </c>
      <c r="AD522" s="3">
        <f t="shared" ca="1" si="294"/>
        <v>0.14227706267216575</v>
      </c>
      <c r="AE522" s="3">
        <f t="shared" ca="1" si="295"/>
        <v>1.7091947598561938</v>
      </c>
      <c r="AG522" s="3">
        <f t="shared" ca="1" si="296"/>
        <v>1.6658620796751043E-4</v>
      </c>
      <c r="AH522" s="3">
        <f t="shared" ca="1" si="297"/>
        <v>1.3966805678499583E-4</v>
      </c>
      <c r="AI522" s="3">
        <f t="shared" ca="1" si="298"/>
        <v>9.9448722335379516E-3</v>
      </c>
      <c r="AJ522" s="3">
        <f t="shared" ca="1" si="299"/>
        <v>5.4311740429017347E-4</v>
      </c>
      <c r="AK522" s="3">
        <f t="shared" ca="1" si="300"/>
        <v>0.19670512559555781</v>
      </c>
      <c r="AL522" s="3">
        <f t="shared" ca="1" si="301"/>
        <v>1.4998576224565914E-5</v>
      </c>
      <c r="AM522" s="3">
        <f t="shared" ca="1" si="302"/>
        <v>0.14227706267216575</v>
      </c>
      <c r="AN522" s="3">
        <f t="shared" ca="1" si="303"/>
        <v>1.7091947598561938</v>
      </c>
      <c r="AP522" s="3">
        <f t="shared" ca="1" si="304"/>
        <v>8.6882909966339543</v>
      </c>
      <c r="AQ522" s="3">
        <f t="shared" ca="1" si="311"/>
        <v>0.40026065743866773</v>
      </c>
      <c r="AR522" s="3">
        <f t="shared" ca="1" si="305"/>
        <v>2.4336597418109698E-4</v>
      </c>
      <c r="AS522" s="3">
        <f t="shared" ca="1" si="306"/>
        <v>0.1420635252643134</v>
      </c>
      <c r="AT522" s="3">
        <f t="shared" ca="1" si="307"/>
        <v>0.7089174925134919</v>
      </c>
      <c r="AU522" s="3">
        <f t="shared" ca="1" si="308"/>
        <v>5.3080936645588973E-2</v>
      </c>
      <c r="AV522" s="10">
        <f t="shared" ca="1" si="312"/>
        <v>0.7089174925134919</v>
      </c>
      <c r="AW522" s="10">
        <f t="shared" ca="1" si="313"/>
        <v>0.7089174925134919</v>
      </c>
      <c r="AY522" s="3">
        <f t="shared" ca="1" si="319"/>
        <v>8.6891216214184546</v>
      </c>
      <c r="AZ522" s="3">
        <f t="shared" ca="1" si="314"/>
        <v>0.40029938761377754</v>
      </c>
      <c r="BA522" s="3">
        <f t="shared" ca="1" si="309"/>
        <v>2.1740956433974088E-4</v>
      </c>
      <c r="BB522" s="3">
        <f t="shared" ca="1" si="315"/>
        <v>0.14205965310782601</v>
      </c>
      <c r="BC522" s="3">
        <f t="shared" ca="1" si="316"/>
        <v>0.70893683220739967</v>
      </c>
      <c r="BD522" s="3">
        <f t="shared" ca="1" si="310"/>
        <v>5.2497098599974597E-2</v>
      </c>
      <c r="BE522" s="3">
        <f t="shared" ca="1" si="317"/>
        <v>0.70893683220739967</v>
      </c>
      <c r="BF522" s="3">
        <f t="shared" ca="1" si="318"/>
        <v>0.70893683220739967</v>
      </c>
    </row>
    <row r="523" spans="1:58" ht="15" x14ac:dyDescent="0.25">
      <c r="A523" s="72">
        <v>457</v>
      </c>
      <c r="B523" s="72">
        <v>1498730360.2609999</v>
      </c>
      <c r="C523" s="73">
        <v>3.3110509875364398E-4</v>
      </c>
      <c r="D523" s="73">
        <v>1.5589596658531999E-5</v>
      </c>
      <c r="E523" s="73">
        <v>1.1782386258411701E-2</v>
      </c>
      <c r="F523" s="73">
        <v>6.8326981849080499E-4</v>
      </c>
      <c r="G523" s="73">
        <v>0.21474287968510999</v>
      </c>
      <c r="H523" s="73">
        <v>-8.3683700470639701E-6</v>
      </c>
      <c r="I523" s="73">
        <v>0.15497591361100499</v>
      </c>
      <c r="J523" s="73">
        <v>1.85994903982832</v>
      </c>
      <c r="K523" s="73"/>
      <c r="L523" s="73"/>
      <c r="M523" s="73"/>
      <c r="O523" s="13">
        <f t="shared" ca="1" si="280"/>
        <v>6.64178694820824E-5</v>
      </c>
      <c r="P523" s="13">
        <f t="shared" ca="1" si="281"/>
        <v>4.3021212736918254E-6</v>
      </c>
      <c r="Q523" s="13">
        <f t="shared" ca="1" si="282"/>
        <v>1.0941646640439015E-2</v>
      </c>
      <c r="R523" s="13">
        <f t="shared" ca="1" si="283"/>
        <v>6.7349353960012386E-4</v>
      </c>
      <c r="S523" s="13">
        <f t="shared" ca="1" si="284"/>
        <v>0.21360780105186863</v>
      </c>
      <c r="T523" s="13">
        <f t="shared" ca="1" si="285"/>
        <v>-8.7181915580880566E-6</v>
      </c>
      <c r="U523" s="13">
        <f t="shared" ca="1" si="286"/>
        <v>0.15432206961621647</v>
      </c>
      <c r="V523" s="13">
        <f t="shared" ca="1" si="287"/>
        <v>1.8528102589058659</v>
      </c>
      <c r="X523" s="3">
        <f t="shared" ca="1" si="288"/>
        <v>6.64178694820824E-5</v>
      </c>
      <c r="Y523" s="3">
        <f t="shared" ca="1" si="289"/>
        <v>4.3021212736918254E-6</v>
      </c>
      <c r="Z523" s="3">
        <f t="shared" ca="1" si="290"/>
        <v>1.0941646640439015E-2</v>
      </c>
      <c r="AA523" s="3">
        <f t="shared" ca="1" si="291"/>
        <v>6.7349353960012386E-4</v>
      </c>
      <c r="AB523" s="3">
        <f t="shared" ca="1" si="292"/>
        <v>0.21360780105186863</v>
      </c>
      <c r="AC523" s="3">
        <f t="shared" ca="1" si="293"/>
        <v>-8.7181915580880566E-6</v>
      </c>
      <c r="AD523" s="3">
        <f t="shared" ca="1" si="294"/>
        <v>0.15432206961621647</v>
      </c>
      <c r="AE523" s="3">
        <f t="shared" ca="1" si="295"/>
        <v>1.8528102589058659</v>
      </c>
      <c r="AG523" s="3">
        <f t="shared" ca="1" si="296"/>
        <v>6.64178694820824E-5</v>
      </c>
      <c r="AH523" s="3">
        <f t="shared" ca="1" si="297"/>
        <v>4.3021212736918254E-6</v>
      </c>
      <c r="AI523" s="3">
        <f t="shared" ca="1" si="298"/>
        <v>1.0938181304572608E-2</v>
      </c>
      <c r="AJ523" s="3">
        <f t="shared" ca="1" si="299"/>
        <v>6.715799718168174E-4</v>
      </c>
      <c r="AK523" s="3">
        <f t="shared" ca="1" si="300"/>
        <v>0.21360780105186863</v>
      </c>
      <c r="AL523" s="3">
        <f t="shared" ca="1" si="301"/>
        <v>-8.7181915580880566E-6</v>
      </c>
      <c r="AM523" s="3">
        <f t="shared" ca="1" si="302"/>
        <v>0.15432206961621647</v>
      </c>
      <c r="AN523" s="3">
        <f t="shared" ca="1" si="303"/>
        <v>1.8528102589058659</v>
      </c>
      <c r="AP523" s="3">
        <f t="shared" ca="1" si="304"/>
        <v>8.6738885461208568</v>
      </c>
      <c r="AQ523" s="3">
        <f t="shared" ca="1" si="311"/>
        <v>0.39958911054196949</v>
      </c>
      <c r="AR523" s="3">
        <f t="shared" ca="1" si="305"/>
        <v>2.6912068444457618E-4</v>
      </c>
      <c r="AS523" s="3">
        <f t="shared" ca="1" si="306"/>
        <v>0.1540529489317719</v>
      </c>
      <c r="AT523" s="3">
        <f t="shared" ca="1" si="307"/>
        <v>0.70858039399741524</v>
      </c>
      <c r="AU523" s="3">
        <f t="shared" ca="1" si="308"/>
        <v>5.3093039617237443E-2</v>
      </c>
      <c r="AV523" s="10">
        <f t="shared" ca="1" si="312"/>
        <v>0.70858039399741524</v>
      </c>
      <c r="AW523" s="10">
        <f t="shared" ca="1" si="313"/>
        <v>0.70858039399741524</v>
      </c>
      <c r="AY523" s="3">
        <f t="shared" ca="1" si="319"/>
        <v>8.6738885461208568</v>
      </c>
      <c r="AZ523" s="3">
        <f t="shared" ca="1" si="314"/>
        <v>0.39958911054196949</v>
      </c>
      <c r="BA523" s="3">
        <f t="shared" ca="1" si="309"/>
        <v>2.6835604359608299E-4</v>
      </c>
      <c r="BB523" s="3">
        <f t="shared" ca="1" si="315"/>
        <v>0.15405371357262038</v>
      </c>
      <c r="BC523" s="3">
        <f t="shared" ca="1" si="316"/>
        <v>0.70858391103176888</v>
      </c>
      <c r="BD523" s="3">
        <f t="shared" ca="1" si="310"/>
        <v>5.3076224486892969E-2</v>
      </c>
      <c r="BE523" s="3">
        <f t="shared" ca="1" si="317"/>
        <v>0.70858391103176888</v>
      </c>
      <c r="BF523" s="3">
        <f t="shared" ca="1" si="318"/>
        <v>0.70858391103176888</v>
      </c>
    </row>
    <row r="524" spans="1:58" ht="15" x14ac:dyDescent="0.25">
      <c r="A524" s="72">
        <v>458</v>
      </c>
      <c r="B524" s="72">
        <v>1498730360.7880001</v>
      </c>
      <c r="C524" s="73">
        <v>2.1810062716020901E-4</v>
      </c>
      <c r="D524" s="73">
        <v>-6.0708018870820199E-5</v>
      </c>
      <c r="E524" s="73">
        <v>1.2771875377748701E-2</v>
      </c>
      <c r="F524" s="73">
        <v>6.5993648293300995E-4</v>
      </c>
      <c r="G524" s="73">
        <v>0.23550508576910101</v>
      </c>
      <c r="H524" s="73">
        <v>-7.3054889010771402E-6</v>
      </c>
      <c r="I524" s="73">
        <v>0.17014161732289901</v>
      </c>
      <c r="J524" s="73">
        <v>2.0432784740115602</v>
      </c>
      <c r="K524" s="73"/>
      <c r="L524" s="73"/>
      <c r="M524" s="73"/>
      <c r="N524" s="19"/>
      <c r="O524" s="13">
        <f t="shared" ca="1" si="280"/>
        <v>-4.6586602111352575E-5</v>
      </c>
      <c r="P524" s="13">
        <f t="shared" ca="1" si="281"/>
        <v>-7.199549425566037E-5</v>
      </c>
      <c r="Q524" s="13">
        <f t="shared" ca="1" si="282"/>
        <v>1.1931135759776015E-2</v>
      </c>
      <c r="R524" s="13">
        <f t="shared" ca="1" si="283"/>
        <v>6.5016020404232882E-4</v>
      </c>
      <c r="S524" s="13">
        <f t="shared" ca="1" si="284"/>
        <v>0.23437000713585965</v>
      </c>
      <c r="T524" s="13">
        <f t="shared" ca="1" si="285"/>
        <v>-7.6553104121012275E-6</v>
      </c>
      <c r="U524" s="13">
        <f t="shared" ca="1" si="286"/>
        <v>0.16948777332811049</v>
      </c>
      <c r="V524" s="13">
        <f t="shared" ca="1" si="287"/>
        <v>2.036139693089106</v>
      </c>
      <c r="X524" s="3">
        <f t="shared" ca="1" si="288"/>
        <v>-4.6586602111352575E-5</v>
      </c>
      <c r="Y524" s="3">
        <f t="shared" ca="1" si="289"/>
        <v>-7.199549425566037E-5</v>
      </c>
      <c r="Z524" s="3">
        <f t="shared" ca="1" si="290"/>
        <v>1.1931135759776015E-2</v>
      </c>
      <c r="AA524" s="3">
        <f t="shared" ca="1" si="291"/>
        <v>6.5016020404232882E-4</v>
      </c>
      <c r="AB524" s="3">
        <f t="shared" ca="1" si="292"/>
        <v>0.23437000713585965</v>
      </c>
      <c r="AC524" s="3">
        <f t="shared" ca="1" si="293"/>
        <v>-7.6553104121012275E-6</v>
      </c>
      <c r="AD524" s="3">
        <f t="shared" ca="1" si="294"/>
        <v>0.16948777332811049</v>
      </c>
      <c r="AE524" s="3">
        <f t="shared" ca="1" si="295"/>
        <v>2.036139693089106</v>
      </c>
      <c r="AG524" s="3">
        <f t="shared" ca="1" si="296"/>
        <v>-4.6586602111352575E-5</v>
      </c>
      <c r="AH524" s="3">
        <f t="shared" ca="1" si="297"/>
        <v>-7.199549425566037E-5</v>
      </c>
      <c r="AI524" s="3">
        <f t="shared" ca="1" si="298"/>
        <v>1.1931135759776015E-2</v>
      </c>
      <c r="AJ524" s="3">
        <f t="shared" ca="1" si="299"/>
        <v>6.5016020404232882E-4</v>
      </c>
      <c r="AK524" s="3">
        <f t="shared" ca="1" si="300"/>
        <v>0.23437000713585965</v>
      </c>
      <c r="AL524" s="3">
        <f t="shared" ca="1" si="301"/>
        <v>-7.6553104121012275E-6</v>
      </c>
      <c r="AM524" s="3">
        <f t="shared" ca="1" si="302"/>
        <v>0.16948777332811049</v>
      </c>
      <c r="AN524" s="3">
        <f t="shared" ca="1" si="303"/>
        <v>2.036139693089106</v>
      </c>
      <c r="AP524" s="3">
        <f t="shared" ca="1" si="304"/>
        <v>8.6877144305789784</v>
      </c>
      <c r="AQ524" s="3">
        <f t="shared" ref="AQ524:AQ587" ca="1" si="320">$B$8*((AP524/$B$10)^$B$11)</f>
        <v>0.40023377348004402</v>
      </c>
      <c r="AR524" s="3">
        <f t="shared" ca="1" si="305"/>
        <v>2.6021607183041663E-4</v>
      </c>
      <c r="AS524" s="3">
        <f t="shared" ca="1" si="306"/>
        <v>0.16922755725628008</v>
      </c>
      <c r="AT524" s="3">
        <f t="shared" ca="1" si="307"/>
        <v>0.70885424045980694</v>
      </c>
      <c r="AU524" s="3">
        <f t="shared" ca="1" si="308"/>
        <v>5.2851771649020371E-2</v>
      </c>
      <c r="AV524" s="10">
        <f t="shared" ca="1" si="312"/>
        <v>0.70885424045980694</v>
      </c>
      <c r="AW524" s="10">
        <f t="shared" ca="1" si="313"/>
        <v>0.70885424045980694</v>
      </c>
      <c r="AX524" s="10"/>
      <c r="AY524" s="3">
        <f t="shared" ca="1" si="319"/>
        <v>8.6877144305789784</v>
      </c>
      <c r="AZ524" s="3">
        <f t="shared" ref="AZ524:AZ587" ca="1" si="321">$B$8*((AY524/$B$10)^$B$11)</f>
        <v>0.40023377348004402</v>
      </c>
      <c r="BA524" s="3">
        <f t="shared" ca="1" si="309"/>
        <v>2.6021607183041663E-4</v>
      </c>
      <c r="BB524" s="3">
        <f t="shared" ref="BB524:BB587" ca="1" si="322">AM524-BA524</f>
        <v>0.16922755725628008</v>
      </c>
      <c r="BC524" s="3">
        <f t="shared" ref="BC524:BC587" ca="1" si="323">(BB524/AK524)/((AY524/$B$10)^$B$12)</f>
        <v>0.70885424045980694</v>
      </c>
      <c r="BD524" s="3">
        <f t="shared" ca="1" si="310"/>
        <v>5.2851771649020371E-2</v>
      </c>
      <c r="BE524" s="3">
        <f t="shared" ca="1" si="317"/>
        <v>0.70885424045980694</v>
      </c>
      <c r="BF524" s="3">
        <f t="shared" ca="1" si="318"/>
        <v>0.70885424045980694</v>
      </c>
    </row>
    <row r="525" spans="1:58" ht="15" x14ac:dyDescent="0.25">
      <c r="A525" s="72">
        <v>459</v>
      </c>
      <c r="B525" s="72">
        <v>1498730361.3150001</v>
      </c>
      <c r="C525" s="73">
        <v>1.70999381500839E-4</v>
      </c>
      <c r="D525" s="73">
        <v>-2.81109938995702E-5</v>
      </c>
      <c r="E525" s="73">
        <v>1.2130728176095401E-2</v>
      </c>
      <c r="F525" s="73">
        <v>6.0112937131403198E-4</v>
      </c>
      <c r="G525" s="73">
        <v>0.223728675325916</v>
      </c>
      <c r="H525" s="73">
        <v>-5.8098469587739202E-5</v>
      </c>
      <c r="I525" s="73">
        <v>0.161865988079374</v>
      </c>
      <c r="J525" s="73">
        <v>1.94598627724535</v>
      </c>
      <c r="K525" s="73"/>
      <c r="L525" s="73"/>
      <c r="M525" s="73"/>
      <c r="N525" s="19"/>
      <c r="O525" s="13">
        <f t="shared" ca="1" si="280"/>
        <v>-9.3687847770722587E-5</v>
      </c>
      <c r="P525" s="13">
        <f t="shared" ca="1" si="281"/>
        <v>-3.9398469284410375E-5</v>
      </c>
      <c r="Q525" s="13">
        <f t="shared" ca="1" si="282"/>
        <v>1.1289988558122716E-2</v>
      </c>
      <c r="R525" s="13">
        <f t="shared" ca="1" si="283"/>
        <v>5.9135309242335085E-4</v>
      </c>
      <c r="S525" s="13">
        <f t="shared" ca="1" si="284"/>
        <v>0.22259359669267464</v>
      </c>
      <c r="T525" s="13">
        <f t="shared" ca="1" si="285"/>
        <v>-5.8448291098763292E-5</v>
      </c>
      <c r="U525" s="13">
        <f t="shared" ca="1" si="286"/>
        <v>0.16121214408458548</v>
      </c>
      <c r="V525" s="13">
        <f t="shared" ca="1" si="287"/>
        <v>1.9388474963228959</v>
      </c>
      <c r="X525" s="3">
        <f t="shared" ca="1" si="288"/>
        <v>-9.3687847770722587E-5</v>
      </c>
      <c r="Y525" s="3">
        <f t="shared" ca="1" si="289"/>
        <v>-3.9398469284410375E-5</v>
      </c>
      <c r="Z525" s="3">
        <f t="shared" ca="1" si="290"/>
        <v>1.1289988558122716E-2</v>
      </c>
      <c r="AA525" s="3">
        <f t="shared" ca="1" si="291"/>
        <v>5.9135309242335085E-4</v>
      </c>
      <c r="AB525" s="3">
        <f t="shared" ca="1" si="292"/>
        <v>0.22259359669267464</v>
      </c>
      <c r="AC525" s="3">
        <f t="shared" ca="1" si="293"/>
        <v>-5.8448291098763292E-5</v>
      </c>
      <c r="AD525" s="3">
        <f t="shared" ca="1" si="294"/>
        <v>0.16121214408458548</v>
      </c>
      <c r="AE525" s="3">
        <f t="shared" ca="1" si="295"/>
        <v>1.9388474963228959</v>
      </c>
      <c r="AG525" s="3">
        <f t="shared" ca="1" si="296"/>
        <v>-9.3687847770722587E-5</v>
      </c>
      <c r="AH525" s="3">
        <f t="shared" ca="1" si="297"/>
        <v>-3.9398469284410375E-5</v>
      </c>
      <c r="AI525" s="3">
        <f t="shared" ca="1" si="298"/>
        <v>1.1289988558122716E-2</v>
      </c>
      <c r="AJ525" s="3">
        <f t="shared" ca="1" si="299"/>
        <v>5.9135309242335085E-4</v>
      </c>
      <c r="AK525" s="3">
        <f t="shared" ca="1" si="300"/>
        <v>0.22259359669267464</v>
      </c>
      <c r="AL525" s="3">
        <f t="shared" ca="1" si="301"/>
        <v>-5.8448291098763292E-5</v>
      </c>
      <c r="AM525" s="3">
        <f t="shared" ca="1" si="302"/>
        <v>0.16121214408458548</v>
      </c>
      <c r="AN525" s="3">
        <f t="shared" ca="1" si="303"/>
        <v>1.9388474963228959</v>
      </c>
      <c r="AP525" s="3">
        <f t="shared" ca="1" si="304"/>
        <v>8.7102572811192722</v>
      </c>
      <c r="AQ525" s="3">
        <f t="shared" ca="1" si="320"/>
        <v>0.40128491122998783</v>
      </c>
      <c r="AR525" s="3">
        <f t="shared" ca="1" si="305"/>
        <v>2.3730107319868313E-4</v>
      </c>
      <c r="AS525" s="3">
        <f t="shared" ca="1" si="306"/>
        <v>0.16097484301138679</v>
      </c>
      <c r="AT525" s="3">
        <f t="shared" ca="1" si="307"/>
        <v>0.70903302740830143</v>
      </c>
      <c r="AU525" s="3">
        <f t="shared" ca="1" si="308"/>
        <v>5.2797364470758161E-2</v>
      </c>
      <c r="AV525" s="10">
        <f t="shared" ca="1" si="312"/>
        <v>0.70903302740830143</v>
      </c>
      <c r="AW525" s="10">
        <f t="shared" ca="1" si="313"/>
        <v>0.70903302740830143</v>
      </c>
      <c r="AX525" s="10"/>
      <c r="AY525" s="3">
        <f t="shared" ca="1" si="319"/>
        <v>8.7102572811192722</v>
      </c>
      <c r="AZ525" s="3">
        <f t="shared" ca="1" si="321"/>
        <v>0.40128491122998783</v>
      </c>
      <c r="BA525" s="3">
        <f t="shared" ca="1" si="309"/>
        <v>2.3730107319868313E-4</v>
      </c>
      <c r="BB525" s="3">
        <f t="shared" ca="1" si="322"/>
        <v>0.16097484301138679</v>
      </c>
      <c r="BC525" s="3">
        <f t="shared" ca="1" si="323"/>
        <v>0.70903302740830143</v>
      </c>
      <c r="BD525" s="3">
        <f t="shared" ca="1" si="310"/>
        <v>5.2797364470758161E-2</v>
      </c>
      <c r="BE525" s="3">
        <f t="shared" ca="1" si="317"/>
        <v>0.70903302740830143</v>
      </c>
      <c r="BF525" s="3">
        <f t="shared" ca="1" si="318"/>
        <v>0.70903302740830143</v>
      </c>
    </row>
    <row r="526" spans="1:58" ht="15" x14ac:dyDescent="0.25">
      <c r="A526" s="72">
        <v>460</v>
      </c>
      <c r="B526" s="72">
        <v>1498730361.842</v>
      </c>
      <c r="C526" s="73">
        <v>2.8066783868651999E-4</v>
      </c>
      <c r="D526" s="73">
        <v>1.0865115693047101E-5</v>
      </c>
      <c r="E526" s="73">
        <v>1.1947033271279699E-2</v>
      </c>
      <c r="F526" s="73">
        <v>6.65174531229486E-4</v>
      </c>
      <c r="G526" s="73">
        <v>0.219124242773065</v>
      </c>
      <c r="H526" s="73">
        <v>-3.8148030366236199E-5</v>
      </c>
      <c r="I526" s="73">
        <v>0.15828712678853199</v>
      </c>
      <c r="J526" s="73">
        <v>1.9025788393594001</v>
      </c>
      <c r="K526" s="73"/>
      <c r="L526" s="73"/>
      <c r="M526" s="73"/>
      <c r="N526" s="19"/>
      <c r="O526" s="13">
        <f t="shared" ca="1" si="280"/>
        <v>1.5980609414958404E-5</v>
      </c>
      <c r="P526" s="13">
        <f t="shared" ca="1" si="281"/>
        <v>-4.2235969179307268E-7</v>
      </c>
      <c r="Q526" s="13">
        <f t="shared" ca="1" si="282"/>
        <v>1.1106293653307014E-2</v>
      </c>
      <c r="R526" s="13">
        <f t="shared" ca="1" si="283"/>
        <v>6.5539825233880487E-4</v>
      </c>
      <c r="S526" s="13">
        <f t="shared" ca="1" si="284"/>
        <v>0.21798916413982364</v>
      </c>
      <c r="T526" s="13">
        <f t="shared" ca="1" si="285"/>
        <v>-3.8497851877260289E-5</v>
      </c>
      <c r="U526" s="13">
        <f t="shared" ca="1" si="286"/>
        <v>0.15763328279374347</v>
      </c>
      <c r="V526" s="13">
        <f t="shared" ca="1" si="287"/>
        <v>1.895440058436946</v>
      </c>
      <c r="X526" s="3">
        <f t="shared" ca="1" si="288"/>
        <v>1.5980609414958404E-5</v>
      </c>
      <c r="Y526" s="3">
        <f t="shared" ca="1" si="289"/>
        <v>-4.2235969179307268E-7</v>
      </c>
      <c r="Z526" s="3">
        <f t="shared" ca="1" si="290"/>
        <v>1.1106293653307014E-2</v>
      </c>
      <c r="AA526" s="3">
        <f t="shared" ca="1" si="291"/>
        <v>6.5539825233880487E-4</v>
      </c>
      <c r="AB526" s="3">
        <f t="shared" ca="1" si="292"/>
        <v>0.21798916413982364</v>
      </c>
      <c r="AC526" s="3">
        <f t="shared" ca="1" si="293"/>
        <v>-3.8497851877260289E-5</v>
      </c>
      <c r="AD526" s="3">
        <f t="shared" ca="1" si="294"/>
        <v>0.15763328279374347</v>
      </c>
      <c r="AE526" s="3">
        <f t="shared" ca="1" si="295"/>
        <v>1.895440058436946</v>
      </c>
      <c r="AG526" s="3">
        <f t="shared" ca="1" si="296"/>
        <v>1.5980609414958404E-5</v>
      </c>
      <c r="AH526" s="3">
        <f t="shared" ca="1" si="297"/>
        <v>-4.2235969179307268E-7</v>
      </c>
      <c r="AI526" s="3">
        <f t="shared" ca="1" si="298"/>
        <v>1.1106293653307014E-2</v>
      </c>
      <c r="AJ526" s="3">
        <f t="shared" ca="1" si="299"/>
        <v>6.5539825233880487E-4</v>
      </c>
      <c r="AK526" s="3">
        <f t="shared" ca="1" si="300"/>
        <v>0.21798916413982364</v>
      </c>
      <c r="AL526" s="3">
        <f t="shared" ca="1" si="301"/>
        <v>-3.8497851877260289E-5</v>
      </c>
      <c r="AM526" s="3">
        <f t="shared" ca="1" si="302"/>
        <v>0.15763328279374347</v>
      </c>
      <c r="AN526" s="3">
        <f t="shared" ca="1" si="303"/>
        <v>1.895440058436946</v>
      </c>
      <c r="AP526" s="3">
        <f t="shared" ca="1" si="304"/>
        <v>8.6951113644399491</v>
      </c>
      <c r="AQ526" s="3">
        <f t="shared" ca="1" si="320"/>
        <v>0.40057867725751645</v>
      </c>
      <c r="AR526" s="3">
        <f t="shared" ca="1" si="305"/>
        <v>2.6253856499876645E-4</v>
      </c>
      <c r="AS526" s="3">
        <f t="shared" ca="1" si="306"/>
        <v>0.1573707442287447</v>
      </c>
      <c r="AT526" s="3">
        <f t="shared" ca="1" si="307"/>
        <v>0.70842005598141922</v>
      </c>
      <c r="AU526" s="3">
        <f t="shared" ca="1" si="308"/>
        <v>5.2941013006896992E-2</v>
      </c>
      <c r="AV526" s="10">
        <f t="shared" ca="1" si="312"/>
        <v>0.70842005598141922</v>
      </c>
      <c r="AW526" s="10">
        <f t="shared" ca="1" si="313"/>
        <v>0.70842005598141922</v>
      </c>
      <c r="AX526" s="10"/>
      <c r="AY526" s="3">
        <f t="shared" ca="1" si="319"/>
        <v>8.6951113644399491</v>
      </c>
      <c r="AZ526" s="3">
        <f t="shared" ca="1" si="321"/>
        <v>0.40057867725751645</v>
      </c>
      <c r="BA526" s="3">
        <f t="shared" ca="1" si="309"/>
        <v>2.6253856499876645E-4</v>
      </c>
      <c r="BB526" s="3">
        <f t="shared" ca="1" si="322"/>
        <v>0.1573707442287447</v>
      </c>
      <c r="BC526" s="3">
        <f t="shared" ca="1" si="323"/>
        <v>0.70842005598141922</v>
      </c>
      <c r="BD526" s="3">
        <f t="shared" ca="1" si="310"/>
        <v>5.2941013006896992E-2</v>
      </c>
      <c r="BE526" s="3">
        <f t="shared" ca="1" si="317"/>
        <v>0.70842005598141922</v>
      </c>
      <c r="BF526" s="3">
        <f t="shared" ca="1" si="318"/>
        <v>0.70842005598141922</v>
      </c>
    </row>
    <row r="527" spans="1:58" ht="15" x14ac:dyDescent="0.25">
      <c r="A527" s="72">
        <v>461</v>
      </c>
      <c r="B527" s="72">
        <v>1498730362.369</v>
      </c>
      <c r="C527" s="73">
        <v>3.76548396706981E-4</v>
      </c>
      <c r="D527" s="73">
        <v>-5.4566632278717202E-5</v>
      </c>
      <c r="E527" s="73">
        <v>1.16531426984468E-2</v>
      </c>
      <c r="F527" s="73">
        <v>6.6398406329592097E-4</v>
      </c>
      <c r="G527" s="73">
        <v>0.213253335319885</v>
      </c>
      <c r="H527" s="73">
        <v>-3.5054762618488799E-5</v>
      </c>
      <c r="I527" s="73">
        <v>0.154231843083521</v>
      </c>
      <c r="J527" s="73">
        <v>1.8539560078227799</v>
      </c>
      <c r="K527" s="73"/>
      <c r="L527" s="73"/>
      <c r="M527" s="73"/>
      <c r="N527" s="19"/>
      <c r="O527" s="13">
        <f t="shared" ca="1" si="280"/>
        <v>1.1186116743541942E-4</v>
      </c>
      <c r="P527" s="13">
        <f t="shared" ca="1" si="281"/>
        <v>-6.5854107663557374E-5</v>
      </c>
      <c r="Q527" s="13">
        <f t="shared" ca="1" si="282"/>
        <v>1.0812403080474115E-2</v>
      </c>
      <c r="R527" s="13">
        <f t="shared" ca="1" si="283"/>
        <v>6.5420778440523984E-4</v>
      </c>
      <c r="S527" s="13">
        <f t="shared" ca="1" si="284"/>
        <v>0.21211825668664364</v>
      </c>
      <c r="T527" s="13">
        <f t="shared" ca="1" si="285"/>
        <v>-3.5404584129512889E-5</v>
      </c>
      <c r="U527" s="13">
        <f t="shared" ca="1" si="286"/>
        <v>0.15357799908873249</v>
      </c>
      <c r="V527" s="13">
        <f t="shared" ca="1" si="287"/>
        <v>1.8468172269003258</v>
      </c>
      <c r="X527" s="3">
        <f t="shared" ca="1" si="288"/>
        <v>1.1186116743541942E-4</v>
      </c>
      <c r="Y527" s="3">
        <f t="shared" ca="1" si="289"/>
        <v>-6.5854107663557374E-5</v>
      </c>
      <c r="Z527" s="3">
        <f t="shared" ca="1" si="290"/>
        <v>1.0812403080474115E-2</v>
      </c>
      <c r="AA527" s="3">
        <f t="shared" ca="1" si="291"/>
        <v>6.5420778440523984E-4</v>
      </c>
      <c r="AB527" s="3">
        <f t="shared" ca="1" si="292"/>
        <v>0.21211825668664364</v>
      </c>
      <c r="AC527" s="3">
        <f t="shared" ca="1" si="293"/>
        <v>-3.5404584129512889E-5</v>
      </c>
      <c r="AD527" s="3">
        <f t="shared" ca="1" si="294"/>
        <v>0.15357799908873249</v>
      </c>
      <c r="AE527" s="3">
        <f t="shared" ca="1" si="295"/>
        <v>1.8468172269003258</v>
      </c>
      <c r="AG527" s="3">
        <f t="shared" ca="1" si="296"/>
        <v>1.1186116743541942E-4</v>
      </c>
      <c r="AH527" s="3">
        <f t="shared" ca="1" si="297"/>
        <v>-6.5854107663557374E-5</v>
      </c>
      <c r="AI527" s="3">
        <f t="shared" ca="1" si="298"/>
        <v>1.0812403080474115E-2</v>
      </c>
      <c r="AJ527" s="3">
        <f t="shared" ca="1" si="299"/>
        <v>6.5420778440523984E-4</v>
      </c>
      <c r="AK527" s="3">
        <f t="shared" ca="1" si="300"/>
        <v>0.21211825668664364</v>
      </c>
      <c r="AL527" s="3">
        <f t="shared" ca="1" si="301"/>
        <v>-3.5404584129512889E-5</v>
      </c>
      <c r="AM527" s="3">
        <f t="shared" ca="1" si="302"/>
        <v>0.15357799908873249</v>
      </c>
      <c r="AN527" s="3">
        <f t="shared" ca="1" si="303"/>
        <v>1.8468172269003258</v>
      </c>
      <c r="AP527" s="3">
        <f t="shared" ca="1" si="304"/>
        <v>8.7065453759059377</v>
      </c>
      <c r="AQ527" s="3">
        <f t="shared" ca="1" si="320"/>
        <v>0.40111182864252815</v>
      </c>
      <c r="AR527" s="3">
        <f t="shared" ca="1" si="305"/>
        <v>2.6241048071496255E-4</v>
      </c>
      <c r="AS527" s="3">
        <f t="shared" ca="1" si="306"/>
        <v>0.15331558860801753</v>
      </c>
      <c r="AT527" s="3">
        <f t="shared" ca="1" si="307"/>
        <v>0.70879820754873124</v>
      </c>
      <c r="AU527" s="3">
        <f t="shared" ca="1" si="308"/>
        <v>5.3037881428912248E-2</v>
      </c>
      <c r="AV527" s="10">
        <f t="shared" ca="1" si="312"/>
        <v>0.70879820754873124</v>
      </c>
      <c r="AW527" s="10">
        <f t="shared" ca="1" si="313"/>
        <v>0.70879820754873124</v>
      </c>
      <c r="AX527" s="10"/>
      <c r="AY527" s="3">
        <f t="shared" ca="1" si="319"/>
        <v>8.7065453759059377</v>
      </c>
      <c r="AZ527" s="3">
        <f t="shared" ca="1" si="321"/>
        <v>0.40111182864252815</v>
      </c>
      <c r="BA527" s="3">
        <f t="shared" ca="1" si="309"/>
        <v>2.6241048071496255E-4</v>
      </c>
      <c r="BB527" s="3">
        <f t="shared" ca="1" si="322"/>
        <v>0.15331558860801753</v>
      </c>
      <c r="BC527" s="3">
        <f t="shared" ca="1" si="323"/>
        <v>0.70879820754873124</v>
      </c>
      <c r="BD527" s="3">
        <f t="shared" ca="1" si="310"/>
        <v>5.3037881428912248E-2</v>
      </c>
      <c r="BE527" s="3">
        <f t="shared" ca="1" si="317"/>
        <v>0.70879820754873124</v>
      </c>
      <c r="BF527" s="3">
        <f t="shared" ca="1" si="318"/>
        <v>0.70879820754873124</v>
      </c>
    </row>
    <row r="528" spans="1:58" ht="15" x14ac:dyDescent="0.25">
      <c r="A528" s="72">
        <v>462</v>
      </c>
      <c r="B528" s="72">
        <v>1498730362.8959999</v>
      </c>
      <c r="C528" s="73">
        <v>2.07871379896606E-4</v>
      </c>
      <c r="D528" s="73">
        <v>-6.3306286369712794E-5</v>
      </c>
      <c r="E528" s="73">
        <v>1.16865952192851E-2</v>
      </c>
      <c r="F528" s="73">
        <v>7.0088922893779104E-4</v>
      </c>
      <c r="G528" s="73">
        <v>0.21474762918141899</v>
      </c>
      <c r="H528" s="73">
        <v>-4.4782882277810203E-5</v>
      </c>
      <c r="I528" s="73">
        <v>0.15527563327318999</v>
      </c>
      <c r="J528" s="73">
        <v>1.8645400950037101</v>
      </c>
      <c r="K528" s="73"/>
      <c r="L528" s="73"/>
      <c r="M528" s="73"/>
      <c r="N528" s="19"/>
      <c r="O528" s="13">
        <f t="shared" ca="1" si="280"/>
        <v>-5.6815849374955587E-5</v>
      </c>
      <c r="P528" s="13">
        <f t="shared" ca="1" si="281"/>
        <v>-7.4593761754552972E-5</v>
      </c>
      <c r="Q528" s="13">
        <f t="shared" ca="1" si="282"/>
        <v>1.0845855601312415E-2</v>
      </c>
      <c r="R528" s="13">
        <f t="shared" ca="1" si="283"/>
        <v>6.911129500471099E-4</v>
      </c>
      <c r="S528" s="13">
        <f t="shared" ca="1" si="284"/>
        <v>0.21361255054817763</v>
      </c>
      <c r="T528" s="13">
        <f t="shared" ca="1" si="285"/>
        <v>-4.5132703788834293E-5</v>
      </c>
      <c r="U528" s="13">
        <f t="shared" ca="1" si="286"/>
        <v>0.15462178927840148</v>
      </c>
      <c r="V528" s="13">
        <f t="shared" ca="1" si="287"/>
        <v>1.857401314081256</v>
      </c>
      <c r="X528" s="3">
        <f t="shared" ca="1" si="288"/>
        <v>-5.6815849374955587E-5</v>
      </c>
      <c r="Y528" s="3">
        <f t="shared" ca="1" si="289"/>
        <v>-7.4593761754552972E-5</v>
      </c>
      <c r="Z528" s="3">
        <f t="shared" ca="1" si="290"/>
        <v>1.0845855601312415E-2</v>
      </c>
      <c r="AA528" s="3">
        <f t="shared" ca="1" si="291"/>
        <v>6.911129500471099E-4</v>
      </c>
      <c r="AB528" s="3">
        <f t="shared" ca="1" si="292"/>
        <v>0.21361255054817763</v>
      </c>
      <c r="AC528" s="3">
        <f t="shared" ca="1" si="293"/>
        <v>-4.5132703788834293E-5</v>
      </c>
      <c r="AD528" s="3">
        <f t="shared" ca="1" si="294"/>
        <v>0.15462178927840148</v>
      </c>
      <c r="AE528" s="3">
        <f t="shared" ca="1" si="295"/>
        <v>1.857401314081256</v>
      </c>
      <c r="AG528" s="3">
        <f t="shared" ca="1" si="296"/>
        <v>-5.6815849374955587E-5</v>
      </c>
      <c r="AH528" s="3">
        <f t="shared" ca="1" si="297"/>
        <v>-7.4593761754552972E-5</v>
      </c>
      <c r="AI528" s="3">
        <f t="shared" ca="1" si="298"/>
        <v>1.0845855601312415E-2</v>
      </c>
      <c r="AJ528" s="3">
        <f t="shared" ca="1" si="299"/>
        <v>6.911129500471099E-4</v>
      </c>
      <c r="AK528" s="3">
        <f t="shared" ca="1" si="300"/>
        <v>0.21361255054817763</v>
      </c>
      <c r="AL528" s="3">
        <f t="shared" ca="1" si="301"/>
        <v>-4.5132703788834293E-5</v>
      </c>
      <c r="AM528" s="3">
        <f t="shared" ca="1" si="302"/>
        <v>0.15462178927840148</v>
      </c>
      <c r="AN528" s="3">
        <f t="shared" ca="1" si="303"/>
        <v>1.857401314081256</v>
      </c>
      <c r="AP528" s="3">
        <f t="shared" ca="1" si="304"/>
        <v>8.6951881306353407</v>
      </c>
      <c r="AQ528" s="3">
        <f t="shared" ca="1" si="320"/>
        <v>0.40058225672562053</v>
      </c>
      <c r="AR528" s="3">
        <f t="shared" ca="1" si="305"/>
        <v>2.7684758518217235E-4</v>
      </c>
      <c r="AS528" s="3">
        <f t="shared" ca="1" si="306"/>
        <v>0.1543449416932193</v>
      </c>
      <c r="AT528" s="3">
        <f t="shared" ca="1" si="307"/>
        <v>0.70903138581709646</v>
      </c>
      <c r="AU528" s="3">
        <f t="shared" ca="1" si="308"/>
        <v>5.2759294190988439E-2</v>
      </c>
      <c r="AV528" s="10">
        <f t="shared" ca="1" si="312"/>
        <v>0.70903138581709646</v>
      </c>
      <c r="AW528" s="10">
        <f t="shared" ca="1" si="313"/>
        <v>0.70903138581709646</v>
      </c>
      <c r="AX528" s="10"/>
      <c r="AY528" s="3">
        <f t="shared" ca="1" si="319"/>
        <v>8.6951881306353407</v>
      </c>
      <c r="AZ528" s="3">
        <f t="shared" ca="1" si="321"/>
        <v>0.40058225672562053</v>
      </c>
      <c r="BA528" s="3">
        <f t="shared" ca="1" si="309"/>
        <v>2.7684758518217235E-4</v>
      </c>
      <c r="BB528" s="3">
        <f t="shared" ca="1" si="322"/>
        <v>0.1543449416932193</v>
      </c>
      <c r="BC528" s="3">
        <f t="shared" ca="1" si="323"/>
        <v>0.70903138581709646</v>
      </c>
      <c r="BD528" s="3">
        <f t="shared" ca="1" si="310"/>
        <v>5.2759294190988439E-2</v>
      </c>
      <c r="BE528" s="3">
        <f t="shared" ca="1" si="317"/>
        <v>0.70903138581709646</v>
      </c>
      <c r="BF528" s="3">
        <f t="shared" ca="1" si="318"/>
        <v>0.70903138581709646</v>
      </c>
    </row>
    <row r="529" spans="1:58" ht="15" x14ac:dyDescent="0.25">
      <c r="A529" s="72">
        <v>463</v>
      </c>
      <c r="B529" s="72">
        <v>1498730363.4230001</v>
      </c>
      <c r="C529" s="73">
        <v>2.34753114295983E-4</v>
      </c>
      <c r="D529" s="73">
        <v>-1.5827779139338401E-5</v>
      </c>
      <c r="E529" s="73">
        <v>1.1369201852757299E-2</v>
      </c>
      <c r="F529" s="73">
        <v>6.8612699907419404E-4</v>
      </c>
      <c r="G529" s="73">
        <v>0.20999522346259999</v>
      </c>
      <c r="H529" s="73">
        <v>-7.2332837843689106E-5</v>
      </c>
      <c r="I529" s="73">
        <v>0.15187756216141701</v>
      </c>
      <c r="J529" s="73">
        <v>1.82447655723129</v>
      </c>
      <c r="K529" s="73"/>
      <c r="L529" s="73"/>
      <c r="M529" s="73"/>
      <c r="N529" s="19"/>
      <c r="O529" s="13">
        <f t="shared" ca="1" si="280"/>
        <v>-2.9934114975578579E-5</v>
      </c>
      <c r="P529" s="13">
        <f t="shared" ca="1" si="281"/>
        <v>-2.7115254524178576E-5</v>
      </c>
      <c r="Q529" s="13">
        <f t="shared" ca="1" si="282"/>
        <v>1.0528462234784614E-2</v>
      </c>
      <c r="R529" s="13">
        <f t="shared" ca="1" si="283"/>
        <v>6.7635072018351291E-4</v>
      </c>
      <c r="S529" s="13">
        <f t="shared" ca="1" si="284"/>
        <v>0.20886014482935863</v>
      </c>
      <c r="T529" s="13">
        <f t="shared" ca="1" si="285"/>
        <v>-7.2682659354713196E-5</v>
      </c>
      <c r="U529" s="13">
        <f t="shared" ca="1" si="286"/>
        <v>0.1512237181666285</v>
      </c>
      <c r="V529" s="13">
        <f t="shared" ca="1" si="287"/>
        <v>1.8173377763088359</v>
      </c>
      <c r="X529" s="3">
        <f t="shared" ca="1" si="288"/>
        <v>-2.9934114975578579E-5</v>
      </c>
      <c r="Y529" s="3">
        <f t="shared" ca="1" si="289"/>
        <v>-2.7115254524178576E-5</v>
      </c>
      <c r="Z529" s="3">
        <f t="shared" ca="1" si="290"/>
        <v>1.0528462234784614E-2</v>
      </c>
      <c r="AA529" s="3">
        <f t="shared" ca="1" si="291"/>
        <v>6.7635072018351291E-4</v>
      </c>
      <c r="AB529" s="3">
        <f t="shared" ca="1" si="292"/>
        <v>0.20886014482935863</v>
      </c>
      <c r="AC529" s="3">
        <f t="shared" ca="1" si="293"/>
        <v>-7.2682659354713196E-5</v>
      </c>
      <c r="AD529" s="3">
        <f t="shared" ca="1" si="294"/>
        <v>0.1512237181666285</v>
      </c>
      <c r="AE529" s="3">
        <f t="shared" ca="1" si="295"/>
        <v>1.8173377763088359</v>
      </c>
      <c r="AG529" s="3">
        <f t="shared" ca="1" si="296"/>
        <v>-2.9934114975578579E-5</v>
      </c>
      <c r="AH529" s="3">
        <f t="shared" ca="1" si="297"/>
        <v>-2.7115254524178576E-5</v>
      </c>
      <c r="AI529" s="3">
        <f t="shared" ca="1" si="298"/>
        <v>1.0528462234784614E-2</v>
      </c>
      <c r="AJ529" s="3">
        <f t="shared" ca="1" si="299"/>
        <v>6.7635072018351291E-4</v>
      </c>
      <c r="AK529" s="3">
        <f t="shared" ca="1" si="300"/>
        <v>0.20886014482935863</v>
      </c>
      <c r="AL529" s="3">
        <f t="shared" ca="1" si="301"/>
        <v>-7.2682659354713196E-5</v>
      </c>
      <c r="AM529" s="3">
        <f t="shared" ca="1" si="302"/>
        <v>0.1512237181666285</v>
      </c>
      <c r="AN529" s="3">
        <f t="shared" ca="1" si="303"/>
        <v>1.8173377763088359</v>
      </c>
      <c r="AP529" s="3">
        <f t="shared" ca="1" si="304"/>
        <v>8.701218596748669</v>
      </c>
      <c r="AQ529" s="3">
        <f t="shared" ca="1" si="320"/>
        <v>0.40086344759249071</v>
      </c>
      <c r="AR529" s="3">
        <f t="shared" ca="1" si="305"/>
        <v>2.7112428147442697E-4</v>
      </c>
      <c r="AS529" s="3">
        <f t="shared" ca="1" si="306"/>
        <v>0.15095259388515406</v>
      </c>
      <c r="AT529" s="3">
        <f t="shared" ca="1" si="307"/>
        <v>0.70897871935012935</v>
      </c>
      <c r="AU529" s="3">
        <f t="shared" ca="1" si="308"/>
        <v>5.2417872533213485E-2</v>
      </c>
      <c r="AV529" s="10">
        <f t="shared" ca="1" si="312"/>
        <v>0.70897871935012935</v>
      </c>
      <c r="AW529" s="10">
        <f t="shared" ca="1" si="313"/>
        <v>0.70897871935012935</v>
      </c>
      <c r="AX529" s="10"/>
      <c r="AY529" s="3">
        <f t="shared" ca="1" si="319"/>
        <v>8.701218596748669</v>
      </c>
      <c r="AZ529" s="3">
        <f t="shared" ca="1" si="321"/>
        <v>0.40086344759249071</v>
      </c>
      <c r="BA529" s="3">
        <f t="shared" ca="1" si="309"/>
        <v>2.7112428147442697E-4</v>
      </c>
      <c r="BB529" s="3">
        <f t="shared" ca="1" si="322"/>
        <v>0.15095259388515406</v>
      </c>
      <c r="BC529" s="3">
        <f t="shared" ca="1" si="323"/>
        <v>0.70897871935012935</v>
      </c>
      <c r="BD529" s="3">
        <f t="shared" ca="1" si="310"/>
        <v>5.2417872533213485E-2</v>
      </c>
      <c r="BE529" s="3">
        <f t="shared" ca="1" si="317"/>
        <v>0.70897871935012935</v>
      </c>
      <c r="BF529" s="3">
        <f t="shared" ca="1" si="318"/>
        <v>0.70897871935012935</v>
      </c>
    </row>
    <row r="530" spans="1:58" ht="15" x14ac:dyDescent="0.25">
      <c r="A530" s="72">
        <v>464</v>
      </c>
      <c r="B530" s="72">
        <v>1498730363.9489999</v>
      </c>
      <c r="C530" s="73">
        <v>2.1524594296373699E-4</v>
      </c>
      <c r="D530" s="73">
        <v>7.0755779606853303E-7</v>
      </c>
      <c r="E530" s="73">
        <v>1.0204952589125999E-2</v>
      </c>
      <c r="F530" s="73">
        <v>6.4350823688614904E-4</v>
      </c>
      <c r="G530" s="73">
        <v>0.185823429581497</v>
      </c>
      <c r="H530" s="73">
        <v>-7.08929697843271E-5</v>
      </c>
      <c r="I530" s="73">
        <v>0.13462131209919101</v>
      </c>
      <c r="J530" s="73">
        <v>1.6171577526712699</v>
      </c>
      <c r="K530" s="73"/>
      <c r="L530" s="73"/>
      <c r="M530" s="73"/>
      <c r="N530" s="19"/>
      <c r="O530" s="13">
        <f t="shared" ca="1" si="280"/>
        <v>-4.9441286307824593E-5</v>
      </c>
      <c r="P530" s="13">
        <f t="shared" ca="1" si="281"/>
        <v>-1.0579917588771639E-5</v>
      </c>
      <c r="Q530" s="13">
        <f t="shared" ca="1" si="282"/>
        <v>9.3642129711533142E-3</v>
      </c>
      <c r="R530" s="13">
        <f t="shared" ca="1" si="283"/>
        <v>6.337319579954679E-4</v>
      </c>
      <c r="S530" s="13">
        <f t="shared" ca="1" si="284"/>
        <v>0.18468835094825564</v>
      </c>
      <c r="T530" s="13">
        <f t="shared" ca="1" si="285"/>
        <v>-7.124279129535119E-5</v>
      </c>
      <c r="U530" s="13">
        <f t="shared" ca="1" si="286"/>
        <v>0.13396746810440249</v>
      </c>
      <c r="V530" s="13">
        <f t="shared" ca="1" si="287"/>
        <v>1.6100189717488158</v>
      </c>
      <c r="X530" s="3">
        <f t="shared" ca="1" si="288"/>
        <v>-4.9441286307824593E-5</v>
      </c>
      <c r="Y530" s="3">
        <f t="shared" ca="1" si="289"/>
        <v>-1.0579917588771639E-5</v>
      </c>
      <c r="Z530" s="3">
        <f t="shared" ca="1" si="290"/>
        <v>9.3642129711533142E-3</v>
      </c>
      <c r="AA530" s="3">
        <f t="shared" ca="1" si="291"/>
        <v>6.337319579954679E-4</v>
      </c>
      <c r="AB530" s="3">
        <f t="shared" ca="1" si="292"/>
        <v>0.18468835094825564</v>
      </c>
      <c r="AC530" s="3">
        <f t="shared" ca="1" si="293"/>
        <v>-7.124279129535119E-5</v>
      </c>
      <c r="AD530" s="3">
        <f t="shared" ca="1" si="294"/>
        <v>0.13396746810440249</v>
      </c>
      <c r="AE530" s="3">
        <f t="shared" ca="1" si="295"/>
        <v>1.6100189717488158</v>
      </c>
      <c r="AG530" s="3">
        <f t="shared" ca="1" si="296"/>
        <v>-4.9441286307824593E-5</v>
      </c>
      <c r="AH530" s="3">
        <f t="shared" ca="1" si="297"/>
        <v>-1.0579917588771639E-5</v>
      </c>
      <c r="AI530" s="3">
        <f t="shared" ca="1" si="298"/>
        <v>9.3642129711533142E-3</v>
      </c>
      <c r="AJ530" s="3">
        <f t="shared" ca="1" si="299"/>
        <v>6.337319579954679E-4</v>
      </c>
      <c r="AK530" s="3">
        <f t="shared" ca="1" si="300"/>
        <v>0.18468835094825564</v>
      </c>
      <c r="AL530" s="3">
        <f t="shared" ca="1" si="301"/>
        <v>-7.124279129535119E-5</v>
      </c>
      <c r="AM530" s="3">
        <f t="shared" ca="1" si="302"/>
        <v>0.13396746810440249</v>
      </c>
      <c r="AN530" s="3">
        <f t="shared" ca="1" si="303"/>
        <v>1.6100189717488158</v>
      </c>
      <c r="AP530" s="3">
        <f t="shared" ca="1" si="304"/>
        <v>8.7174906456330685</v>
      </c>
      <c r="AQ530" s="3">
        <f t="shared" ca="1" si="320"/>
        <v>0.40162219866420479</v>
      </c>
      <c r="AR530" s="3">
        <f t="shared" ca="1" si="305"/>
        <v>2.545208223339113E-4</v>
      </c>
      <c r="AS530" s="3">
        <f t="shared" ca="1" si="306"/>
        <v>0.13371294728206859</v>
      </c>
      <c r="AT530" s="3">
        <f t="shared" ca="1" si="307"/>
        <v>0.70953452319357457</v>
      </c>
      <c r="AU530" s="3">
        <f t="shared" ca="1" si="308"/>
        <v>5.2824096378513333E-2</v>
      </c>
      <c r="AV530" s="10" t="str">
        <f t="shared" ca="1" si="312"/>
        <v>rejected</v>
      </c>
      <c r="AW530" s="10" t="e">
        <f t="shared" ca="1" si="313"/>
        <v>#N/A</v>
      </c>
      <c r="AX530" s="10"/>
      <c r="AY530" s="3">
        <f t="shared" ca="1" si="319"/>
        <v>8.7174906456330685</v>
      </c>
      <c r="AZ530" s="3">
        <f t="shared" ca="1" si="321"/>
        <v>0.40162219866420479</v>
      </c>
      <c r="BA530" s="3">
        <f t="shared" ca="1" si="309"/>
        <v>2.545208223339113E-4</v>
      </c>
      <c r="BB530" s="3">
        <f t="shared" ca="1" si="322"/>
        <v>0.13371294728206859</v>
      </c>
      <c r="BC530" s="3">
        <f t="shared" ca="1" si="323"/>
        <v>0.70953452319357457</v>
      </c>
      <c r="BD530" s="3">
        <f t="shared" ca="1" si="310"/>
        <v>5.2824096378513333E-2</v>
      </c>
      <c r="BE530" s="3" t="str">
        <f t="shared" ca="1" si="317"/>
        <v>rejected</v>
      </c>
      <c r="BF530" s="3" t="e">
        <f t="shared" ca="1" si="318"/>
        <v>#N/A</v>
      </c>
    </row>
    <row r="531" spans="1:58" ht="15" x14ac:dyDescent="0.25">
      <c r="A531" s="72">
        <v>465</v>
      </c>
      <c r="B531" s="72">
        <v>1498730364.4760001</v>
      </c>
      <c r="C531" s="73">
        <v>2.5021638673084802E-4</v>
      </c>
      <c r="D531" s="73">
        <v>-7.60613190354069E-5</v>
      </c>
      <c r="E531" s="73">
        <v>9.4720621753365906E-3</v>
      </c>
      <c r="F531" s="73">
        <v>6.3660369237180303E-4</v>
      </c>
      <c r="G531" s="73">
        <v>0.17098835270257401</v>
      </c>
      <c r="H531" s="73">
        <v>-6.78007234389342E-5</v>
      </c>
      <c r="I531" s="73">
        <v>0.123585387432025</v>
      </c>
      <c r="J531" s="73">
        <v>1.4856125077828399</v>
      </c>
      <c r="K531" s="73"/>
      <c r="L531" s="73"/>
      <c r="M531" s="73"/>
      <c r="N531" s="19"/>
      <c r="O531" s="13">
        <f t="shared" ca="1" si="280"/>
        <v>-1.4470842540713564E-5</v>
      </c>
      <c r="P531" s="13">
        <f t="shared" ca="1" si="281"/>
        <v>-8.7348794420247079E-5</v>
      </c>
      <c r="Q531" s="13">
        <f t="shared" ca="1" si="282"/>
        <v>8.6313225573639053E-3</v>
      </c>
      <c r="R531" s="13">
        <f t="shared" ca="1" si="283"/>
        <v>6.2682741348112189E-4</v>
      </c>
      <c r="S531" s="13">
        <f t="shared" ca="1" si="284"/>
        <v>0.16985327406933265</v>
      </c>
      <c r="T531" s="13">
        <f t="shared" ca="1" si="285"/>
        <v>-6.815054494995829E-5</v>
      </c>
      <c r="U531" s="13">
        <f t="shared" ca="1" si="286"/>
        <v>0.12293154343723649</v>
      </c>
      <c r="V531" s="13">
        <f t="shared" ca="1" si="287"/>
        <v>1.4784737268603858</v>
      </c>
      <c r="X531" s="3">
        <f t="shared" ca="1" si="288"/>
        <v>-1.4470842540713564E-5</v>
      </c>
      <c r="Y531" s="3">
        <f t="shared" ca="1" si="289"/>
        <v>-8.7348794420247079E-5</v>
      </c>
      <c r="Z531" s="3">
        <f t="shared" ca="1" si="290"/>
        <v>8.6313225573639053E-3</v>
      </c>
      <c r="AA531" s="3">
        <f t="shared" ca="1" si="291"/>
        <v>6.2682741348112189E-4</v>
      </c>
      <c r="AB531" s="3">
        <f t="shared" ca="1" si="292"/>
        <v>0.16985327406933265</v>
      </c>
      <c r="AC531" s="3">
        <f t="shared" ca="1" si="293"/>
        <v>-6.815054494995829E-5</v>
      </c>
      <c r="AD531" s="3">
        <f t="shared" ca="1" si="294"/>
        <v>0.12293154343723649</v>
      </c>
      <c r="AE531" s="3">
        <f t="shared" ca="1" si="295"/>
        <v>1.4784737268603858</v>
      </c>
      <c r="AG531" s="3">
        <f t="shared" ca="1" si="296"/>
        <v>-1.4470842540713564E-5</v>
      </c>
      <c r="AH531" s="3">
        <f t="shared" ca="1" si="297"/>
        <v>-8.7348794420247079E-5</v>
      </c>
      <c r="AI531" s="3">
        <f t="shared" ca="1" si="298"/>
        <v>8.6313225573639053E-3</v>
      </c>
      <c r="AJ531" s="3">
        <f t="shared" ca="1" si="299"/>
        <v>6.2682741348112189E-4</v>
      </c>
      <c r="AK531" s="3">
        <f t="shared" ca="1" si="300"/>
        <v>0.16985327406933265</v>
      </c>
      <c r="AL531" s="3">
        <f t="shared" ca="1" si="301"/>
        <v>-6.815054494995829E-5</v>
      </c>
      <c r="AM531" s="3">
        <f t="shared" ca="1" si="302"/>
        <v>0.12293154343723649</v>
      </c>
      <c r="AN531" s="3">
        <f t="shared" ca="1" si="303"/>
        <v>1.4784737268603858</v>
      </c>
      <c r="AP531" s="3">
        <f t="shared" ca="1" si="304"/>
        <v>8.7044170032123453</v>
      </c>
      <c r="AQ531" s="3">
        <f t="shared" ca="1" si="320"/>
        <v>0.4010125850645701</v>
      </c>
      <c r="AR531" s="3">
        <f t="shared" ca="1" si="305"/>
        <v>2.5136568146940286E-4</v>
      </c>
      <c r="AS531" s="3">
        <f t="shared" ca="1" si="306"/>
        <v>0.12268017775576709</v>
      </c>
      <c r="AT531" s="3">
        <f t="shared" ca="1" si="307"/>
        <v>0.708383260618491</v>
      </c>
      <c r="AU531" s="3">
        <f t="shared" ca="1" si="308"/>
        <v>5.2861169332159029E-2</v>
      </c>
      <c r="AV531" s="10">
        <f t="shared" ca="1" si="312"/>
        <v>0.708383260618491</v>
      </c>
      <c r="AW531" s="10">
        <f t="shared" ca="1" si="313"/>
        <v>0.708383260618491</v>
      </c>
      <c r="AX531" s="10"/>
      <c r="AY531" s="3">
        <f t="shared" ca="1" si="319"/>
        <v>8.7044170032123453</v>
      </c>
      <c r="AZ531" s="3">
        <f t="shared" ca="1" si="321"/>
        <v>0.4010125850645701</v>
      </c>
      <c r="BA531" s="3">
        <f t="shared" ca="1" si="309"/>
        <v>2.5136568146940286E-4</v>
      </c>
      <c r="BB531" s="3">
        <f t="shared" ca="1" si="322"/>
        <v>0.12268017775576709</v>
      </c>
      <c r="BC531" s="3">
        <f t="shared" ca="1" si="323"/>
        <v>0.708383260618491</v>
      </c>
      <c r="BD531" s="3">
        <f t="shared" ca="1" si="310"/>
        <v>5.2861169332159029E-2</v>
      </c>
      <c r="BE531" s="3">
        <f t="shared" ca="1" si="317"/>
        <v>0.708383260618491</v>
      </c>
      <c r="BF531" s="3">
        <f t="shared" ca="1" si="318"/>
        <v>0.708383260618491</v>
      </c>
    </row>
    <row r="532" spans="1:58" ht="15" x14ac:dyDescent="0.25">
      <c r="A532" s="72">
        <v>466</v>
      </c>
      <c r="B532" s="72">
        <v>1498730365.003</v>
      </c>
      <c r="C532" s="73">
        <v>3.0184166120184302E-4</v>
      </c>
      <c r="D532" s="73">
        <v>-6.6376957368570897E-5</v>
      </c>
      <c r="E532" s="73">
        <v>9.2047918482364606E-3</v>
      </c>
      <c r="F532" s="73">
        <v>5.6827508352392901E-4</v>
      </c>
      <c r="G532" s="73">
        <v>0.16458798993488599</v>
      </c>
      <c r="H532" s="73">
        <v>-4.1524540730217998E-5</v>
      </c>
      <c r="I532" s="73">
        <v>0.118984819540494</v>
      </c>
      <c r="J532" s="73">
        <v>1.4294504727614199</v>
      </c>
      <c r="K532" s="73"/>
      <c r="L532" s="73"/>
      <c r="M532" s="73"/>
      <c r="N532" s="19"/>
      <c r="O532" s="13">
        <f t="shared" ca="1" si="280"/>
        <v>3.7154431930281435E-5</v>
      </c>
      <c r="P532" s="13">
        <f t="shared" ca="1" si="281"/>
        <v>-7.7664432753411075E-5</v>
      </c>
      <c r="Q532" s="13">
        <f t="shared" ca="1" si="282"/>
        <v>8.3640522302637754E-3</v>
      </c>
      <c r="R532" s="13">
        <f t="shared" ca="1" si="283"/>
        <v>5.5849880463324788E-4</v>
      </c>
      <c r="S532" s="13">
        <f t="shared" ca="1" si="284"/>
        <v>0.16345291130164463</v>
      </c>
      <c r="T532" s="13">
        <f t="shared" ca="1" si="285"/>
        <v>-4.1874362241242088E-5</v>
      </c>
      <c r="U532" s="13">
        <f t="shared" ca="1" si="286"/>
        <v>0.11833097554570549</v>
      </c>
      <c r="V532" s="13">
        <f t="shared" ca="1" si="287"/>
        <v>1.4223116918389658</v>
      </c>
      <c r="X532" s="3">
        <f t="shared" ca="1" si="288"/>
        <v>3.7154431930281435E-5</v>
      </c>
      <c r="Y532" s="3">
        <f t="shared" ca="1" si="289"/>
        <v>-7.7664432753411075E-5</v>
      </c>
      <c r="Z532" s="3">
        <f t="shared" ca="1" si="290"/>
        <v>8.3640522302637754E-3</v>
      </c>
      <c r="AA532" s="3">
        <f t="shared" ca="1" si="291"/>
        <v>5.5849880463324788E-4</v>
      </c>
      <c r="AB532" s="3">
        <f t="shared" ca="1" si="292"/>
        <v>0.16345291130164463</v>
      </c>
      <c r="AC532" s="3">
        <f t="shared" ca="1" si="293"/>
        <v>-4.1874362241242088E-5</v>
      </c>
      <c r="AD532" s="3">
        <f t="shared" ca="1" si="294"/>
        <v>0.11833097554570549</v>
      </c>
      <c r="AE532" s="3">
        <f t="shared" ca="1" si="295"/>
        <v>1.4223116918389658</v>
      </c>
      <c r="AG532" s="3">
        <f t="shared" ca="1" si="296"/>
        <v>3.7154431930281435E-5</v>
      </c>
      <c r="AH532" s="3">
        <f t="shared" ca="1" si="297"/>
        <v>-7.7664432753411075E-5</v>
      </c>
      <c r="AI532" s="3">
        <f t="shared" ca="1" si="298"/>
        <v>8.3640522302637754E-3</v>
      </c>
      <c r="AJ532" s="3">
        <f t="shared" ca="1" si="299"/>
        <v>5.5849880463324788E-4</v>
      </c>
      <c r="AK532" s="3">
        <f t="shared" ca="1" si="300"/>
        <v>0.16345291130164463</v>
      </c>
      <c r="AL532" s="3">
        <f t="shared" ca="1" si="301"/>
        <v>-4.1874362241242088E-5</v>
      </c>
      <c r="AM532" s="3">
        <f t="shared" ca="1" si="302"/>
        <v>0.11833097554570549</v>
      </c>
      <c r="AN532" s="3">
        <f t="shared" ca="1" si="303"/>
        <v>1.4223116918389658</v>
      </c>
      <c r="AP532" s="3">
        <f t="shared" ca="1" si="304"/>
        <v>8.7016601938288929</v>
      </c>
      <c r="AQ532" s="3">
        <f t="shared" ca="1" si="320"/>
        <v>0.40088403864195493</v>
      </c>
      <c r="AR532" s="3">
        <f t="shared" ca="1" si="305"/>
        <v>2.2389325637808057E-4</v>
      </c>
      <c r="AS532" s="3">
        <f t="shared" ca="1" si="306"/>
        <v>0.11810708228932741</v>
      </c>
      <c r="AT532" s="3">
        <f t="shared" ca="1" si="307"/>
        <v>0.70879455969983785</v>
      </c>
      <c r="AU532" s="3">
        <f t="shared" ca="1" si="308"/>
        <v>5.3212865993514449E-2</v>
      </c>
      <c r="AV532" s="10">
        <f t="shared" ca="1" si="312"/>
        <v>0.70879455969983785</v>
      </c>
      <c r="AW532" s="10">
        <f t="shared" ca="1" si="313"/>
        <v>0.70879455969983785</v>
      </c>
      <c r="AX532" s="10"/>
      <c r="AY532" s="3">
        <f t="shared" ca="1" si="319"/>
        <v>8.7016601938288929</v>
      </c>
      <c r="AZ532" s="3">
        <f t="shared" ca="1" si="321"/>
        <v>0.40088403864195493</v>
      </c>
      <c r="BA532" s="3">
        <f t="shared" ca="1" si="309"/>
        <v>2.2389325637808057E-4</v>
      </c>
      <c r="BB532" s="3">
        <f t="shared" ca="1" si="322"/>
        <v>0.11810708228932741</v>
      </c>
      <c r="BC532" s="3">
        <f t="shared" ca="1" si="323"/>
        <v>0.70879455969983785</v>
      </c>
      <c r="BD532" s="3">
        <f t="shared" ca="1" si="310"/>
        <v>5.3212865993514449E-2</v>
      </c>
      <c r="BE532" s="3">
        <f t="shared" ca="1" si="317"/>
        <v>0.70879455969983785</v>
      </c>
      <c r="BF532" s="3">
        <f t="shared" ca="1" si="318"/>
        <v>0.70879455969983785</v>
      </c>
    </row>
    <row r="533" spans="1:58" ht="15" x14ac:dyDescent="0.25">
      <c r="A533" s="72">
        <v>467</v>
      </c>
      <c r="B533" s="72">
        <v>1498730365.53</v>
      </c>
      <c r="C533" s="73">
        <v>2.0739560350436099E-4</v>
      </c>
      <c r="D533" s="73">
        <v>2.8818263045869799E-5</v>
      </c>
      <c r="E533" s="73">
        <v>9.0592783493823707E-3</v>
      </c>
      <c r="F533" s="73">
        <v>5.0423613571765503E-4</v>
      </c>
      <c r="G533" s="73">
        <v>0.16191117831874899</v>
      </c>
      <c r="H533" s="73">
        <v>1.14150514659001E-4</v>
      </c>
      <c r="I533" s="73">
        <v>0.11694169265420799</v>
      </c>
      <c r="J533" s="73">
        <v>1.40499094424161</v>
      </c>
      <c r="K533" s="73"/>
      <c r="L533" s="73"/>
      <c r="M533" s="73"/>
      <c r="N533" s="19"/>
      <c r="O533" s="13">
        <f t="shared" ca="1" si="280"/>
        <v>-5.7291625767200594E-5</v>
      </c>
      <c r="P533" s="13">
        <f t="shared" ca="1" si="281"/>
        <v>1.7530787661029624E-5</v>
      </c>
      <c r="Q533" s="13">
        <f t="shared" ca="1" si="282"/>
        <v>8.2185387314096855E-3</v>
      </c>
      <c r="R533" s="13">
        <f t="shared" ca="1" si="283"/>
        <v>4.9445985682697389E-4</v>
      </c>
      <c r="S533" s="13">
        <f t="shared" ca="1" si="284"/>
        <v>0.16077609968550763</v>
      </c>
      <c r="T533" s="13">
        <f t="shared" ca="1" si="285"/>
        <v>1.1380069314797691E-4</v>
      </c>
      <c r="U533" s="13">
        <f t="shared" ca="1" si="286"/>
        <v>0.11628784865941948</v>
      </c>
      <c r="V533" s="13">
        <f t="shared" ca="1" si="287"/>
        <v>1.3978521633191558</v>
      </c>
      <c r="X533" s="3">
        <f t="shared" ca="1" si="288"/>
        <v>-5.7291625767200594E-5</v>
      </c>
      <c r="Y533" s="3">
        <f t="shared" ca="1" si="289"/>
        <v>1.7530787661029624E-5</v>
      </c>
      <c r="Z533" s="3">
        <f t="shared" ca="1" si="290"/>
        <v>8.2176680709491606E-3</v>
      </c>
      <c r="AA533" s="3">
        <f t="shared" ca="1" si="291"/>
        <v>4.7338591613472602E-4</v>
      </c>
      <c r="AB533" s="3">
        <f t="shared" ca="1" si="292"/>
        <v>0.16062284365671753</v>
      </c>
      <c r="AC533" s="3">
        <f t="shared" ca="1" si="293"/>
        <v>1.1380069314797691E-4</v>
      </c>
      <c r="AD533" s="3">
        <f t="shared" ca="1" si="294"/>
        <v>0.11606152640902738</v>
      </c>
      <c r="AE533" s="3">
        <f t="shared" ca="1" si="295"/>
        <v>1.3977603270148984</v>
      </c>
      <c r="AG533" s="3">
        <f t="shared" ca="1" si="296"/>
        <v>-5.7291625767200594E-5</v>
      </c>
      <c r="AH533" s="3">
        <f t="shared" ca="1" si="297"/>
        <v>1.7530787661029624E-5</v>
      </c>
      <c r="AI533" s="3">
        <f t="shared" ca="1" si="298"/>
        <v>8.2035471144759863E-3</v>
      </c>
      <c r="AJ533" s="3">
        <f t="shared" ca="1" si="299"/>
        <v>4.6558828600066295E-4</v>
      </c>
      <c r="AK533" s="3">
        <f t="shared" ca="1" si="300"/>
        <v>0.16062284365671753</v>
      </c>
      <c r="AL533" s="3">
        <f t="shared" ca="1" si="301"/>
        <v>1.1380069314797691E-4</v>
      </c>
      <c r="AM533" s="3">
        <f t="shared" ca="1" si="302"/>
        <v>0.11606152640902738</v>
      </c>
      <c r="AN533" s="3">
        <f t="shared" ca="1" si="303"/>
        <v>1.3977603270148984</v>
      </c>
      <c r="AP533" s="3">
        <f t="shared" ca="1" si="304"/>
        <v>8.6944027504926371</v>
      </c>
      <c r="AQ533" s="3">
        <f t="shared" ca="1" si="320"/>
        <v>0.40054563589575337</v>
      </c>
      <c r="AR533" s="3">
        <f t="shared" ca="1" si="305"/>
        <v>1.9805373777768344E-4</v>
      </c>
      <c r="AS533" s="3">
        <f t="shared" ca="1" si="306"/>
        <v>0.11608979492164179</v>
      </c>
      <c r="AT533" s="3">
        <f t="shared" ca="1" si="307"/>
        <v>0.70858529457126385</v>
      </c>
      <c r="AU533" s="3">
        <f t="shared" ca="1" si="308"/>
        <v>5.3112274596181501E-2</v>
      </c>
      <c r="AV533" s="10">
        <f t="shared" ca="1" si="312"/>
        <v>0.70858529457126385</v>
      </c>
      <c r="AW533" s="10">
        <f t="shared" ca="1" si="313"/>
        <v>0.70858529457126385</v>
      </c>
      <c r="AX533" s="10"/>
      <c r="AY533" s="3">
        <f t="shared" ca="1" si="319"/>
        <v>8.7021266414768874</v>
      </c>
      <c r="AZ533" s="3">
        <f t="shared" ca="1" si="321"/>
        <v>0.40090578845213398</v>
      </c>
      <c r="BA533" s="3">
        <f t="shared" ca="1" si="309"/>
        <v>1.8665703889317344E-4</v>
      </c>
      <c r="BB533" s="3">
        <f t="shared" ca="1" si="322"/>
        <v>0.11587486937013421</v>
      </c>
      <c r="BC533" s="3">
        <f t="shared" ca="1" si="323"/>
        <v>0.70763176331343725</v>
      </c>
      <c r="BD533" s="3">
        <f t="shared" ca="1" si="310"/>
        <v>5.3114214295081986E-2</v>
      </c>
      <c r="BE533" s="3" t="str">
        <f t="shared" ca="1" si="317"/>
        <v>rejected</v>
      </c>
      <c r="BF533" s="3" t="e">
        <f t="shared" ca="1" si="318"/>
        <v>#N/A</v>
      </c>
    </row>
    <row r="534" spans="1:58" ht="15" x14ac:dyDescent="0.25">
      <c r="A534" s="72">
        <v>468</v>
      </c>
      <c r="B534" s="72">
        <v>1498730366.0569999</v>
      </c>
      <c r="C534" s="73">
        <v>1.7385393920401501E-4</v>
      </c>
      <c r="D534" s="73">
        <v>1.01342835982937E-4</v>
      </c>
      <c r="E534" s="73">
        <v>8.8483811368024901E-3</v>
      </c>
      <c r="F534" s="73">
        <v>4.84239684616062E-4</v>
      </c>
      <c r="G534" s="73">
        <v>0.15657813157162001</v>
      </c>
      <c r="H534" s="73">
        <v>-1.0376003354526099E-5</v>
      </c>
      <c r="I534" s="73">
        <v>0.113316220314286</v>
      </c>
      <c r="J534" s="73">
        <v>1.3601575041866101</v>
      </c>
      <c r="K534" s="73"/>
      <c r="L534" s="73"/>
      <c r="M534" s="73"/>
      <c r="N534" s="19"/>
      <c r="O534" s="13">
        <f t="shared" ca="1" si="280"/>
        <v>-9.0833290067546577E-5</v>
      </c>
      <c r="P534" s="13">
        <f t="shared" ca="1" si="281"/>
        <v>9.0055360598096824E-5</v>
      </c>
      <c r="Q534" s="13">
        <f t="shared" ca="1" si="282"/>
        <v>8.0076415188298049E-3</v>
      </c>
      <c r="R534" s="13">
        <f t="shared" ca="1" si="283"/>
        <v>4.7446340572538086E-4</v>
      </c>
      <c r="S534" s="13">
        <f t="shared" ca="1" si="284"/>
        <v>0.15544305293837865</v>
      </c>
      <c r="T534" s="13">
        <f t="shared" ca="1" si="285"/>
        <v>-1.0725824865550186E-5</v>
      </c>
      <c r="U534" s="13">
        <f t="shared" ca="1" si="286"/>
        <v>0.11266237631949748</v>
      </c>
      <c r="V534" s="13">
        <f t="shared" ca="1" si="287"/>
        <v>1.353018723264156</v>
      </c>
      <c r="X534" s="3">
        <f t="shared" ca="1" si="288"/>
        <v>-9.0833290067546577E-5</v>
      </c>
      <c r="Y534" s="3">
        <f t="shared" ca="1" si="289"/>
        <v>9.0055360598096824E-5</v>
      </c>
      <c r="Z534" s="3">
        <f t="shared" ca="1" si="290"/>
        <v>8.0076415188298049E-3</v>
      </c>
      <c r="AA534" s="3">
        <f t="shared" ca="1" si="291"/>
        <v>4.7446340572538086E-4</v>
      </c>
      <c r="AB534" s="3">
        <f t="shared" ca="1" si="292"/>
        <v>0.15544305293837865</v>
      </c>
      <c r="AC534" s="3">
        <f t="shared" ca="1" si="293"/>
        <v>-1.0725824865550186E-5</v>
      </c>
      <c r="AD534" s="3">
        <f t="shared" ca="1" si="294"/>
        <v>0.11266237631949748</v>
      </c>
      <c r="AE534" s="3">
        <f t="shared" ca="1" si="295"/>
        <v>1.353018723264156</v>
      </c>
      <c r="AG534" s="3">
        <f t="shared" ca="1" si="296"/>
        <v>-9.0833290067546577E-5</v>
      </c>
      <c r="AH534" s="3">
        <f t="shared" ca="1" si="297"/>
        <v>9.0055360598096824E-5</v>
      </c>
      <c r="AI534" s="3">
        <f t="shared" ca="1" si="298"/>
        <v>7.9351024035447196E-3</v>
      </c>
      <c r="AJ534" s="3">
        <f t="shared" ca="1" si="299"/>
        <v>4.3440711121588512E-4</v>
      </c>
      <c r="AK534" s="3">
        <f t="shared" ca="1" si="300"/>
        <v>0.15544305293837865</v>
      </c>
      <c r="AL534" s="3">
        <f t="shared" ca="1" si="301"/>
        <v>-1.0725824865550186E-5</v>
      </c>
      <c r="AM534" s="3">
        <f t="shared" ca="1" si="302"/>
        <v>0.11266237631949748</v>
      </c>
      <c r="AN534" s="3">
        <f t="shared" ca="1" si="303"/>
        <v>1.353018723264156</v>
      </c>
      <c r="AP534" s="3">
        <f t="shared" ca="1" si="304"/>
        <v>8.7042727075138249</v>
      </c>
      <c r="AQ534" s="3">
        <f t="shared" ca="1" si="320"/>
        <v>0.40100585673227401</v>
      </c>
      <c r="AR534" s="3">
        <f t="shared" ca="1" si="305"/>
        <v>1.9026260450101886E-4</v>
      </c>
      <c r="AS534" s="3">
        <f t="shared" ca="1" si="306"/>
        <v>0.11247211371499646</v>
      </c>
      <c r="AT534" s="3">
        <f t="shared" ca="1" si="307"/>
        <v>0.70965126540041568</v>
      </c>
      <c r="AU534" s="3">
        <f t="shared" ca="1" si="308"/>
        <v>5.3586979761167004E-2</v>
      </c>
      <c r="AV534" s="10" t="str">
        <f t="shared" ca="1" si="312"/>
        <v>rejected</v>
      </c>
      <c r="AW534" s="10" t="e">
        <f t="shared" ca="1" si="313"/>
        <v>#N/A</v>
      </c>
      <c r="AX534" s="10"/>
      <c r="AY534" s="3">
        <f t="shared" ca="1" si="319"/>
        <v>8.7042727075138249</v>
      </c>
      <c r="AZ534" s="3">
        <f t="shared" ca="1" si="321"/>
        <v>0.40100585673227401</v>
      </c>
      <c r="BA534" s="3">
        <f t="shared" ca="1" si="309"/>
        <v>1.7419979580371824E-4</v>
      </c>
      <c r="BB534" s="3">
        <f t="shared" ca="1" si="322"/>
        <v>0.11248817652369376</v>
      </c>
      <c r="BC534" s="3">
        <f t="shared" ca="1" si="323"/>
        <v>0.70975261490067321</v>
      </c>
      <c r="BD534" s="3">
        <f t="shared" ca="1" si="310"/>
        <v>5.310154942646305E-2</v>
      </c>
      <c r="BE534" s="3" t="str">
        <f t="shared" ca="1" si="317"/>
        <v>rejected</v>
      </c>
      <c r="BF534" s="3" t="e">
        <f t="shared" ca="1" si="318"/>
        <v>#N/A</v>
      </c>
    </row>
    <row r="535" spans="1:58" ht="15" x14ac:dyDescent="0.25">
      <c r="A535" s="72">
        <v>469</v>
      </c>
      <c r="B535" s="72">
        <v>1498730366.5840001</v>
      </c>
      <c r="C535" s="73">
        <v>3.65603748464632E-4</v>
      </c>
      <c r="D535" s="73">
        <v>2.5274852968941601E-5</v>
      </c>
      <c r="E535" s="73">
        <v>8.6209404859411004E-3</v>
      </c>
      <c r="F535" s="73">
        <v>5.1399645365815202E-4</v>
      </c>
      <c r="G535" s="73">
        <v>0.15439504093506901</v>
      </c>
      <c r="H535" s="73">
        <v>3.15859357508544E-6</v>
      </c>
      <c r="I535" s="73">
        <v>0.111564587913207</v>
      </c>
      <c r="J535" s="73">
        <v>1.3404566418013999</v>
      </c>
      <c r="K535" s="73"/>
      <c r="L535" s="73"/>
      <c r="M535" s="73"/>
      <c r="N535" s="19"/>
      <c r="O535" s="13">
        <f t="shared" ca="1" si="280"/>
        <v>1.0091651919307042E-4</v>
      </c>
      <c r="P535" s="13">
        <f t="shared" ca="1" si="281"/>
        <v>1.3987377584101428E-5</v>
      </c>
      <c r="Q535" s="13">
        <f t="shared" ca="1" si="282"/>
        <v>7.7802008679684152E-3</v>
      </c>
      <c r="R535" s="13">
        <f t="shared" ca="1" si="283"/>
        <v>5.0422017476747089E-4</v>
      </c>
      <c r="S535" s="13">
        <f t="shared" ca="1" si="284"/>
        <v>0.15325996230182765</v>
      </c>
      <c r="T535" s="13">
        <f t="shared" ca="1" si="285"/>
        <v>2.8087720640613536E-6</v>
      </c>
      <c r="U535" s="13">
        <f t="shared" ca="1" si="286"/>
        <v>0.11091074391841849</v>
      </c>
      <c r="V535" s="13">
        <f t="shared" ca="1" si="287"/>
        <v>1.3333178608789458</v>
      </c>
      <c r="X535" s="3">
        <f t="shared" ca="1" si="288"/>
        <v>1.0091651919307042E-4</v>
      </c>
      <c r="Y535" s="3">
        <f t="shared" ca="1" si="289"/>
        <v>1.3987377584101428E-5</v>
      </c>
      <c r="Z535" s="3">
        <f t="shared" ca="1" si="290"/>
        <v>7.7801793787602991E-3</v>
      </c>
      <c r="AA535" s="3">
        <f t="shared" ca="1" si="291"/>
        <v>5.0370003825284441E-4</v>
      </c>
      <c r="AB535" s="3">
        <f t="shared" ca="1" si="292"/>
        <v>0.15325617971280814</v>
      </c>
      <c r="AC535" s="3">
        <f t="shared" ca="1" si="293"/>
        <v>2.8087720640613536E-6</v>
      </c>
      <c r="AD535" s="3">
        <f t="shared" ca="1" si="294"/>
        <v>0.11090515794528605</v>
      </c>
      <c r="AE535" s="3">
        <f t="shared" ca="1" si="295"/>
        <v>1.3333155942209955</v>
      </c>
      <c r="AG535" s="3">
        <f t="shared" ca="1" si="296"/>
        <v>1.0091651919307042E-4</v>
      </c>
      <c r="AH535" s="3">
        <f t="shared" ca="1" si="297"/>
        <v>1.3987377584101428E-5</v>
      </c>
      <c r="AI535" s="3">
        <f t="shared" ca="1" si="298"/>
        <v>7.7689126203089364E-3</v>
      </c>
      <c r="AJ535" s="3">
        <f t="shared" ca="1" si="299"/>
        <v>4.974785039410255E-4</v>
      </c>
      <c r="AK535" s="3">
        <f t="shared" ca="1" si="300"/>
        <v>0.15325617971280814</v>
      </c>
      <c r="AL535" s="3">
        <f t="shared" ca="1" si="301"/>
        <v>2.8087720640613536E-6</v>
      </c>
      <c r="AM535" s="3">
        <f t="shared" ca="1" si="302"/>
        <v>0.11090515794528605</v>
      </c>
      <c r="AN535" s="3">
        <f t="shared" ca="1" si="303"/>
        <v>1.3333155942209955</v>
      </c>
      <c r="AP535" s="3">
        <f t="shared" ca="1" si="304"/>
        <v>8.6997141383418288</v>
      </c>
      <c r="AQ535" s="3">
        <f t="shared" ca="1" si="320"/>
        <v>0.40079329691251331</v>
      </c>
      <c r="AR535" s="3">
        <f t="shared" ca="1" si="305"/>
        <v>2.0208806621485831E-4</v>
      </c>
      <c r="AS535" s="3">
        <f t="shared" ca="1" si="306"/>
        <v>0.11070865585220363</v>
      </c>
      <c r="AT535" s="3">
        <f t="shared" ca="1" si="307"/>
        <v>0.70866156036489358</v>
      </c>
      <c r="AU535" s="3">
        <f t="shared" ca="1" si="308"/>
        <v>5.2778284992717042E-2</v>
      </c>
      <c r="AV535" s="10">
        <f t="shared" ca="1" si="312"/>
        <v>0.70866156036489358</v>
      </c>
      <c r="AW535" s="10">
        <f t="shared" ca="1" si="313"/>
        <v>0.70866156036489358</v>
      </c>
      <c r="AX535" s="10"/>
      <c r="AY535" s="3">
        <f t="shared" ca="1" si="319"/>
        <v>8.6999140701506459</v>
      </c>
      <c r="AZ535" s="3">
        <f t="shared" ca="1" si="321"/>
        <v>0.40080261942985285</v>
      </c>
      <c r="BA535" s="3">
        <f t="shared" ca="1" si="309"/>
        <v>1.993906874896074E-4</v>
      </c>
      <c r="BB535" s="3">
        <f t="shared" ca="1" si="322"/>
        <v>0.11070576725779645</v>
      </c>
      <c r="BC535" s="3">
        <f t="shared" ca="1" si="323"/>
        <v>0.70865235903441282</v>
      </c>
      <c r="BD535" s="3">
        <f t="shared" ca="1" si="310"/>
        <v>5.2704249396877519E-2</v>
      </c>
      <c r="BE535" s="3">
        <f t="shared" ca="1" si="317"/>
        <v>0.70865235903441282</v>
      </c>
      <c r="BF535" s="3">
        <f t="shared" ca="1" si="318"/>
        <v>0.70865235903441282</v>
      </c>
    </row>
    <row r="536" spans="1:58" ht="15" x14ac:dyDescent="0.25">
      <c r="A536" s="72">
        <v>470</v>
      </c>
      <c r="B536" s="72">
        <v>1498730367.1110001</v>
      </c>
      <c r="C536" s="73">
        <v>2.9208737258377602E-4</v>
      </c>
      <c r="D536" s="73">
        <v>5.1957682297995899E-6</v>
      </c>
      <c r="E536" s="73">
        <v>8.6735886784612606E-3</v>
      </c>
      <c r="F536" s="73">
        <v>5.0328391468326401E-4</v>
      </c>
      <c r="G536" s="73">
        <v>0.15500752529527201</v>
      </c>
      <c r="H536" s="73">
        <v>-3.8903623090788197E-5</v>
      </c>
      <c r="I536" s="73">
        <v>0.11210916688294</v>
      </c>
      <c r="J536" s="73">
        <v>1.34490836312623</v>
      </c>
      <c r="K536" s="73"/>
      <c r="L536" s="73"/>
      <c r="M536" s="73"/>
      <c r="N536" s="19"/>
      <c r="O536" s="13">
        <f t="shared" ca="1" si="280"/>
        <v>2.7400143312214433E-5</v>
      </c>
      <c r="P536" s="13">
        <f t="shared" ca="1" si="281"/>
        <v>-6.0917071550405833E-6</v>
      </c>
      <c r="Q536" s="13">
        <f t="shared" ca="1" si="282"/>
        <v>7.8328490604885753E-3</v>
      </c>
      <c r="R536" s="13">
        <f t="shared" ca="1" si="283"/>
        <v>4.9350763579258288E-4</v>
      </c>
      <c r="S536" s="13">
        <f t="shared" ca="1" si="284"/>
        <v>0.15387244666203065</v>
      </c>
      <c r="T536" s="13">
        <f t="shared" ca="1" si="285"/>
        <v>-3.9253444601812287E-5</v>
      </c>
      <c r="U536" s="13">
        <f t="shared" ca="1" si="286"/>
        <v>0.11145532288815148</v>
      </c>
      <c r="V536" s="13">
        <f t="shared" ca="1" si="287"/>
        <v>1.3377695822037758</v>
      </c>
      <c r="X536" s="3">
        <f t="shared" ca="1" si="288"/>
        <v>2.7400143312214433E-5</v>
      </c>
      <c r="Y536" s="3">
        <f t="shared" ca="1" si="289"/>
        <v>-6.0917071550405833E-6</v>
      </c>
      <c r="Z536" s="3">
        <f t="shared" ca="1" si="290"/>
        <v>7.8328490604885753E-3</v>
      </c>
      <c r="AA536" s="3">
        <f t="shared" ca="1" si="291"/>
        <v>4.9350763579258288E-4</v>
      </c>
      <c r="AB536" s="3">
        <f t="shared" ca="1" si="292"/>
        <v>0.15387244666203065</v>
      </c>
      <c r="AC536" s="3">
        <f t="shared" ca="1" si="293"/>
        <v>-3.9253444601812287E-5</v>
      </c>
      <c r="AD536" s="3">
        <f t="shared" ca="1" si="294"/>
        <v>0.11145532288815148</v>
      </c>
      <c r="AE536" s="3">
        <f t="shared" ca="1" si="295"/>
        <v>1.3377695822037758</v>
      </c>
      <c r="AG536" s="3">
        <f t="shared" ca="1" si="296"/>
        <v>2.7400143312214433E-5</v>
      </c>
      <c r="AH536" s="3">
        <f t="shared" ca="1" si="297"/>
        <v>-6.0917071550405833E-6</v>
      </c>
      <c r="AI536" s="3">
        <f t="shared" ca="1" si="298"/>
        <v>7.8328490604885753E-3</v>
      </c>
      <c r="AJ536" s="3">
        <f t="shared" ca="1" si="299"/>
        <v>4.9350763579258288E-4</v>
      </c>
      <c r="AK536" s="3">
        <f t="shared" ca="1" si="300"/>
        <v>0.15387244666203065</v>
      </c>
      <c r="AL536" s="3">
        <f t="shared" ca="1" si="301"/>
        <v>-3.9253444601812287E-5</v>
      </c>
      <c r="AM536" s="3">
        <f t="shared" ca="1" si="302"/>
        <v>0.11145532288815148</v>
      </c>
      <c r="AN536" s="3">
        <f t="shared" ca="1" si="303"/>
        <v>1.3377695822037758</v>
      </c>
      <c r="AP536" s="3">
        <f t="shared" ca="1" si="304"/>
        <v>8.6940164481954785</v>
      </c>
      <c r="AQ536" s="3">
        <f t="shared" ca="1" si="320"/>
        <v>0.4005276233456887</v>
      </c>
      <c r="AR536" s="3">
        <f t="shared" ca="1" si="305"/>
        <v>1.9766344046695294E-4</v>
      </c>
      <c r="AS536" s="3">
        <f t="shared" ca="1" si="306"/>
        <v>0.11125765944768452</v>
      </c>
      <c r="AT536" s="3">
        <f t="shared" ca="1" si="307"/>
        <v>0.70957508433458882</v>
      </c>
      <c r="AU536" s="3">
        <f t="shared" ca="1" si="308"/>
        <v>5.2888461849923601E-2</v>
      </c>
      <c r="AV536" s="10" t="str">
        <f t="shared" ca="1" si="312"/>
        <v>rejected</v>
      </c>
      <c r="AW536" s="10" t="e">
        <f t="shared" ca="1" si="313"/>
        <v>#N/A</v>
      </c>
      <c r="AX536" s="10"/>
      <c r="AY536" s="3">
        <f t="shared" ca="1" si="319"/>
        <v>8.6940164481954785</v>
      </c>
      <c r="AZ536" s="3">
        <f t="shared" ca="1" si="321"/>
        <v>0.4005276233456887</v>
      </c>
      <c r="BA536" s="3">
        <f t="shared" ca="1" si="309"/>
        <v>1.9766344046695294E-4</v>
      </c>
      <c r="BB536" s="3">
        <f t="shared" ca="1" si="322"/>
        <v>0.11125765944768452</v>
      </c>
      <c r="BC536" s="3">
        <f t="shared" ca="1" si="323"/>
        <v>0.70957508433458882</v>
      </c>
      <c r="BD536" s="3">
        <f t="shared" ca="1" si="310"/>
        <v>5.2888461849923601E-2</v>
      </c>
      <c r="BE536" s="3" t="str">
        <f t="shared" ca="1" si="317"/>
        <v>rejected</v>
      </c>
      <c r="BF536" s="3" t="e">
        <f t="shared" ca="1" si="318"/>
        <v>#N/A</v>
      </c>
    </row>
    <row r="537" spans="1:58" ht="15" x14ac:dyDescent="0.25">
      <c r="A537" s="72">
        <v>471</v>
      </c>
      <c r="B537" s="72">
        <v>1498730367.638</v>
      </c>
      <c r="C537" s="73">
        <v>2.2618894336928899E-4</v>
      </c>
      <c r="D537" s="73">
        <v>7.7718614437095703E-5</v>
      </c>
      <c r="E537" s="73">
        <v>9.6672069755917509E-3</v>
      </c>
      <c r="F537" s="73">
        <v>5.7827410020209102E-4</v>
      </c>
      <c r="G537" s="73">
        <v>0.17255121107701499</v>
      </c>
      <c r="H537" s="73">
        <v>-2.22084045789382E-5</v>
      </c>
      <c r="I537" s="73">
        <v>0.12458994541148601</v>
      </c>
      <c r="J537" s="73">
        <v>1.4948055091402399</v>
      </c>
      <c r="K537" s="73"/>
      <c r="L537" s="73"/>
      <c r="M537" s="73"/>
      <c r="N537" s="19"/>
      <c r="O537" s="13">
        <f t="shared" ca="1" si="280"/>
        <v>-3.8498285902272597E-5</v>
      </c>
      <c r="P537" s="13">
        <f t="shared" ca="1" si="281"/>
        <v>6.6431139052255524E-5</v>
      </c>
      <c r="Q537" s="13">
        <f t="shared" ca="1" si="282"/>
        <v>8.8264673576190656E-3</v>
      </c>
      <c r="R537" s="13">
        <f t="shared" ca="1" si="283"/>
        <v>5.6849782131140989E-4</v>
      </c>
      <c r="S537" s="13">
        <f t="shared" ca="1" si="284"/>
        <v>0.17141613244377363</v>
      </c>
      <c r="T537" s="13">
        <f t="shared" ca="1" si="285"/>
        <v>-2.2558226089962287E-5</v>
      </c>
      <c r="U537" s="13">
        <f t="shared" ca="1" si="286"/>
        <v>0.12393610141669749</v>
      </c>
      <c r="V537" s="13">
        <f t="shared" ca="1" si="287"/>
        <v>1.4876667282177858</v>
      </c>
      <c r="X537" s="3">
        <f t="shared" ca="1" si="288"/>
        <v>-3.8498285902272597E-5</v>
      </c>
      <c r="Y537" s="3">
        <f t="shared" ca="1" si="289"/>
        <v>6.6431139052255524E-5</v>
      </c>
      <c r="Z537" s="3">
        <f t="shared" ca="1" si="290"/>
        <v>8.8264673576190656E-3</v>
      </c>
      <c r="AA537" s="3">
        <f t="shared" ca="1" si="291"/>
        <v>5.6849782131140989E-4</v>
      </c>
      <c r="AB537" s="3">
        <f t="shared" ca="1" si="292"/>
        <v>0.17141613244377363</v>
      </c>
      <c r="AC537" s="3">
        <f t="shared" ca="1" si="293"/>
        <v>-2.2558226089962287E-5</v>
      </c>
      <c r="AD537" s="3">
        <f t="shared" ca="1" si="294"/>
        <v>0.12393610141669749</v>
      </c>
      <c r="AE537" s="3">
        <f t="shared" ca="1" si="295"/>
        <v>1.4876667282177858</v>
      </c>
      <c r="AG537" s="3">
        <f t="shared" ca="1" si="296"/>
        <v>-3.8498285902272597E-5</v>
      </c>
      <c r="AH537" s="3">
        <f t="shared" ca="1" si="297"/>
        <v>6.6431139052255524E-5</v>
      </c>
      <c r="AI537" s="3">
        <f t="shared" ca="1" si="298"/>
        <v>8.7729574274802383E-3</v>
      </c>
      <c r="AJ537" s="3">
        <f t="shared" ca="1" si="299"/>
        <v>5.3894949400689794E-4</v>
      </c>
      <c r="AK537" s="3">
        <f t="shared" ca="1" si="300"/>
        <v>0.17141613244377363</v>
      </c>
      <c r="AL537" s="3">
        <f t="shared" ca="1" si="301"/>
        <v>-2.2558226089962287E-5</v>
      </c>
      <c r="AM537" s="3">
        <f t="shared" ca="1" si="302"/>
        <v>0.12393610141669749</v>
      </c>
      <c r="AN537" s="3">
        <f t="shared" ca="1" si="303"/>
        <v>1.4876667282177858</v>
      </c>
      <c r="AP537" s="3">
        <f t="shared" ca="1" si="304"/>
        <v>8.6786856464968771</v>
      </c>
      <c r="AQ537" s="3">
        <f t="shared" ca="1" si="320"/>
        <v>0.39981278471807297</v>
      </c>
      <c r="AR537" s="3">
        <f t="shared" ca="1" si="305"/>
        <v>2.2729269704467223E-4</v>
      </c>
      <c r="AS537" s="3">
        <f t="shared" ca="1" si="306"/>
        <v>0.12370880871965281</v>
      </c>
      <c r="AT537" s="3">
        <f t="shared" ca="1" si="307"/>
        <v>0.70886614332030118</v>
      </c>
      <c r="AU537" s="3">
        <f t="shared" ca="1" si="308"/>
        <v>5.3401437090434566E-2</v>
      </c>
      <c r="AV537" s="10">
        <f t="shared" ca="1" si="312"/>
        <v>0.70886614332030118</v>
      </c>
      <c r="AW537" s="10">
        <f t="shared" ca="1" si="313"/>
        <v>0.70886614332030118</v>
      </c>
      <c r="AX537" s="10"/>
      <c r="AY537" s="3">
        <f t="shared" ca="1" si="319"/>
        <v>8.6786856464968771</v>
      </c>
      <c r="AZ537" s="3">
        <f t="shared" ca="1" si="321"/>
        <v>0.39981278471807297</v>
      </c>
      <c r="BA537" s="3">
        <f t="shared" ca="1" si="309"/>
        <v>2.1547889802129425E-4</v>
      </c>
      <c r="BB537" s="3">
        <f t="shared" ca="1" si="322"/>
        <v>0.1237206225186762</v>
      </c>
      <c r="BC537" s="3">
        <f t="shared" ca="1" si="323"/>
        <v>0.7089338377895823</v>
      </c>
      <c r="BD537" s="3">
        <f t="shared" ca="1" si="310"/>
        <v>5.3077694073863445E-2</v>
      </c>
      <c r="BE537" s="3">
        <f t="shared" ca="1" si="317"/>
        <v>0.7089338377895823</v>
      </c>
      <c r="BF537" s="3">
        <f t="shared" ca="1" si="318"/>
        <v>0.7089338377895823</v>
      </c>
    </row>
    <row r="538" spans="1:58" ht="15" x14ac:dyDescent="0.25">
      <c r="A538" s="72">
        <v>472</v>
      </c>
      <c r="B538" s="72">
        <v>1498730368.165</v>
      </c>
      <c r="C538" s="73">
        <v>2.8923247686645501E-4</v>
      </c>
      <c r="D538" s="73">
        <v>-1.2991409361979699E-4</v>
      </c>
      <c r="E538" s="73">
        <v>1.04570742731436E-2</v>
      </c>
      <c r="F538" s="73">
        <v>7.2350919791369704E-4</v>
      </c>
      <c r="G538" s="73">
        <v>0.19003114540670901</v>
      </c>
      <c r="H538" s="73">
        <v>-6.9571105286132096E-5</v>
      </c>
      <c r="I538" s="73">
        <v>0.13738204574674201</v>
      </c>
      <c r="J538" s="73">
        <v>1.6483654438853701</v>
      </c>
      <c r="K538" s="73"/>
      <c r="L538" s="73"/>
      <c r="M538" s="73"/>
      <c r="N538" s="19"/>
      <c r="O538" s="13">
        <f t="shared" ca="1" si="280"/>
        <v>2.454524759489343E-5</v>
      </c>
      <c r="P538" s="13">
        <f t="shared" ca="1" si="281"/>
        <v>-1.4120156900463717E-4</v>
      </c>
      <c r="Q538" s="13">
        <f t="shared" ca="1" si="282"/>
        <v>9.6163346551709147E-3</v>
      </c>
      <c r="R538" s="13">
        <f t="shared" ca="1" si="283"/>
        <v>7.1373291902301591E-4</v>
      </c>
      <c r="S538" s="13">
        <f t="shared" ca="1" si="284"/>
        <v>0.18889606677346765</v>
      </c>
      <c r="T538" s="13">
        <f t="shared" ca="1" si="285"/>
        <v>-6.9920926797156186E-5</v>
      </c>
      <c r="U538" s="13">
        <f t="shared" ca="1" si="286"/>
        <v>0.13672820175195349</v>
      </c>
      <c r="V538" s="13">
        <f t="shared" ca="1" si="287"/>
        <v>1.641226662962916</v>
      </c>
      <c r="X538" s="3">
        <f t="shared" ca="1" si="288"/>
        <v>2.454524759489343E-5</v>
      </c>
      <c r="Y538" s="3">
        <f t="shared" ca="1" si="289"/>
        <v>-1.4120156900463717E-4</v>
      </c>
      <c r="Z538" s="3">
        <f t="shared" ca="1" si="290"/>
        <v>9.6163346551709147E-3</v>
      </c>
      <c r="AA538" s="3">
        <f t="shared" ca="1" si="291"/>
        <v>7.1373291902301591E-4</v>
      </c>
      <c r="AB538" s="3">
        <f t="shared" ca="1" si="292"/>
        <v>0.18889606677346765</v>
      </c>
      <c r="AC538" s="3">
        <f t="shared" ca="1" si="293"/>
        <v>-6.9920926797156186E-5</v>
      </c>
      <c r="AD538" s="3">
        <f t="shared" ca="1" si="294"/>
        <v>0.13672820175195349</v>
      </c>
      <c r="AE538" s="3">
        <f t="shared" ca="1" si="295"/>
        <v>1.641226662962916</v>
      </c>
      <c r="AG538" s="3">
        <f t="shared" ca="1" si="296"/>
        <v>2.454524759489343E-5</v>
      </c>
      <c r="AH538" s="3">
        <f t="shared" ca="1" si="297"/>
        <v>-1.4120156900463717E-4</v>
      </c>
      <c r="AI538" s="3">
        <f t="shared" ca="1" si="298"/>
        <v>9.6163346551709147E-3</v>
      </c>
      <c r="AJ538" s="3">
        <f t="shared" ca="1" si="299"/>
        <v>7.1373291902301591E-4</v>
      </c>
      <c r="AK538" s="3">
        <f t="shared" ca="1" si="300"/>
        <v>0.18889606677346765</v>
      </c>
      <c r="AL538" s="3">
        <f t="shared" ca="1" si="301"/>
        <v>-6.9920926797156186E-5</v>
      </c>
      <c r="AM538" s="3">
        <f t="shared" ca="1" si="302"/>
        <v>0.13672820175195349</v>
      </c>
      <c r="AN538" s="3">
        <f t="shared" ca="1" si="303"/>
        <v>1.641226662962916</v>
      </c>
      <c r="AP538" s="3">
        <f t="shared" ca="1" si="304"/>
        <v>8.6885168706617169</v>
      </c>
      <c r="AQ538" s="3">
        <f t="shared" ca="1" si="320"/>
        <v>0.40027118943472506</v>
      </c>
      <c r="AR538" s="3">
        <f t="shared" ca="1" si="305"/>
        <v>2.8568672443606089E-4</v>
      </c>
      <c r="AS538" s="3">
        <f t="shared" ca="1" si="306"/>
        <v>0.13644251502751742</v>
      </c>
      <c r="AT538" s="3">
        <f t="shared" ca="1" si="307"/>
        <v>0.70907878262188662</v>
      </c>
      <c r="AU538" s="3">
        <f t="shared" ca="1" si="308"/>
        <v>5.28576065251199E-2</v>
      </c>
      <c r="AV538" s="10">
        <f t="shared" ca="1" si="312"/>
        <v>0.70907878262188662</v>
      </c>
      <c r="AW538" s="10">
        <f t="shared" ca="1" si="313"/>
        <v>0.70907878262188662</v>
      </c>
      <c r="AX538" s="10"/>
      <c r="AY538" s="3">
        <f t="shared" ca="1" si="319"/>
        <v>8.6885168706617169</v>
      </c>
      <c r="AZ538" s="3">
        <f t="shared" ca="1" si="321"/>
        <v>0.40027118943472506</v>
      </c>
      <c r="BA538" s="3">
        <f t="shared" ca="1" si="309"/>
        <v>2.8568672443606089E-4</v>
      </c>
      <c r="BB538" s="3">
        <f t="shared" ca="1" si="322"/>
        <v>0.13644251502751742</v>
      </c>
      <c r="BC538" s="3">
        <f t="shared" ca="1" si="323"/>
        <v>0.70907878262188662</v>
      </c>
      <c r="BD538" s="3">
        <f t="shared" ca="1" si="310"/>
        <v>5.28576065251199E-2</v>
      </c>
      <c r="BE538" s="3">
        <f t="shared" ca="1" si="317"/>
        <v>0.70907878262188662</v>
      </c>
      <c r="BF538" s="3">
        <f t="shared" ca="1" si="318"/>
        <v>0.70907878262188662</v>
      </c>
    </row>
    <row r="539" spans="1:58" ht="15" x14ac:dyDescent="0.25">
      <c r="A539" s="72">
        <v>473</v>
      </c>
      <c r="B539" s="72">
        <v>1498730368.6919999</v>
      </c>
      <c r="C539" s="73">
        <v>3.7773803961336898E-4</v>
      </c>
      <c r="D539" s="73">
        <v>4.9595461219584902E-6</v>
      </c>
      <c r="E539" s="73">
        <v>1.10035650607315E-2</v>
      </c>
      <c r="F539" s="73">
        <v>7.3755764699667001E-4</v>
      </c>
      <c r="G539" s="73">
        <v>0.20088899070993799</v>
      </c>
      <c r="H539" s="73">
        <v>2.1940020557732799E-5</v>
      </c>
      <c r="I539" s="73">
        <v>0.14508016879049701</v>
      </c>
      <c r="J539" s="73">
        <v>1.7428092870095799</v>
      </c>
      <c r="K539" s="73"/>
      <c r="L539" s="73"/>
      <c r="M539" s="73"/>
      <c r="N539" s="19"/>
      <c r="O539" s="13">
        <f t="shared" ca="1" si="280"/>
        <v>1.1305081034180739E-4</v>
      </c>
      <c r="P539" s="13">
        <f t="shared" ca="1" si="281"/>
        <v>-6.327929262881683E-6</v>
      </c>
      <c r="Q539" s="13">
        <f t="shared" ca="1" si="282"/>
        <v>1.0162825442758814E-2</v>
      </c>
      <c r="R539" s="13">
        <f t="shared" ca="1" si="283"/>
        <v>7.2778136810598888E-4</v>
      </c>
      <c r="S539" s="13">
        <f t="shared" ca="1" si="284"/>
        <v>0.19975391207669663</v>
      </c>
      <c r="T539" s="13">
        <f t="shared" ca="1" si="285"/>
        <v>2.1590199046708713E-5</v>
      </c>
      <c r="U539" s="13">
        <f t="shared" ca="1" si="286"/>
        <v>0.14442632479570849</v>
      </c>
      <c r="V539" s="13">
        <f t="shared" ca="1" si="287"/>
        <v>1.7356705060871258</v>
      </c>
      <c r="X539" s="3">
        <f t="shared" ca="1" si="288"/>
        <v>1.1305081034180739E-4</v>
      </c>
      <c r="Y539" s="3">
        <f t="shared" ca="1" si="289"/>
        <v>-6.327929262881683E-6</v>
      </c>
      <c r="Z539" s="3">
        <f t="shared" ca="1" si="290"/>
        <v>1.0162660261579992E-2</v>
      </c>
      <c r="AA539" s="3">
        <f t="shared" ca="1" si="291"/>
        <v>7.2378323275498063E-4</v>
      </c>
      <c r="AB539" s="3">
        <f t="shared" ca="1" si="292"/>
        <v>0.19972483643510644</v>
      </c>
      <c r="AC539" s="3">
        <f t="shared" ca="1" si="293"/>
        <v>2.1590199046708713E-5</v>
      </c>
      <c r="AD539" s="3">
        <f t="shared" ca="1" si="294"/>
        <v>0.14438338707450929</v>
      </c>
      <c r="AE539" s="3">
        <f t="shared" ca="1" si="295"/>
        <v>1.7356530829587267</v>
      </c>
      <c r="AG539" s="3">
        <f t="shared" ca="1" si="296"/>
        <v>1.1305081034180739E-4</v>
      </c>
      <c r="AH539" s="3">
        <f t="shared" ca="1" si="297"/>
        <v>-6.327929262881683E-6</v>
      </c>
      <c r="AI539" s="3">
        <f t="shared" ca="1" si="298"/>
        <v>1.0162660261579992E-2</v>
      </c>
      <c r="AJ539" s="3">
        <f t="shared" ca="1" si="299"/>
        <v>7.2378323275498063E-4</v>
      </c>
      <c r="AK539" s="3">
        <f t="shared" ca="1" si="300"/>
        <v>0.19972483643510644</v>
      </c>
      <c r="AL539" s="3">
        <f t="shared" ca="1" si="301"/>
        <v>2.1590199046708713E-5</v>
      </c>
      <c r="AM539" s="3">
        <f t="shared" ca="1" si="302"/>
        <v>0.14438338707450929</v>
      </c>
      <c r="AN539" s="3">
        <f t="shared" ca="1" si="303"/>
        <v>1.7356530829587267</v>
      </c>
      <c r="AP539" s="3">
        <f t="shared" ca="1" si="304"/>
        <v>8.6890438742481564</v>
      </c>
      <c r="AQ539" s="3">
        <f t="shared" ca="1" si="320"/>
        <v>0.40029576243528731</v>
      </c>
      <c r="AR539" s="3">
        <f t="shared" ca="1" si="305"/>
        <v>2.9132779763218331E-4</v>
      </c>
      <c r="AS539" s="3">
        <f t="shared" ca="1" si="306"/>
        <v>0.1441349969980763</v>
      </c>
      <c r="AT539" s="3">
        <f t="shared" ca="1" si="307"/>
        <v>0.70831848200857928</v>
      </c>
      <c r="AU539" s="3">
        <f t="shared" ca="1" si="308"/>
        <v>5.282834028769811E-2</v>
      </c>
      <c r="AV539" s="10">
        <f t="shared" ca="1" si="312"/>
        <v>0.70831848200857928</v>
      </c>
      <c r="AW539" s="10">
        <f t="shared" ca="1" si="313"/>
        <v>0.70831848200857928</v>
      </c>
      <c r="AX539" s="10"/>
      <c r="AY539" s="3">
        <f t="shared" ca="1" si="319"/>
        <v>8.6902215765372084</v>
      </c>
      <c r="AZ539" s="3">
        <f t="shared" ca="1" si="321"/>
        <v>0.40035067612883046</v>
      </c>
      <c r="BA539" s="3">
        <f t="shared" ca="1" si="309"/>
        <v>2.8976710660416719E-4</v>
      </c>
      <c r="BB539" s="3">
        <f t="shared" ca="1" si="322"/>
        <v>0.14409361996790512</v>
      </c>
      <c r="BC539" s="3">
        <f t="shared" ca="1" si="323"/>
        <v>0.7081698948831987</v>
      </c>
      <c r="BD539" s="3">
        <f t="shared" ca="1" si="310"/>
        <v>5.2842499916446121E-2</v>
      </c>
      <c r="BE539" s="3">
        <f t="shared" ca="1" si="317"/>
        <v>0.7081698948831987</v>
      </c>
      <c r="BF539" s="3">
        <f t="shared" ca="1" si="318"/>
        <v>0.7081698948831987</v>
      </c>
    </row>
    <row r="540" spans="1:58" ht="15" x14ac:dyDescent="0.25">
      <c r="A540" s="72">
        <v>474</v>
      </c>
      <c r="B540" s="72">
        <v>1498730369.2190001</v>
      </c>
      <c r="C540" s="73">
        <v>2.0525461254507601E-4</v>
      </c>
      <c r="D540" s="73">
        <v>5.3150020701023602E-5</v>
      </c>
      <c r="E540" s="73">
        <v>1.1633889950962199E-2</v>
      </c>
      <c r="F540" s="73">
        <v>8.1637549071364196E-4</v>
      </c>
      <c r="G540" s="73">
        <v>0.21361176079383301</v>
      </c>
      <c r="H540" s="73">
        <v>-3.2410060240444601E-5</v>
      </c>
      <c r="I540" s="73">
        <v>0.154229795424079</v>
      </c>
      <c r="J540" s="73">
        <v>1.8525384027859999</v>
      </c>
      <c r="K540" s="73"/>
      <c r="L540" s="73"/>
      <c r="M540" s="73"/>
      <c r="N540" s="19"/>
      <c r="O540" s="13">
        <f t="shared" ca="1" si="280"/>
        <v>-5.9432616726485578E-5</v>
      </c>
      <c r="P540" s="13">
        <f t="shared" ca="1" si="281"/>
        <v>4.1862545316183431E-5</v>
      </c>
      <c r="Q540" s="13">
        <f t="shared" ca="1" si="282"/>
        <v>1.0793150332989514E-2</v>
      </c>
      <c r="R540" s="13">
        <f t="shared" ca="1" si="283"/>
        <v>8.0659921182296083E-4</v>
      </c>
      <c r="S540" s="13">
        <f t="shared" ca="1" si="284"/>
        <v>0.21247668216059165</v>
      </c>
      <c r="T540" s="13">
        <f t="shared" ca="1" si="285"/>
        <v>-3.275988175146869E-5</v>
      </c>
      <c r="U540" s="13">
        <f t="shared" ca="1" si="286"/>
        <v>0.15357595142929048</v>
      </c>
      <c r="V540" s="13">
        <f t="shared" ca="1" si="287"/>
        <v>1.8453996218635458</v>
      </c>
      <c r="X540" s="3">
        <f t="shared" ca="1" si="288"/>
        <v>-5.9432616726485578E-5</v>
      </c>
      <c r="Y540" s="3">
        <f t="shared" ca="1" si="289"/>
        <v>4.1862545316183431E-5</v>
      </c>
      <c r="Z540" s="3">
        <f t="shared" ca="1" si="290"/>
        <v>1.0793150332989514E-2</v>
      </c>
      <c r="AA540" s="3">
        <f t="shared" ca="1" si="291"/>
        <v>8.0659921182296083E-4</v>
      </c>
      <c r="AB540" s="3">
        <f t="shared" ca="1" si="292"/>
        <v>0.21247668216059165</v>
      </c>
      <c r="AC540" s="3">
        <f t="shared" ca="1" si="293"/>
        <v>-3.275988175146869E-5</v>
      </c>
      <c r="AD540" s="3">
        <f t="shared" ca="1" si="294"/>
        <v>0.15357595142929048</v>
      </c>
      <c r="AE540" s="3">
        <f t="shared" ca="1" si="295"/>
        <v>1.8453996218635458</v>
      </c>
      <c r="AG540" s="3">
        <f t="shared" ca="1" si="296"/>
        <v>-5.9432616726485578E-5</v>
      </c>
      <c r="AH540" s="3">
        <f t="shared" ca="1" si="297"/>
        <v>4.1862545316183431E-5</v>
      </c>
      <c r="AI540" s="3">
        <f t="shared" ca="1" si="298"/>
        <v>1.0759430274786983E-2</v>
      </c>
      <c r="AJ540" s="3">
        <f t="shared" ca="1" si="299"/>
        <v>7.8797890501428882E-4</v>
      </c>
      <c r="AK540" s="3">
        <f t="shared" ca="1" si="300"/>
        <v>0.21247668216059165</v>
      </c>
      <c r="AL540" s="3">
        <f t="shared" ca="1" si="301"/>
        <v>-3.275988175146869E-5</v>
      </c>
      <c r="AM540" s="3">
        <f t="shared" ca="1" si="302"/>
        <v>0.15357595142929048</v>
      </c>
      <c r="AN540" s="3">
        <f t="shared" ca="1" si="303"/>
        <v>1.8453996218635458</v>
      </c>
      <c r="AP540" s="3">
        <f t="shared" ca="1" si="304"/>
        <v>8.6851865489351781</v>
      </c>
      <c r="AQ540" s="3">
        <f t="shared" ca="1" si="320"/>
        <v>0.40011590438655514</v>
      </c>
      <c r="AR540" s="3">
        <f t="shared" ca="1" si="305"/>
        <v>3.2273317311602652E-4</v>
      </c>
      <c r="AS540" s="3">
        <f t="shared" ca="1" si="306"/>
        <v>0.15325321825617447</v>
      </c>
      <c r="AT540" s="3">
        <f t="shared" ca="1" si="307"/>
        <v>0.70819011994446235</v>
      </c>
      <c r="AU540" s="3">
        <f t="shared" ca="1" si="308"/>
        <v>5.2721459120749575E-2</v>
      </c>
      <c r="AV540" s="10">
        <f t="shared" ca="1" si="312"/>
        <v>0.70819011994446235</v>
      </c>
      <c r="AW540" s="10">
        <f t="shared" ca="1" si="313"/>
        <v>0.70819011994446235</v>
      </c>
      <c r="AX540" s="10"/>
      <c r="AY540" s="3">
        <f t="shared" ca="1" si="319"/>
        <v>8.6851865489351781</v>
      </c>
      <c r="AZ540" s="3">
        <f t="shared" ca="1" si="321"/>
        <v>0.40011590438655514</v>
      </c>
      <c r="BA540" s="3">
        <f t="shared" ca="1" si="309"/>
        <v>3.1528289221731962E-4</v>
      </c>
      <c r="BB540" s="3">
        <f t="shared" ca="1" si="322"/>
        <v>0.15326066853707315</v>
      </c>
      <c r="BC540" s="3">
        <f t="shared" ca="1" si="323"/>
        <v>0.70822454803271584</v>
      </c>
      <c r="BD540" s="3">
        <f t="shared" ca="1" si="310"/>
        <v>5.2556746259793653E-2</v>
      </c>
      <c r="BE540" s="3">
        <f t="shared" ca="1" si="317"/>
        <v>0.70822454803271584</v>
      </c>
      <c r="BF540" s="3">
        <f t="shared" ca="1" si="318"/>
        <v>0.70822454803271584</v>
      </c>
    </row>
    <row r="541" spans="1:58" ht="15" x14ac:dyDescent="0.25">
      <c r="A541" s="72">
        <v>475</v>
      </c>
      <c r="B541" s="72">
        <v>1498730369.7460001</v>
      </c>
      <c r="C541" s="73">
        <v>3.94393189108057E-4</v>
      </c>
      <c r="D541" s="73">
        <v>-1.22845158521407E-5</v>
      </c>
      <c r="E541" s="73">
        <v>1.23934482125006E-2</v>
      </c>
      <c r="F541" s="73">
        <v>8.1327980853623295E-4</v>
      </c>
      <c r="G541" s="73">
        <v>0.228493431839805</v>
      </c>
      <c r="H541" s="73">
        <v>1.3576530820598301E-5</v>
      </c>
      <c r="I541" s="73">
        <v>0.165281519805624</v>
      </c>
      <c r="J541" s="73">
        <v>1.98302156562344</v>
      </c>
      <c r="K541" s="73"/>
      <c r="L541" s="73"/>
      <c r="M541" s="73"/>
      <c r="N541" s="19"/>
      <c r="O541" s="13">
        <f t="shared" ca="1" si="280"/>
        <v>1.2970595983649542E-4</v>
      </c>
      <c r="P541" s="13">
        <f t="shared" ca="1" si="281"/>
        <v>-2.3571991236980872E-5</v>
      </c>
      <c r="Q541" s="13">
        <f t="shared" ca="1" si="282"/>
        <v>1.1552708594527915E-2</v>
      </c>
      <c r="R541" s="13">
        <f t="shared" ca="1" si="283"/>
        <v>8.0350352964555182E-4</v>
      </c>
      <c r="S541" s="13">
        <f t="shared" ca="1" si="284"/>
        <v>0.22735835320656364</v>
      </c>
      <c r="T541" s="13">
        <f t="shared" ca="1" si="285"/>
        <v>1.3226709309574214E-5</v>
      </c>
      <c r="U541" s="13">
        <f t="shared" ca="1" si="286"/>
        <v>0.16462767581083548</v>
      </c>
      <c r="V541" s="13">
        <f t="shared" ca="1" si="287"/>
        <v>1.9758827847009859</v>
      </c>
      <c r="X541" s="3">
        <f t="shared" ca="1" si="288"/>
        <v>1.2970595983649542E-4</v>
      </c>
      <c r="Y541" s="3">
        <f t="shared" ca="1" si="289"/>
        <v>-2.3571991236980872E-5</v>
      </c>
      <c r="Z541" s="3">
        <f t="shared" ca="1" si="290"/>
        <v>1.1552607400304048E-2</v>
      </c>
      <c r="AA541" s="3">
        <f t="shared" ca="1" si="291"/>
        <v>8.0105416945421167E-4</v>
      </c>
      <c r="AB541" s="3">
        <f t="shared" ca="1" si="292"/>
        <v>0.22734054072329421</v>
      </c>
      <c r="AC541" s="3">
        <f t="shared" ca="1" si="293"/>
        <v>1.3226709309574214E-5</v>
      </c>
      <c r="AD541" s="3">
        <f t="shared" ca="1" si="294"/>
        <v>0.16460137106230172</v>
      </c>
      <c r="AE541" s="3">
        <f t="shared" ca="1" si="295"/>
        <v>1.9758721108459603</v>
      </c>
      <c r="AG541" s="3">
        <f t="shared" ca="1" si="296"/>
        <v>1.2970595983649542E-4</v>
      </c>
      <c r="AH541" s="3">
        <f t="shared" ca="1" si="297"/>
        <v>-2.3571991236980872E-5</v>
      </c>
      <c r="AI541" s="3">
        <f t="shared" ca="1" si="298"/>
        <v>1.1552607400304048E-2</v>
      </c>
      <c r="AJ541" s="3">
        <f t="shared" ca="1" si="299"/>
        <v>8.0105416945421167E-4</v>
      </c>
      <c r="AK541" s="3">
        <f t="shared" ca="1" si="300"/>
        <v>0.22734054072329421</v>
      </c>
      <c r="AL541" s="3">
        <f t="shared" ca="1" si="301"/>
        <v>1.3226709309574214E-5</v>
      </c>
      <c r="AM541" s="3">
        <f t="shared" ca="1" si="302"/>
        <v>0.16460137106230172</v>
      </c>
      <c r="AN541" s="3">
        <f t="shared" ca="1" si="303"/>
        <v>1.9758721108459603</v>
      </c>
      <c r="AP541" s="3">
        <f t="shared" ca="1" si="304"/>
        <v>8.6906100296469937</v>
      </c>
      <c r="AQ541" s="3">
        <f t="shared" ca="1" si="320"/>
        <v>0.40036878887136251</v>
      </c>
      <c r="AR541" s="3">
        <f t="shared" ca="1" si="305"/>
        <v>3.2169773501805452E-4</v>
      </c>
      <c r="AS541" s="3">
        <f t="shared" ca="1" si="306"/>
        <v>0.16430597807581743</v>
      </c>
      <c r="AT541" s="3">
        <f t="shared" ca="1" si="307"/>
        <v>0.70934490990717847</v>
      </c>
      <c r="AU541" s="3">
        <f t="shared" ca="1" si="308"/>
        <v>5.2771664173410525E-2</v>
      </c>
      <c r="AV541" s="10">
        <f t="shared" ca="1" si="312"/>
        <v>0.70934490990717847</v>
      </c>
      <c r="AW541" s="10">
        <f t="shared" ca="1" si="313"/>
        <v>0.70934490990717847</v>
      </c>
      <c r="AX541" s="10"/>
      <c r="AY541" s="3">
        <f t="shared" ca="1" si="319"/>
        <v>8.6912440014422145</v>
      </c>
      <c r="AZ541" s="3">
        <f t="shared" ca="1" si="321"/>
        <v>0.40039834964923432</v>
      </c>
      <c r="BA541" s="3">
        <f t="shared" ca="1" si="309"/>
        <v>3.2074076742910445E-4</v>
      </c>
      <c r="BB541" s="3">
        <f t="shared" ca="1" si="322"/>
        <v>0.16428063029487261</v>
      </c>
      <c r="BC541" s="3">
        <f t="shared" ca="1" si="323"/>
        <v>0.70926499212849081</v>
      </c>
      <c r="BD541" s="3">
        <f t="shared" ca="1" si="310"/>
        <v>5.2779276059808783E-2</v>
      </c>
      <c r="BE541" s="3">
        <f t="shared" ca="1" si="317"/>
        <v>0.70926499212849081</v>
      </c>
      <c r="BF541" s="3">
        <f t="shared" ca="1" si="318"/>
        <v>0.70926499212849081</v>
      </c>
    </row>
    <row r="542" spans="1:58" ht="15" x14ac:dyDescent="0.25">
      <c r="A542" s="72">
        <v>476</v>
      </c>
      <c r="B542" s="72">
        <v>1498730370.2720001</v>
      </c>
      <c r="C542" s="73">
        <v>2.0525461254507601E-4</v>
      </c>
      <c r="D542" s="73">
        <v>3.80311884701011E-5</v>
      </c>
      <c r="E542" s="73">
        <v>1.25121882771455E-2</v>
      </c>
      <c r="F542" s="73">
        <v>1.0107082796275901E-3</v>
      </c>
      <c r="G542" s="73">
        <v>0.22769272504235499</v>
      </c>
      <c r="H542" s="73">
        <v>2.4680752526060001E-5</v>
      </c>
      <c r="I542" s="73">
        <v>0.164760496215589</v>
      </c>
      <c r="J542" s="73">
        <v>1.9776068496989301</v>
      </c>
      <c r="K542" s="73"/>
      <c r="L542" s="73"/>
      <c r="M542" s="73"/>
      <c r="N542" s="19"/>
      <c r="O542" s="13">
        <f t="shared" ca="1" si="280"/>
        <v>-5.9432616726485578E-5</v>
      </c>
      <c r="P542" s="13">
        <f t="shared" ca="1" si="281"/>
        <v>2.6743713085260929E-5</v>
      </c>
      <c r="Q542" s="13">
        <f t="shared" ca="1" si="282"/>
        <v>1.1671448659172814E-2</v>
      </c>
      <c r="R542" s="13">
        <f t="shared" ca="1" si="283"/>
        <v>1.000932000736909E-3</v>
      </c>
      <c r="S542" s="13">
        <f t="shared" ca="1" si="284"/>
        <v>0.22655764640911363</v>
      </c>
      <c r="T542" s="13">
        <f t="shared" ca="1" si="285"/>
        <v>2.4330931015035915E-5</v>
      </c>
      <c r="U542" s="13">
        <f t="shared" ca="1" si="286"/>
        <v>0.16410665222080048</v>
      </c>
      <c r="V542" s="13">
        <f t="shared" ca="1" si="287"/>
        <v>1.970468068776476</v>
      </c>
      <c r="X542" s="3">
        <f t="shared" ca="1" si="288"/>
        <v>-5.9432616726485578E-5</v>
      </c>
      <c r="Y542" s="3">
        <f t="shared" ca="1" si="289"/>
        <v>2.6743713085260929E-5</v>
      </c>
      <c r="Z542" s="3">
        <f t="shared" ca="1" si="290"/>
        <v>1.1671262509343524E-2</v>
      </c>
      <c r="AA542" s="3">
        <f t="shared" ca="1" si="291"/>
        <v>9.9642632873250987E-4</v>
      </c>
      <c r="AB542" s="3">
        <f t="shared" ca="1" si="292"/>
        <v>0.22652487980848071</v>
      </c>
      <c r="AC542" s="3">
        <f t="shared" ca="1" si="293"/>
        <v>2.4330931015035915E-5</v>
      </c>
      <c r="AD542" s="3">
        <f t="shared" ca="1" si="294"/>
        <v>0.16405826384187999</v>
      </c>
      <c r="AE542" s="3">
        <f t="shared" ca="1" si="295"/>
        <v>1.9704484338979726</v>
      </c>
      <c r="AG542" s="3">
        <f t="shared" ca="1" si="296"/>
        <v>-5.9432616726485578E-5</v>
      </c>
      <c r="AH542" s="3">
        <f t="shared" ca="1" si="297"/>
        <v>2.6743713085260929E-5</v>
      </c>
      <c r="AI542" s="3">
        <f t="shared" ca="1" si="298"/>
        <v>1.1649720590308846E-2</v>
      </c>
      <c r="AJ542" s="3">
        <f t="shared" ca="1" si="299"/>
        <v>9.8453082311789671E-4</v>
      </c>
      <c r="AK542" s="3">
        <f t="shared" ca="1" si="300"/>
        <v>0.22652487980848071</v>
      </c>
      <c r="AL542" s="3">
        <f t="shared" ca="1" si="301"/>
        <v>2.4330931015035915E-5</v>
      </c>
      <c r="AM542" s="3">
        <f t="shared" ca="1" si="302"/>
        <v>0.16405826384187999</v>
      </c>
      <c r="AN542" s="3">
        <f t="shared" ca="1" si="303"/>
        <v>1.9704484338979726</v>
      </c>
      <c r="AP542" s="3">
        <f t="shared" ca="1" si="304"/>
        <v>8.6974246952505894</v>
      </c>
      <c r="AQ542" s="3">
        <f t="shared" ca="1" si="320"/>
        <v>0.40068654383503977</v>
      </c>
      <c r="AR542" s="3">
        <f t="shared" ca="1" si="305"/>
        <v>4.0105998398916353E-4</v>
      </c>
      <c r="AS542" s="3">
        <f t="shared" ca="1" si="306"/>
        <v>0.1637055922368113</v>
      </c>
      <c r="AT542" s="3">
        <f t="shared" ca="1" si="307"/>
        <v>0.70897083013521234</v>
      </c>
      <c r="AU542" s="3">
        <f t="shared" ca="1" si="308"/>
        <v>5.3545410857986246E-2</v>
      </c>
      <c r="AV542" s="10">
        <f t="shared" ca="1" si="312"/>
        <v>0.70897083013521234</v>
      </c>
      <c r="AW542" s="10">
        <f t="shared" ca="1" si="313"/>
        <v>0.70897083013521234</v>
      </c>
      <c r="AX542" s="10"/>
      <c r="AY542" s="3">
        <f t="shared" ca="1" si="319"/>
        <v>8.6985960904776629</v>
      </c>
      <c r="AZ542" s="3">
        <f t="shared" ca="1" si="321"/>
        <v>0.40074116408239757</v>
      </c>
      <c r="BA542" s="3">
        <f t="shared" ca="1" si="309"/>
        <v>3.9454202813126696E-4</v>
      </c>
      <c r="BB542" s="3">
        <f t="shared" ca="1" si="322"/>
        <v>0.16366372181374872</v>
      </c>
      <c r="BC542" s="3">
        <f t="shared" ca="1" si="323"/>
        <v>0.70884394872190504</v>
      </c>
      <c r="BD542" s="3">
        <f t="shared" ca="1" si="310"/>
        <v>5.3460825969131036E-2</v>
      </c>
      <c r="BE542" s="3">
        <f t="shared" ca="1" si="317"/>
        <v>0.70884394872190504</v>
      </c>
      <c r="BF542" s="3">
        <f t="shared" ca="1" si="318"/>
        <v>0.70884394872190504</v>
      </c>
    </row>
    <row r="543" spans="1:58" ht="15" x14ac:dyDescent="0.25">
      <c r="A543" s="72">
        <v>477</v>
      </c>
      <c r="B543" s="72">
        <v>1498730370.8</v>
      </c>
      <c r="C543" s="73">
        <v>3.2396759588747899E-4</v>
      </c>
      <c r="D543" s="73">
        <v>7.6537418124890196E-5</v>
      </c>
      <c r="E543" s="73">
        <v>1.26246790481523E-2</v>
      </c>
      <c r="F543" s="73">
        <v>7.9256279779104299E-4</v>
      </c>
      <c r="G543" s="73">
        <v>0.23149476502139499</v>
      </c>
      <c r="H543" s="73">
        <v>-6.2347748711193105E-5</v>
      </c>
      <c r="I543" s="73">
        <v>0.167316843975017</v>
      </c>
      <c r="J543" s="73">
        <v>2.0085196865878601</v>
      </c>
      <c r="K543" s="73"/>
      <c r="L543" s="73"/>
      <c r="M543" s="73"/>
      <c r="N543" s="19"/>
      <c r="O543" s="13">
        <f t="shared" ca="1" si="280"/>
        <v>5.9280366615917408E-5</v>
      </c>
      <c r="P543" s="13">
        <f t="shared" ca="1" si="281"/>
        <v>6.5249942740050018E-5</v>
      </c>
      <c r="Q543" s="13">
        <f t="shared" ca="1" si="282"/>
        <v>1.1783939430179614E-2</v>
      </c>
      <c r="R543" s="13">
        <f t="shared" ca="1" si="283"/>
        <v>7.8278651890036186E-4</v>
      </c>
      <c r="S543" s="13">
        <f t="shared" ca="1" si="284"/>
        <v>0.23035968638815363</v>
      </c>
      <c r="T543" s="13">
        <f t="shared" ca="1" si="285"/>
        <v>-6.2697570222217195E-5</v>
      </c>
      <c r="U543" s="13">
        <f t="shared" ca="1" si="286"/>
        <v>0.16666299998022849</v>
      </c>
      <c r="V543" s="13">
        <f t="shared" ca="1" si="287"/>
        <v>2.0013809056654059</v>
      </c>
      <c r="X543" s="3">
        <f t="shared" ca="1" si="288"/>
        <v>5.9280366615917408E-5</v>
      </c>
      <c r="Y543" s="3">
        <f t="shared" ca="1" si="289"/>
        <v>6.5249942740050018E-5</v>
      </c>
      <c r="Z543" s="3">
        <f t="shared" ca="1" si="290"/>
        <v>1.1783939430179614E-2</v>
      </c>
      <c r="AA543" s="3">
        <f t="shared" ca="1" si="291"/>
        <v>7.8278651890036186E-4</v>
      </c>
      <c r="AB543" s="3">
        <f t="shared" ca="1" si="292"/>
        <v>0.23035968638815363</v>
      </c>
      <c r="AC543" s="3">
        <f t="shared" ca="1" si="293"/>
        <v>-6.2697570222217195E-5</v>
      </c>
      <c r="AD543" s="3">
        <f t="shared" ca="1" si="294"/>
        <v>0.16666299998022849</v>
      </c>
      <c r="AE543" s="3">
        <f t="shared" ca="1" si="295"/>
        <v>2.0013809056654059</v>
      </c>
      <c r="AG543" s="3">
        <f t="shared" ca="1" si="296"/>
        <v>5.9280366615917408E-5</v>
      </c>
      <c r="AH543" s="3">
        <f t="shared" ca="1" si="297"/>
        <v>6.5249942740050018E-5</v>
      </c>
      <c r="AI543" s="3">
        <f t="shared" ca="1" si="298"/>
        <v>1.1731380947404901E-2</v>
      </c>
      <c r="AJ543" s="3">
        <f t="shared" ca="1" si="299"/>
        <v>7.5376358338864269E-4</v>
      </c>
      <c r="AK543" s="3">
        <f t="shared" ca="1" si="300"/>
        <v>0.23035968638815363</v>
      </c>
      <c r="AL543" s="3">
        <f t="shared" ca="1" si="301"/>
        <v>-6.2697570222217195E-5</v>
      </c>
      <c r="AM543" s="3">
        <f t="shared" ca="1" si="302"/>
        <v>0.16666299998022849</v>
      </c>
      <c r="AN543" s="3">
        <f t="shared" ca="1" si="303"/>
        <v>2.0013809056654059</v>
      </c>
      <c r="AP543" s="3">
        <f t="shared" ca="1" si="304"/>
        <v>8.6880692409569455</v>
      </c>
      <c r="AQ543" s="3">
        <f t="shared" ca="1" si="320"/>
        <v>0.40025031747524059</v>
      </c>
      <c r="AR543" s="3">
        <f t="shared" ca="1" si="305"/>
        <v>3.1331055270520823E-4</v>
      </c>
      <c r="AS543" s="3">
        <f t="shared" ca="1" si="306"/>
        <v>0.16634968942752329</v>
      </c>
      <c r="AT543" s="3">
        <f t="shared" ca="1" si="307"/>
        <v>0.70891550188502517</v>
      </c>
      <c r="AU543" s="3">
        <f t="shared" ca="1" si="308"/>
        <v>5.3110692912533092E-2</v>
      </c>
      <c r="AV543" s="10">
        <f t="shared" ca="1" si="312"/>
        <v>0.70891550188502517</v>
      </c>
      <c r="AW543" s="10">
        <f t="shared" ca="1" si="313"/>
        <v>0.70891550188502517</v>
      </c>
      <c r="AX543" s="10"/>
      <c r="AY543" s="3">
        <f t="shared" ca="1" si="319"/>
        <v>8.6880692409569455</v>
      </c>
      <c r="AZ543" s="3">
        <f t="shared" ca="1" si="321"/>
        <v>0.40025031747524059</v>
      </c>
      <c r="BA543" s="3">
        <f t="shared" ca="1" si="309"/>
        <v>3.0169411355257921E-4</v>
      </c>
      <c r="BB543" s="3">
        <f t="shared" ca="1" si="322"/>
        <v>0.16636130586667591</v>
      </c>
      <c r="BC543" s="3">
        <f t="shared" ca="1" si="323"/>
        <v>0.70896500647875382</v>
      </c>
      <c r="BD543" s="3">
        <f t="shared" ca="1" si="310"/>
        <v>5.2873809699144583E-2</v>
      </c>
      <c r="BE543" s="3">
        <f t="shared" ca="1" si="317"/>
        <v>0.70896500647875382</v>
      </c>
      <c r="BF543" s="3">
        <f t="shared" ca="1" si="318"/>
        <v>0.70896500647875382</v>
      </c>
    </row>
    <row r="544" spans="1:58" ht="15" x14ac:dyDescent="0.25">
      <c r="A544" s="72">
        <v>478</v>
      </c>
      <c r="B544" s="72">
        <v>1498730371.326</v>
      </c>
      <c r="C544" s="73">
        <v>2.4070049843251699E-4</v>
      </c>
      <c r="D544" s="73">
        <v>-4.7716579308285297E-5</v>
      </c>
      <c r="E544" s="73">
        <v>1.2320717776800201E-2</v>
      </c>
      <c r="F544" s="73">
        <v>8.2137622834053102E-4</v>
      </c>
      <c r="G544" s="73">
        <v>0.22809711744500799</v>
      </c>
      <c r="H544" s="73">
        <v>-1.71780352573633E-5</v>
      </c>
      <c r="I544" s="73">
        <v>0.16510095898548199</v>
      </c>
      <c r="J544" s="73">
        <v>1.98189534718732</v>
      </c>
      <c r="K544" s="73"/>
      <c r="L544" s="73"/>
      <c r="M544" s="73"/>
      <c r="N544" s="19"/>
      <c r="O544" s="13">
        <f t="shared" ca="1" si="280"/>
        <v>-2.3986730839044594E-5</v>
      </c>
      <c r="P544" s="13">
        <f t="shared" ca="1" si="281"/>
        <v>-5.9004054693125469E-5</v>
      </c>
      <c r="Q544" s="13">
        <f t="shared" ca="1" si="282"/>
        <v>1.1479978158827515E-2</v>
      </c>
      <c r="R544" s="13">
        <f t="shared" ca="1" si="283"/>
        <v>8.1159994944984988E-4</v>
      </c>
      <c r="S544" s="13">
        <f t="shared" ca="1" si="284"/>
        <v>0.22696203881176663</v>
      </c>
      <c r="T544" s="13">
        <f t="shared" ca="1" si="285"/>
        <v>-1.7527856768387387E-5</v>
      </c>
      <c r="U544" s="13">
        <f t="shared" ca="1" si="286"/>
        <v>0.16444711499069348</v>
      </c>
      <c r="V544" s="13">
        <f t="shared" ca="1" si="287"/>
        <v>1.9747565662648658</v>
      </c>
      <c r="X544" s="3">
        <f t="shared" ca="1" si="288"/>
        <v>-2.3986730839044594E-5</v>
      </c>
      <c r="Y544" s="3">
        <f t="shared" ca="1" si="289"/>
        <v>-5.9004054693125469E-5</v>
      </c>
      <c r="Z544" s="3">
        <f t="shared" ca="1" si="290"/>
        <v>1.1479978158827515E-2</v>
      </c>
      <c r="AA544" s="3">
        <f t="shared" ca="1" si="291"/>
        <v>8.1159994944984988E-4</v>
      </c>
      <c r="AB544" s="3">
        <f t="shared" ca="1" si="292"/>
        <v>0.22696203881176663</v>
      </c>
      <c r="AC544" s="3">
        <f t="shared" ca="1" si="293"/>
        <v>-1.7527856768387387E-5</v>
      </c>
      <c r="AD544" s="3">
        <f t="shared" ca="1" si="294"/>
        <v>0.16444711499069348</v>
      </c>
      <c r="AE544" s="3">
        <f t="shared" ca="1" si="295"/>
        <v>1.9747565662648658</v>
      </c>
      <c r="AG544" s="3">
        <f t="shared" ca="1" si="296"/>
        <v>-2.3986730839044594E-5</v>
      </c>
      <c r="AH544" s="3">
        <f t="shared" ca="1" si="297"/>
        <v>-5.9004054693125469E-5</v>
      </c>
      <c r="AI544" s="3">
        <f t="shared" ca="1" si="298"/>
        <v>1.1479978158827515E-2</v>
      </c>
      <c r="AJ544" s="3">
        <f t="shared" ca="1" si="299"/>
        <v>8.1159994944984988E-4</v>
      </c>
      <c r="AK544" s="3">
        <f t="shared" ca="1" si="300"/>
        <v>0.22696203881176663</v>
      </c>
      <c r="AL544" s="3">
        <f t="shared" ca="1" si="301"/>
        <v>-1.7527856768387387E-5</v>
      </c>
      <c r="AM544" s="3">
        <f t="shared" ca="1" si="302"/>
        <v>0.16444711499069348</v>
      </c>
      <c r="AN544" s="3">
        <f t="shared" ca="1" si="303"/>
        <v>1.9747565662648658</v>
      </c>
      <c r="AP544" s="3">
        <f t="shared" ca="1" si="304"/>
        <v>8.7008231711500041</v>
      </c>
      <c r="AQ544" s="3">
        <f t="shared" ca="1" si="320"/>
        <v>0.40084500946489388</v>
      </c>
      <c r="AR544" s="3">
        <f t="shared" ca="1" si="305"/>
        <v>3.2532578941893246E-4</v>
      </c>
      <c r="AS544" s="3">
        <f t="shared" ca="1" si="306"/>
        <v>0.16412178920127454</v>
      </c>
      <c r="AT544" s="3">
        <f t="shared" ca="1" si="307"/>
        <v>0.70936727997013449</v>
      </c>
      <c r="AU544" s="3">
        <f t="shared" ca="1" si="308"/>
        <v>5.2594176982628062E-2</v>
      </c>
      <c r="AV544" s="10">
        <f t="shared" ca="1" si="312"/>
        <v>0.70936727997013449</v>
      </c>
      <c r="AW544" s="10">
        <f t="shared" ca="1" si="313"/>
        <v>0.70936727997013449</v>
      </c>
      <c r="AX544" s="10"/>
      <c r="AY544" s="3">
        <f t="shared" ca="1" si="319"/>
        <v>8.7008231711500041</v>
      </c>
      <c r="AZ544" s="3">
        <f t="shared" ca="1" si="321"/>
        <v>0.40084500946489388</v>
      </c>
      <c r="BA544" s="3">
        <f t="shared" ca="1" si="309"/>
        <v>3.2532578941893246E-4</v>
      </c>
      <c r="BB544" s="3">
        <f t="shared" ca="1" si="322"/>
        <v>0.16412178920127454</v>
      </c>
      <c r="BC544" s="3">
        <f t="shared" ca="1" si="323"/>
        <v>0.70936727997013449</v>
      </c>
      <c r="BD544" s="3">
        <f t="shared" ca="1" si="310"/>
        <v>5.2594176982628062E-2</v>
      </c>
      <c r="BE544" s="3">
        <f t="shared" ca="1" si="317"/>
        <v>0.70936727997013449</v>
      </c>
      <c r="BF544" s="3">
        <f t="shared" ca="1" si="318"/>
        <v>0.70936727997013449</v>
      </c>
    </row>
    <row r="545" spans="1:58" ht="15" x14ac:dyDescent="0.25">
      <c r="A545" s="72">
        <v>479</v>
      </c>
      <c r="B545" s="72">
        <v>1498730371.8540001</v>
      </c>
      <c r="C545" s="73">
        <v>2.9660764082857299E-4</v>
      </c>
      <c r="D545" s="73">
        <v>-1.4148733461700301E-4</v>
      </c>
      <c r="E545" s="73">
        <v>1.22347484784304E-2</v>
      </c>
      <c r="F545" s="73">
        <v>7.7637049080704699E-4</v>
      </c>
      <c r="G545" s="73">
        <v>0.226045075992586</v>
      </c>
      <c r="H545" s="73">
        <v>-5.1865864099712301E-5</v>
      </c>
      <c r="I545" s="73">
        <v>0.16328484374695501</v>
      </c>
      <c r="J545" s="73">
        <v>1.96258324254179</v>
      </c>
      <c r="K545" s="73"/>
      <c r="L545" s="73"/>
      <c r="M545" s="73"/>
      <c r="N545" s="19"/>
      <c r="O545" s="13">
        <f t="shared" ca="1" si="280"/>
        <v>3.1920411557011404E-5</v>
      </c>
      <c r="P545" s="13">
        <f t="shared" ca="1" si="281"/>
        <v>-1.5277481000184318E-4</v>
      </c>
      <c r="Q545" s="13">
        <f t="shared" ca="1" si="282"/>
        <v>1.1394008860457714E-2</v>
      </c>
      <c r="R545" s="13">
        <f t="shared" ca="1" si="283"/>
        <v>7.6659421191636586E-4</v>
      </c>
      <c r="S545" s="13">
        <f t="shared" ca="1" si="284"/>
        <v>0.22490999735934464</v>
      </c>
      <c r="T545" s="13">
        <f t="shared" ca="1" si="285"/>
        <v>-5.2215685610736391E-5</v>
      </c>
      <c r="U545" s="13">
        <f t="shared" ca="1" si="286"/>
        <v>0.16263099975216649</v>
      </c>
      <c r="V545" s="13">
        <f t="shared" ca="1" si="287"/>
        <v>1.9554444616193358</v>
      </c>
      <c r="X545" s="3">
        <f t="shared" ca="1" si="288"/>
        <v>3.1920411557011404E-5</v>
      </c>
      <c r="Y545" s="3">
        <f t="shared" ca="1" si="289"/>
        <v>-1.5277481000184318E-4</v>
      </c>
      <c r="Z545" s="3">
        <f t="shared" ca="1" si="290"/>
        <v>1.1394008860457714E-2</v>
      </c>
      <c r="AA545" s="3">
        <f t="shared" ca="1" si="291"/>
        <v>7.6659421191636586E-4</v>
      </c>
      <c r="AB545" s="3">
        <f t="shared" ca="1" si="292"/>
        <v>0.22490999735934464</v>
      </c>
      <c r="AC545" s="3">
        <f t="shared" ca="1" si="293"/>
        <v>-5.2215685610736391E-5</v>
      </c>
      <c r="AD545" s="3">
        <f t="shared" ca="1" si="294"/>
        <v>0.16263099975216649</v>
      </c>
      <c r="AE545" s="3">
        <f t="shared" ca="1" si="295"/>
        <v>1.9554444616193358</v>
      </c>
      <c r="AG545" s="3">
        <f t="shared" ca="1" si="296"/>
        <v>3.1920411557011404E-5</v>
      </c>
      <c r="AH545" s="3">
        <f t="shared" ca="1" si="297"/>
        <v>-1.5277481000184318E-4</v>
      </c>
      <c r="AI545" s="3">
        <f t="shared" ca="1" si="298"/>
        <v>1.1394008860457714E-2</v>
      </c>
      <c r="AJ545" s="3">
        <f t="shared" ca="1" si="299"/>
        <v>7.6659421191636586E-4</v>
      </c>
      <c r="AK545" s="3">
        <f t="shared" ca="1" si="300"/>
        <v>0.22490999735934464</v>
      </c>
      <c r="AL545" s="3">
        <f t="shared" ca="1" si="301"/>
        <v>-5.2215685610736391E-5</v>
      </c>
      <c r="AM545" s="3">
        <f t="shared" ca="1" si="302"/>
        <v>0.16263099975216649</v>
      </c>
      <c r="AN545" s="3">
        <f t="shared" ca="1" si="303"/>
        <v>1.9554444616193358</v>
      </c>
      <c r="AP545" s="3">
        <f t="shared" ca="1" si="304"/>
        <v>8.6943421127477514</v>
      </c>
      <c r="AQ545" s="3">
        <f t="shared" ca="1" si="320"/>
        <v>0.40054280847103518</v>
      </c>
      <c r="AR545" s="3">
        <f t="shared" ca="1" si="305"/>
        <v>3.070537985986211E-4</v>
      </c>
      <c r="AS545" s="3">
        <f t="shared" ca="1" si="306"/>
        <v>0.16232394595356786</v>
      </c>
      <c r="AT545" s="3">
        <f t="shared" ca="1" si="307"/>
        <v>0.70826362229656292</v>
      </c>
      <c r="AU545" s="3">
        <f t="shared" ca="1" si="308"/>
        <v>5.2636436118510432E-2</v>
      </c>
      <c r="AV545" s="10">
        <f t="shared" ca="1" si="312"/>
        <v>0.70826362229656292</v>
      </c>
      <c r="AW545" s="10">
        <f t="shared" ca="1" si="313"/>
        <v>0.70826362229656292</v>
      </c>
      <c r="AX545" s="10"/>
      <c r="AY545" s="3">
        <f t="shared" ca="1" si="319"/>
        <v>8.6943421127477514</v>
      </c>
      <c r="AZ545" s="3">
        <f t="shared" ca="1" si="321"/>
        <v>0.40054280847103518</v>
      </c>
      <c r="BA545" s="3">
        <f t="shared" ca="1" si="309"/>
        <v>3.070537985986211E-4</v>
      </c>
      <c r="BB545" s="3">
        <f t="shared" ca="1" si="322"/>
        <v>0.16232394595356786</v>
      </c>
      <c r="BC545" s="3">
        <f t="shared" ca="1" si="323"/>
        <v>0.70826362229656292</v>
      </c>
      <c r="BD545" s="3">
        <f t="shared" ca="1" si="310"/>
        <v>5.2636436118510432E-2</v>
      </c>
      <c r="BE545" s="3">
        <f t="shared" ca="1" si="317"/>
        <v>0.70826362229656292</v>
      </c>
      <c r="BF545" s="3">
        <f t="shared" ca="1" si="318"/>
        <v>0.70826362229656292</v>
      </c>
    </row>
    <row r="546" spans="1:58" ht="15" x14ac:dyDescent="0.25">
      <c r="A546" s="72">
        <v>480</v>
      </c>
      <c r="B546" s="72">
        <v>1498730372.381</v>
      </c>
      <c r="C546" s="73">
        <v>1.5030408220338199E-4</v>
      </c>
      <c r="D546" s="73">
        <v>1.9369197628704099E-5</v>
      </c>
      <c r="E546" s="73">
        <v>1.22850769566134E-2</v>
      </c>
      <c r="F546" s="73">
        <v>7.5946409740465601E-4</v>
      </c>
      <c r="G546" s="73">
        <v>0.22619597886255199</v>
      </c>
      <c r="H546" s="73">
        <v>7.3459544699292794E-5</v>
      </c>
      <c r="I546" s="73">
        <v>0.16342734648150101</v>
      </c>
      <c r="J546" s="73">
        <v>1.96318080201437</v>
      </c>
      <c r="K546" s="73"/>
      <c r="L546" s="73"/>
      <c r="M546" s="73"/>
      <c r="N546" s="19"/>
      <c r="O546" s="13">
        <f t="shared" ca="1" si="280"/>
        <v>-1.1438314706817959E-4</v>
      </c>
      <c r="P546" s="13">
        <f t="shared" ca="1" si="281"/>
        <v>8.0817222438639257E-6</v>
      </c>
      <c r="Q546" s="13">
        <f t="shared" ca="1" si="282"/>
        <v>1.1444337338640715E-2</v>
      </c>
      <c r="R546" s="13">
        <f t="shared" ca="1" si="283"/>
        <v>7.4968781851397488E-4</v>
      </c>
      <c r="S546" s="13">
        <f t="shared" ca="1" si="284"/>
        <v>0.22506090022931063</v>
      </c>
      <c r="T546" s="13">
        <f t="shared" ca="1" si="285"/>
        <v>7.3109723188268704E-5</v>
      </c>
      <c r="U546" s="13">
        <f t="shared" ca="1" si="286"/>
        <v>0.16277350248671249</v>
      </c>
      <c r="V546" s="13">
        <f t="shared" ca="1" si="287"/>
        <v>1.9560420210919158</v>
      </c>
      <c r="X546" s="3">
        <f t="shared" ca="1" si="288"/>
        <v>-1.1438314706817959E-4</v>
      </c>
      <c r="Y546" s="3">
        <f t="shared" ca="1" si="289"/>
        <v>8.0817222438639257E-6</v>
      </c>
      <c r="Z546" s="3">
        <f t="shared" ca="1" si="290"/>
        <v>1.144377799454975E-2</v>
      </c>
      <c r="AA546" s="3">
        <f t="shared" ca="1" si="291"/>
        <v>7.3614914903950325E-4</v>
      </c>
      <c r="AB546" s="3">
        <f t="shared" ca="1" si="292"/>
        <v>0.22496244295693524</v>
      </c>
      <c r="AC546" s="3">
        <f t="shared" ca="1" si="293"/>
        <v>7.3109723188268704E-5</v>
      </c>
      <c r="AD546" s="3">
        <f t="shared" ca="1" si="294"/>
        <v>0.16262810480397608</v>
      </c>
      <c r="AE546" s="3">
        <f t="shared" ca="1" si="295"/>
        <v>1.9559830220946588</v>
      </c>
      <c r="AG546" s="3">
        <f t="shared" ca="1" si="296"/>
        <v>-1.1438314706817959E-4</v>
      </c>
      <c r="AH546" s="3">
        <f t="shared" ca="1" si="297"/>
        <v>8.0817222438639257E-6</v>
      </c>
      <c r="AI546" s="3">
        <f t="shared" ca="1" si="298"/>
        <v>1.1437268210149841E-2</v>
      </c>
      <c r="AJ546" s="3">
        <f t="shared" ca="1" si="299"/>
        <v>7.3255442858983577E-4</v>
      </c>
      <c r="AK546" s="3">
        <f t="shared" ca="1" si="300"/>
        <v>0.22496244295693524</v>
      </c>
      <c r="AL546" s="3">
        <f t="shared" ca="1" si="301"/>
        <v>7.3109723188268704E-5</v>
      </c>
      <c r="AM546" s="3">
        <f t="shared" ca="1" si="302"/>
        <v>0.16262810480397608</v>
      </c>
      <c r="AN546" s="3">
        <f t="shared" ca="1" si="303"/>
        <v>1.9559830220946588</v>
      </c>
      <c r="AP546" s="3">
        <f t="shared" ca="1" si="304"/>
        <v>8.6911676755000027</v>
      </c>
      <c r="AQ546" s="3">
        <f t="shared" ca="1" si="320"/>
        <v>0.4003947907289187</v>
      </c>
      <c r="AR546" s="3">
        <f t="shared" ca="1" si="305"/>
        <v>3.0017109720592257E-4</v>
      </c>
      <c r="AS546" s="3">
        <f t="shared" ca="1" si="306"/>
        <v>0.16247333138950656</v>
      </c>
      <c r="AT546" s="3">
        <f t="shared" ca="1" si="307"/>
        <v>0.70857040170985763</v>
      </c>
      <c r="AU546" s="3">
        <f t="shared" ca="1" si="308"/>
        <v>5.2813749275682602E-2</v>
      </c>
      <c r="AV546" s="10">
        <f t="shared" ca="1" si="312"/>
        <v>0.70857040170985763</v>
      </c>
      <c r="AW546" s="10">
        <f t="shared" ca="1" si="313"/>
        <v>0.70857040170985763</v>
      </c>
      <c r="AX546" s="10"/>
      <c r="AY546" s="3">
        <f t="shared" ca="1" si="319"/>
        <v>8.694709198499833</v>
      </c>
      <c r="AZ546" s="3">
        <f t="shared" ca="1" si="321"/>
        <v>0.40055992499726706</v>
      </c>
      <c r="BA546" s="3">
        <f t="shared" ca="1" si="309"/>
        <v>2.9343194697236042E-4</v>
      </c>
      <c r="BB546" s="3">
        <f t="shared" ca="1" si="322"/>
        <v>0.1623346728570037</v>
      </c>
      <c r="BC546" s="3">
        <f t="shared" ca="1" si="323"/>
        <v>0.70813024162810889</v>
      </c>
      <c r="BD546" s="3">
        <f t="shared" ca="1" si="310"/>
        <v>5.2826243967291964E-2</v>
      </c>
      <c r="BE546" s="3">
        <f t="shared" ca="1" si="317"/>
        <v>0.70813024162810889</v>
      </c>
      <c r="BF546" s="3">
        <f t="shared" ca="1" si="318"/>
        <v>0.70813024162810889</v>
      </c>
    </row>
    <row r="547" spans="1:58" ht="15" x14ac:dyDescent="0.25">
      <c r="A547" s="72">
        <v>481</v>
      </c>
      <c r="B547" s="72">
        <v>1498730372.9070001</v>
      </c>
      <c r="C547" s="73">
        <v>2.16673284041902E-4</v>
      </c>
      <c r="D547" s="73">
        <v>-5.4566632278717202E-5</v>
      </c>
      <c r="E547" s="73">
        <v>1.23387794828567E-2</v>
      </c>
      <c r="F547" s="73">
        <v>8.2613885887598002E-4</v>
      </c>
      <c r="G547" s="73">
        <v>0.227360040098712</v>
      </c>
      <c r="H547" s="73">
        <v>6.7829360863375305E-7</v>
      </c>
      <c r="I547" s="73">
        <v>0.164248461348137</v>
      </c>
      <c r="J547" s="73">
        <v>1.9738171635964601</v>
      </c>
      <c r="K547" s="73"/>
      <c r="L547" s="73"/>
      <c r="M547" s="73"/>
      <c r="N547" s="19"/>
      <c r="O547" s="13">
        <f t="shared" ca="1" si="280"/>
        <v>-4.8013945229659588E-5</v>
      </c>
      <c r="P547" s="13">
        <f t="shared" ca="1" si="281"/>
        <v>-6.5854107663557374E-5</v>
      </c>
      <c r="Q547" s="13">
        <f t="shared" ca="1" si="282"/>
        <v>1.1498039864884015E-2</v>
      </c>
      <c r="R547" s="13">
        <f t="shared" ca="1" si="283"/>
        <v>8.1636257998529888E-4</v>
      </c>
      <c r="S547" s="13">
        <f t="shared" ca="1" si="284"/>
        <v>0.22622496146547064</v>
      </c>
      <c r="T547" s="13">
        <f t="shared" ca="1" si="285"/>
        <v>3.2847209760966643E-7</v>
      </c>
      <c r="U547" s="13">
        <f t="shared" ca="1" si="286"/>
        <v>0.16359461735334849</v>
      </c>
      <c r="V547" s="13">
        <f t="shared" ca="1" si="287"/>
        <v>1.966678382674006</v>
      </c>
      <c r="X547" s="3">
        <f t="shared" ca="1" si="288"/>
        <v>-4.8013945229659588E-5</v>
      </c>
      <c r="Y547" s="3">
        <f t="shared" ca="1" si="289"/>
        <v>-6.5854107663557374E-5</v>
      </c>
      <c r="Z547" s="3">
        <f t="shared" ca="1" si="290"/>
        <v>1.1498037351826669E-2</v>
      </c>
      <c r="AA547" s="3">
        <f t="shared" ca="1" si="291"/>
        <v>8.163017525745635E-4</v>
      </c>
      <c r="AB547" s="3">
        <f t="shared" ca="1" si="292"/>
        <v>0.22622451911026298</v>
      </c>
      <c r="AC547" s="3">
        <f t="shared" ca="1" si="293"/>
        <v>3.2847209760966643E-7</v>
      </c>
      <c r="AD547" s="3">
        <f t="shared" ca="1" si="294"/>
        <v>0.16359396410122615</v>
      </c>
      <c r="AE547" s="3">
        <f t="shared" ca="1" si="295"/>
        <v>1.9666781175994914</v>
      </c>
      <c r="AG547" s="3">
        <f t="shared" ca="1" si="296"/>
        <v>-4.8013945229659588E-5</v>
      </c>
      <c r="AH547" s="3">
        <f t="shared" ca="1" si="297"/>
        <v>-6.5854107663557374E-5</v>
      </c>
      <c r="AI547" s="3">
        <f t="shared" ca="1" si="298"/>
        <v>1.1498037351826669E-2</v>
      </c>
      <c r="AJ547" s="3">
        <f t="shared" ca="1" si="299"/>
        <v>8.163017525745635E-4</v>
      </c>
      <c r="AK547" s="3">
        <f t="shared" ca="1" si="300"/>
        <v>0.22622451911026298</v>
      </c>
      <c r="AL547" s="3">
        <f t="shared" ca="1" si="301"/>
        <v>3.2847209760966643E-7</v>
      </c>
      <c r="AM547" s="3">
        <f t="shared" ca="1" si="302"/>
        <v>0.16359396410122615</v>
      </c>
      <c r="AN547" s="3">
        <f t="shared" ca="1" si="303"/>
        <v>1.9666781175994914</v>
      </c>
      <c r="AP547" s="3">
        <f t="shared" ca="1" si="304"/>
        <v>8.6934632232181226</v>
      </c>
      <c r="AQ547" s="3">
        <f t="shared" ca="1" si="320"/>
        <v>0.40050182752168179</v>
      </c>
      <c r="AR547" s="3">
        <f t="shared" ca="1" si="305"/>
        <v>3.2695470520442731E-4</v>
      </c>
      <c r="AS547" s="3">
        <f t="shared" ca="1" si="306"/>
        <v>0.16326766264814405</v>
      </c>
      <c r="AT547" s="3">
        <f t="shared" ca="1" si="307"/>
        <v>0.70827655696666991</v>
      </c>
      <c r="AU547" s="3">
        <f t="shared" ca="1" si="308"/>
        <v>5.2802811419419983E-2</v>
      </c>
      <c r="AV547" s="10">
        <f t="shared" ca="1" si="312"/>
        <v>0.70827655696666991</v>
      </c>
      <c r="AW547" s="10">
        <f t="shared" ca="1" si="313"/>
        <v>0.70827655696666991</v>
      </c>
      <c r="AX547" s="10"/>
      <c r="AY547" s="3">
        <f t="shared" ca="1" si="319"/>
        <v>8.6934790505220274</v>
      </c>
      <c r="AZ547" s="3">
        <f t="shared" ca="1" si="321"/>
        <v>0.40050256551835522</v>
      </c>
      <c r="BA547" s="3">
        <f t="shared" ca="1" si="309"/>
        <v>3.2693094614324233E-4</v>
      </c>
      <c r="BB547" s="3">
        <f t="shared" ca="1" si="322"/>
        <v>0.1632670331550829</v>
      </c>
      <c r="BC547" s="3">
        <f t="shared" ca="1" si="323"/>
        <v>0.70827456171364622</v>
      </c>
      <c r="BD547" s="3">
        <f t="shared" ca="1" si="310"/>
        <v>5.280300149624724E-2</v>
      </c>
      <c r="BE547" s="3">
        <f t="shared" ca="1" si="317"/>
        <v>0.70827456171364622</v>
      </c>
      <c r="BF547" s="3">
        <f t="shared" ca="1" si="318"/>
        <v>0.70827456171364622</v>
      </c>
    </row>
    <row r="548" spans="1:58" ht="15" x14ac:dyDescent="0.25">
      <c r="A548" s="72">
        <v>482</v>
      </c>
      <c r="B548" s="72">
        <v>1498730373.434</v>
      </c>
      <c r="C548" s="73">
        <v>3.3752889495165399E-4</v>
      </c>
      <c r="D548" s="73">
        <v>3.3306600643183E-5</v>
      </c>
      <c r="E548" s="73">
        <v>1.1805974389435101E-2</v>
      </c>
      <c r="F548" s="73">
        <v>8.0780285587485595E-4</v>
      </c>
      <c r="G548" s="73">
        <v>0.215539760734345</v>
      </c>
      <c r="H548" s="73">
        <v>6.3886233149941402E-5</v>
      </c>
      <c r="I548" s="73">
        <v>0.15587019640557401</v>
      </c>
      <c r="J548" s="73">
        <v>1.8724742237711001</v>
      </c>
      <c r="K548" s="73"/>
      <c r="L548" s="73"/>
      <c r="M548" s="73"/>
      <c r="N548" s="19"/>
      <c r="O548" s="13">
        <f t="shared" ca="1" si="280"/>
        <v>7.2841665680092405E-5</v>
      </c>
      <c r="P548" s="13">
        <f t="shared" ca="1" si="281"/>
        <v>2.2019125258342829E-5</v>
      </c>
      <c r="Q548" s="13">
        <f t="shared" ca="1" si="282"/>
        <v>1.0965234771462416E-2</v>
      </c>
      <c r="R548" s="13">
        <f t="shared" ca="1" si="283"/>
        <v>7.9802657698417481E-4</v>
      </c>
      <c r="S548" s="13">
        <f t="shared" ca="1" si="284"/>
        <v>0.21440468210110364</v>
      </c>
      <c r="T548" s="13">
        <f t="shared" ca="1" si="285"/>
        <v>6.3536411638917312E-5</v>
      </c>
      <c r="U548" s="13">
        <f t="shared" ca="1" si="286"/>
        <v>0.15521635241078549</v>
      </c>
      <c r="V548" s="13">
        <f t="shared" ca="1" si="287"/>
        <v>1.8653354428486459</v>
      </c>
      <c r="X548" s="3">
        <f t="shared" ca="1" si="288"/>
        <v>7.2841665680092405E-5</v>
      </c>
      <c r="Y548" s="3">
        <f t="shared" ca="1" si="289"/>
        <v>2.2019125258342829E-5</v>
      </c>
      <c r="Z548" s="3">
        <f t="shared" ca="1" si="290"/>
        <v>1.0964748670368587E-2</v>
      </c>
      <c r="AA548" s="3">
        <f t="shared" ca="1" si="291"/>
        <v>7.8626072096310725E-4</v>
      </c>
      <c r="AB548" s="3">
        <f t="shared" ca="1" si="292"/>
        <v>0.21431911726083774</v>
      </c>
      <c r="AC548" s="3">
        <f t="shared" ca="1" si="293"/>
        <v>6.3536411638917312E-5</v>
      </c>
      <c r="AD548" s="3">
        <f t="shared" ca="1" si="294"/>
        <v>0.15508999374577051</v>
      </c>
      <c r="AE548" s="3">
        <f t="shared" ca="1" si="295"/>
        <v>1.865284169441874</v>
      </c>
      <c r="AG548" s="3">
        <f t="shared" ca="1" si="296"/>
        <v>7.2841665680092405E-5</v>
      </c>
      <c r="AH548" s="3">
        <f t="shared" ca="1" si="297"/>
        <v>2.2019125258342829E-5</v>
      </c>
      <c r="AI548" s="3">
        <f t="shared" ca="1" si="298"/>
        <v>1.0947012381768068E-2</v>
      </c>
      <c r="AJ548" s="3">
        <f t="shared" ca="1" si="299"/>
        <v>7.7646669470712555E-4</v>
      </c>
      <c r="AK548" s="3">
        <f t="shared" ca="1" si="300"/>
        <v>0.21431911726083774</v>
      </c>
      <c r="AL548" s="3">
        <f t="shared" ca="1" si="301"/>
        <v>6.3536411638917312E-5</v>
      </c>
      <c r="AM548" s="3">
        <f t="shared" ca="1" si="302"/>
        <v>0.15508999374577051</v>
      </c>
      <c r="AN548" s="3">
        <f t="shared" ca="1" si="303"/>
        <v>1.865284169441874</v>
      </c>
      <c r="AP548" s="3">
        <f t="shared" ca="1" si="304"/>
        <v>8.7000686019022542</v>
      </c>
      <c r="AQ548" s="3">
        <f t="shared" ca="1" si="320"/>
        <v>0.40080982501308832</v>
      </c>
      <c r="AR548" s="3">
        <f t="shared" ca="1" si="305"/>
        <v>3.1985689267682095E-4</v>
      </c>
      <c r="AS548" s="3">
        <f t="shared" ca="1" si="306"/>
        <v>0.15489649551810866</v>
      </c>
      <c r="AT548" s="3">
        <f t="shared" ca="1" si="307"/>
        <v>0.70873589485040411</v>
      </c>
      <c r="AU548" s="3">
        <f t="shared" ca="1" si="308"/>
        <v>5.3173464084671426E-2</v>
      </c>
      <c r="AV548" s="10">
        <f t="shared" ca="1" si="312"/>
        <v>0.70873589485040411</v>
      </c>
      <c r="AW548" s="10">
        <f t="shared" ca="1" si="313"/>
        <v>0.70873589485040411</v>
      </c>
      <c r="AX548" s="10"/>
      <c r="AY548" s="3">
        <f t="shared" ca="1" si="319"/>
        <v>8.7033027817659594</v>
      </c>
      <c r="AZ548" s="3">
        <f t="shared" ca="1" si="321"/>
        <v>0.4009606303136436</v>
      </c>
      <c r="BA548" s="3">
        <f t="shared" ca="1" si="309"/>
        <v>3.1133257532732055E-4</v>
      </c>
      <c r="BB548" s="3">
        <f t="shared" ca="1" si="322"/>
        <v>0.1547786611704432</v>
      </c>
      <c r="BC548" s="3">
        <f t="shared" ca="1" si="323"/>
        <v>0.70834688413748415</v>
      </c>
      <c r="BD548" s="3">
        <f t="shared" ca="1" si="310"/>
        <v>5.3126493304681464E-2</v>
      </c>
      <c r="BE548" s="3">
        <f t="shared" ca="1" si="317"/>
        <v>0.70834688413748415</v>
      </c>
      <c r="BF548" s="3">
        <f t="shared" ca="1" si="318"/>
        <v>0.70834688413748415</v>
      </c>
    </row>
    <row r="549" spans="1:58" ht="15" x14ac:dyDescent="0.25">
      <c r="A549" s="72">
        <v>483</v>
      </c>
      <c r="B549" s="72">
        <v>1498730373.96</v>
      </c>
      <c r="C549" s="73">
        <v>2.03113626176222E-4</v>
      </c>
      <c r="D549" s="73">
        <v>-7.1809659700429405E-5</v>
      </c>
      <c r="E549" s="73">
        <v>1.1304484128059801E-2</v>
      </c>
      <c r="F549" s="73">
        <v>6.5612701051405702E-4</v>
      </c>
      <c r="G549" s="73">
        <v>0.207995259246088</v>
      </c>
      <c r="H549" s="73">
        <v>-2.8088653676260601E-5</v>
      </c>
      <c r="I549" s="73">
        <v>0.15035224546701001</v>
      </c>
      <c r="J549" s="73">
        <v>1.80666085028184</v>
      </c>
      <c r="K549" s="73"/>
      <c r="L549" s="73"/>
      <c r="M549" s="73"/>
      <c r="N549" s="19"/>
      <c r="O549" s="13">
        <f t="shared" ca="1" si="280"/>
        <v>-6.157360309533958E-5</v>
      </c>
      <c r="P549" s="13">
        <f t="shared" ca="1" si="281"/>
        <v>-8.3097135085269584E-5</v>
      </c>
      <c r="Q549" s="13">
        <f t="shared" ca="1" si="282"/>
        <v>1.0463744510087115E-2</v>
      </c>
      <c r="R549" s="13">
        <f t="shared" ca="1" si="283"/>
        <v>6.4635073162337589E-4</v>
      </c>
      <c r="S549" s="13">
        <f t="shared" ca="1" si="284"/>
        <v>0.20686018061284664</v>
      </c>
      <c r="T549" s="13">
        <f t="shared" ca="1" si="285"/>
        <v>-2.8438475187284687E-5</v>
      </c>
      <c r="U549" s="13">
        <f t="shared" ca="1" si="286"/>
        <v>0.14969840147222149</v>
      </c>
      <c r="V549" s="13">
        <f t="shared" ca="1" si="287"/>
        <v>1.7995220693593859</v>
      </c>
      <c r="X549" s="3">
        <f t="shared" ca="1" si="288"/>
        <v>-6.157360309533958E-5</v>
      </c>
      <c r="Y549" s="3">
        <f t="shared" ca="1" si="289"/>
        <v>-8.3097135085269584E-5</v>
      </c>
      <c r="Z549" s="3">
        <f t="shared" ca="1" si="290"/>
        <v>1.0463744510087115E-2</v>
      </c>
      <c r="AA549" s="3">
        <f t="shared" ca="1" si="291"/>
        <v>6.4635073162337589E-4</v>
      </c>
      <c r="AB549" s="3">
        <f t="shared" ca="1" si="292"/>
        <v>0.20686018061284664</v>
      </c>
      <c r="AC549" s="3">
        <f t="shared" ca="1" si="293"/>
        <v>-2.8438475187284687E-5</v>
      </c>
      <c r="AD549" s="3">
        <f t="shared" ca="1" si="294"/>
        <v>0.14969840147222149</v>
      </c>
      <c r="AE549" s="3">
        <f t="shared" ca="1" si="295"/>
        <v>1.7995220693593859</v>
      </c>
      <c r="AG549" s="3">
        <f t="shared" ca="1" si="296"/>
        <v>-6.157360309533958E-5</v>
      </c>
      <c r="AH549" s="3">
        <f t="shared" ca="1" si="297"/>
        <v>-8.3097135085269584E-5</v>
      </c>
      <c r="AI549" s="3">
        <f t="shared" ca="1" si="298"/>
        <v>1.0463744510087115E-2</v>
      </c>
      <c r="AJ549" s="3">
        <f t="shared" ca="1" si="299"/>
        <v>6.4635073162337589E-4</v>
      </c>
      <c r="AK549" s="3">
        <f t="shared" ca="1" si="300"/>
        <v>0.20686018061284664</v>
      </c>
      <c r="AL549" s="3">
        <f t="shared" ca="1" si="301"/>
        <v>-2.8438475187284687E-5</v>
      </c>
      <c r="AM549" s="3">
        <f t="shared" ca="1" si="302"/>
        <v>0.14969840147222149</v>
      </c>
      <c r="AN549" s="3">
        <f t="shared" ca="1" si="303"/>
        <v>1.7995220693593859</v>
      </c>
      <c r="AP549" s="3">
        <f t="shared" ca="1" si="304"/>
        <v>8.6992192698860578</v>
      </c>
      <c r="AQ549" s="3">
        <f t="shared" ca="1" si="320"/>
        <v>0.40077022195734452</v>
      </c>
      <c r="AR549" s="3">
        <f t="shared" ca="1" si="305"/>
        <v>2.5903812617499239E-4</v>
      </c>
      <c r="AS549" s="3">
        <f t="shared" ca="1" si="306"/>
        <v>0.14943936334604649</v>
      </c>
      <c r="AT549" s="3">
        <f t="shared" ca="1" si="307"/>
        <v>0.70873937775544116</v>
      </c>
      <c r="AU549" s="3">
        <f t="shared" ca="1" si="308"/>
        <v>5.2586967453052802E-2</v>
      </c>
      <c r="AV549" s="10">
        <f t="shared" ca="1" si="312"/>
        <v>0.70873937775544116</v>
      </c>
      <c r="AW549" s="10">
        <f t="shared" ca="1" si="313"/>
        <v>0.70873937775544116</v>
      </c>
      <c r="AX549" s="10"/>
      <c r="AY549" s="3">
        <f t="shared" ca="1" si="319"/>
        <v>8.6992192698860578</v>
      </c>
      <c r="AZ549" s="3">
        <f t="shared" ca="1" si="321"/>
        <v>0.40077022195734452</v>
      </c>
      <c r="BA549" s="3">
        <f t="shared" ca="1" si="309"/>
        <v>2.5903812617499239E-4</v>
      </c>
      <c r="BB549" s="3">
        <f t="shared" ca="1" si="322"/>
        <v>0.14943936334604649</v>
      </c>
      <c r="BC549" s="3">
        <f t="shared" ca="1" si="323"/>
        <v>0.70873937775544116</v>
      </c>
      <c r="BD549" s="3">
        <f t="shared" ca="1" si="310"/>
        <v>5.2586967453052802E-2</v>
      </c>
      <c r="BE549" s="3">
        <f t="shared" ca="1" si="317"/>
        <v>0.70873937775544116</v>
      </c>
      <c r="BF549" s="3">
        <f t="shared" ca="1" si="318"/>
        <v>0.70873937775544116</v>
      </c>
    </row>
    <row r="550" spans="1:58" ht="15" x14ac:dyDescent="0.25">
      <c r="A550" s="72">
        <v>484</v>
      </c>
      <c r="B550" s="72">
        <v>1498730374.487</v>
      </c>
      <c r="C550" s="73">
        <v>3.7464497100475798E-4</v>
      </c>
      <c r="D550" s="73">
        <v>2.2912586614706799E-5</v>
      </c>
      <c r="E550" s="73">
        <v>1.16569932919469E-2</v>
      </c>
      <c r="F550" s="73">
        <v>8.7733857109017696E-4</v>
      </c>
      <c r="G550" s="73">
        <v>0.21274541340845801</v>
      </c>
      <c r="H550" s="73">
        <v>-5.5265515661051199E-5</v>
      </c>
      <c r="I550" s="73">
        <v>0.15379782653658899</v>
      </c>
      <c r="J550" s="73">
        <v>1.8435161855670601</v>
      </c>
      <c r="K550" s="73"/>
      <c r="L550" s="73"/>
      <c r="M550" s="73"/>
      <c r="N550" s="19"/>
      <c r="O550" s="13">
        <f t="shared" ca="1" si="280"/>
        <v>1.0995774173319639E-4</v>
      </c>
      <c r="P550" s="13">
        <f t="shared" ca="1" si="281"/>
        <v>1.1625111229866626E-5</v>
      </c>
      <c r="Q550" s="13">
        <f t="shared" ca="1" si="282"/>
        <v>1.0816253673974215E-2</v>
      </c>
      <c r="R550" s="13">
        <f t="shared" ca="1" si="283"/>
        <v>8.6756229219949583E-4</v>
      </c>
      <c r="S550" s="13">
        <f t="shared" ca="1" si="284"/>
        <v>0.21161033477521665</v>
      </c>
      <c r="T550" s="13">
        <f t="shared" ca="1" si="285"/>
        <v>-5.5615337172075289E-5</v>
      </c>
      <c r="U550" s="13">
        <f t="shared" ca="1" si="286"/>
        <v>0.15314398254180048</v>
      </c>
      <c r="V550" s="13">
        <f t="shared" ca="1" si="287"/>
        <v>1.836377404644606</v>
      </c>
      <c r="X550" s="3">
        <f t="shared" ca="1" si="288"/>
        <v>1.0995774173319639E-4</v>
      </c>
      <c r="Y550" s="3">
        <f t="shared" ca="1" si="289"/>
        <v>1.1625111229866626E-5</v>
      </c>
      <c r="Z550" s="3">
        <f t="shared" ca="1" si="290"/>
        <v>1.0816253673974215E-2</v>
      </c>
      <c r="AA550" s="3">
        <f t="shared" ca="1" si="291"/>
        <v>8.6756229219949583E-4</v>
      </c>
      <c r="AB550" s="3">
        <f t="shared" ca="1" si="292"/>
        <v>0.21161033477521665</v>
      </c>
      <c r="AC550" s="3">
        <f t="shared" ca="1" si="293"/>
        <v>-5.5615337172075289E-5</v>
      </c>
      <c r="AD550" s="3">
        <f t="shared" ca="1" si="294"/>
        <v>0.15314398254180048</v>
      </c>
      <c r="AE550" s="3">
        <f t="shared" ca="1" si="295"/>
        <v>1.836377404644606</v>
      </c>
      <c r="AG550" s="3">
        <f t="shared" ca="1" si="296"/>
        <v>1.0995774173319639E-4</v>
      </c>
      <c r="AH550" s="3">
        <f t="shared" ca="1" si="297"/>
        <v>1.1625111229866626E-5</v>
      </c>
      <c r="AI550" s="3">
        <f t="shared" ca="1" si="298"/>
        <v>1.0806889708541122E-2</v>
      </c>
      <c r="AJ550" s="3">
        <f t="shared" ca="1" si="299"/>
        <v>8.6239148530875066E-4</v>
      </c>
      <c r="AK550" s="3">
        <f t="shared" ca="1" si="300"/>
        <v>0.21161033477521665</v>
      </c>
      <c r="AL550" s="3">
        <f t="shared" ca="1" si="301"/>
        <v>-5.5615337172075289E-5</v>
      </c>
      <c r="AM550" s="3">
        <f t="shared" ca="1" si="302"/>
        <v>0.15314398254180048</v>
      </c>
      <c r="AN550" s="3">
        <f t="shared" ca="1" si="303"/>
        <v>1.836377404644606</v>
      </c>
      <c r="AP550" s="3">
        <f t="shared" ca="1" si="304"/>
        <v>8.6781083097633207</v>
      </c>
      <c r="AQ550" s="3">
        <f t="shared" ca="1" si="320"/>
        <v>0.39978586518565912</v>
      </c>
      <c r="AR550" s="3">
        <f t="shared" ca="1" si="305"/>
        <v>3.4683914158942903E-4</v>
      </c>
      <c r="AS550" s="3">
        <f t="shared" ca="1" si="306"/>
        <v>0.15279714340021106</v>
      </c>
      <c r="AT550" s="3">
        <f t="shared" ca="1" si="307"/>
        <v>0.70926448180698587</v>
      </c>
      <c r="AU550" s="3">
        <f t="shared" ca="1" si="308"/>
        <v>5.3006379761961049E-2</v>
      </c>
      <c r="AV550" s="10">
        <f t="shared" ca="1" si="312"/>
        <v>0.70926448180698587</v>
      </c>
      <c r="AW550" s="10">
        <f t="shared" ca="1" si="313"/>
        <v>0.70926448180698587</v>
      </c>
      <c r="AX550" s="10"/>
      <c r="AY550" s="3">
        <f t="shared" ca="1" si="319"/>
        <v>8.6781083097633207</v>
      </c>
      <c r="AZ550" s="3">
        <f t="shared" ca="1" si="321"/>
        <v>0.39978586518565912</v>
      </c>
      <c r="BA550" s="3">
        <f t="shared" ca="1" si="309"/>
        <v>3.4477192608290449E-4</v>
      </c>
      <c r="BB550" s="3">
        <f t="shared" ca="1" si="322"/>
        <v>0.15279921061571758</v>
      </c>
      <c r="BC550" s="3">
        <f t="shared" ca="1" si="323"/>
        <v>0.70927407755270733</v>
      </c>
      <c r="BD550" s="3">
        <f t="shared" ca="1" si="310"/>
        <v>5.2960490499117781E-2</v>
      </c>
      <c r="BE550" s="3">
        <f t="shared" ca="1" si="317"/>
        <v>0.70927407755270733</v>
      </c>
      <c r="BF550" s="3">
        <f t="shared" ca="1" si="318"/>
        <v>0.70927407755270733</v>
      </c>
    </row>
    <row r="551" spans="1:58" ht="15" x14ac:dyDescent="0.25">
      <c r="A551" s="72">
        <v>485</v>
      </c>
      <c r="B551" s="72">
        <v>1498730375.0139999</v>
      </c>
      <c r="C551" s="73">
        <v>2.74482312351749E-4</v>
      </c>
      <c r="D551" s="73">
        <v>-2.9292064228077701E-5</v>
      </c>
      <c r="E551" s="73">
        <v>1.30506675560419E-2</v>
      </c>
      <c r="F551" s="73">
        <v>9.2377778856612698E-4</v>
      </c>
      <c r="G551" s="73">
        <v>0.240418849899148</v>
      </c>
      <c r="H551" s="73">
        <v>1.30331646417874E-5</v>
      </c>
      <c r="I551" s="73">
        <v>0.173716354194485</v>
      </c>
      <c r="J551" s="73">
        <v>2.0839090628858199</v>
      </c>
      <c r="K551" s="73"/>
      <c r="L551" s="73"/>
      <c r="M551" s="73"/>
      <c r="N551" s="19"/>
      <c r="O551" s="13">
        <f t="shared" ca="1" si="280"/>
        <v>9.7950830801874205E-6</v>
      </c>
      <c r="P551" s="13">
        <f t="shared" ca="1" si="281"/>
        <v>-4.0579539612917872E-5</v>
      </c>
      <c r="Q551" s="13">
        <f t="shared" ca="1" si="282"/>
        <v>1.2209927938069215E-2</v>
      </c>
      <c r="R551" s="13">
        <f t="shared" ca="1" si="283"/>
        <v>9.1400150967544584E-4</v>
      </c>
      <c r="S551" s="13">
        <f t="shared" ca="1" si="284"/>
        <v>0.23928377126590664</v>
      </c>
      <c r="T551" s="13">
        <f t="shared" ca="1" si="285"/>
        <v>1.2683343130763314E-5</v>
      </c>
      <c r="U551" s="13">
        <f t="shared" ca="1" si="286"/>
        <v>0.17306251019969648</v>
      </c>
      <c r="V551" s="13">
        <f t="shared" ca="1" si="287"/>
        <v>2.0767702819633658</v>
      </c>
      <c r="X551" s="3">
        <f t="shared" ca="1" si="288"/>
        <v>9.7950830801874205E-6</v>
      </c>
      <c r="Y551" s="3">
        <f t="shared" ca="1" si="289"/>
        <v>-4.0579539612917872E-5</v>
      </c>
      <c r="Z551" s="3">
        <f t="shared" ca="1" si="290"/>
        <v>1.220983090100322E-2</v>
      </c>
      <c r="AA551" s="3">
        <f t="shared" ca="1" si="291"/>
        <v>9.1165277160080538E-4</v>
      </c>
      <c r="AB551" s="3">
        <f t="shared" ca="1" si="292"/>
        <v>0.23926669053690375</v>
      </c>
      <c r="AC551" s="3">
        <f t="shared" ca="1" si="293"/>
        <v>1.2683343130763314E-5</v>
      </c>
      <c r="AD551" s="3">
        <f t="shared" ca="1" si="294"/>
        <v>0.17303728607600757</v>
      </c>
      <c r="AE551" s="3">
        <f t="shared" ca="1" si="295"/>
        <v>2.0767600466007634</v>
      </c>
      <c r="AG551" s="3">
        <f t="shared" ca="1" si="296"/>
        <v>9.7950830801874205E-6</v>
      </c>
      <c r="AH551" s="3">
        <f t="shared" ca="1" si="297"/>
        <v>-4.0579539612917872E-5</v>
      </c>
      <c r="AI551" s="3">
        <f t="shared" ca="1" si="298"/>
        <v>1.220983090100322E-2</v>
      </c>
      <c r="AJ551" s="3">
        <f t="shared" ca="1" si="299"/>
        <v>9.1165277160080538E-4</v>
      </c>
      <c r="AK551" s="3">
        <f t="shared" ca="1" si="300"/>
        <v>0.23926669053690375</v>
      </c>
      <c r="AL551" s="3">
        <f t="shared" ca="1" si="301"/>
        <v>1.2683343130763314E-5</v>
      </c>
      <c r="AM551" s="3">
        <f t="shared" ca="1" si="302"/>
        <v>0.17303728607600757</v>
      </c>
      <c r="AN551" s="3">
        <f t="shared" ca="1" si="303"/>
        <v>2.0767600466007634</v>
      </c>
      <c r="AP551" s="3">
        <f t="shared" ca="1" si="304"/>
        <v>8.6791104594198849</v>
      </c>
      <c r="AQ551" s="3">
        <f t="shared" ca="1" si="320"/>
        <v>0.39983259252276337</v>
      </c>
      <c r="AR551" s="3">
        <f t="shared" ca="1" si="305"/>
        <v>3.6544759318325309E-4</v>
      </c>
      <c r="AS551" s="3">
        <f t="shared" ca="1" si="306"/>
        <v>0.17269706260651324</v>
      </c>
      <c r="AT551" s="3">
        <f t="shared" ca="1" si="307"/>
        <v>0.70888584130143817</v>
      </c>
      <c r="AU551" s="3">
        <f t="shared" ca="1" si="308"/>
        <v>5.2922374927421578E-2</v>
      </c>
      <c r="AV551" s="10">
        <f t="shared" ca="1" si="312"/>
        <v>0.70888584130143817</v>
      </c>
      <c r="AW551" s="10">
        <f t="shared" ca="1" si="313"/>
        <v>0.70888584130143817</v>
      </c>
      <c r="AX551" s="10"/>
      <c r="AY551" s="3">
        <f t="shared" ca="1" si="319"/>
        <v>8.679687264201327</v>
      </c>
      <c r="AZ551" s="3">
        <f t="shared" ca="1" si="321"/>
        <v>0.39985948728945381</v>
      </c>
      <c r="BA551" s="3">
        <f t="shared" ca="1" si="309"/>
        <v>3.6453300983830758E-4</v>
      </c>
      <c r="BB551" s="3">
        <f t="shared" ca="1" si="322"/>
        <v>0.17267275306616928</v>
      </c>
      <c r="BC551" s="3">
        <f t="shared" ca="1" si="323"/>
        <v>0.70881293197741735</v>
      </c>
      <c r="BD551" s="3">
        <f t="shared" ca="1" si="310"/>
        <v>5.2929331489576389E-2</v>
      </c>
      <c r="BE551" s="3">
        <f t="shared" ca="1" si="317"/>
        <v>0.70881293197741735</v>
      </c>
      <c r="BF551" s="3">
        <f t="shared" ca="1" si="318"/>
        <v>0.70881293197741735</v>
      </c>
    </row>
    <row r="552" spans="1:58" ht="15" x14ac:dyDescent="0.25">
      <c r="A552" s="72">
        <v>486</v>
      </c>
      <c r="B552" s="72">
        <v>1498730375.5409999</v>
      </c>
      <c r="C552" s="73">
        <v>3.0374494813923298E-4</v>
      </c>
      <c r="D552" s="73">
        <v>3.7558728675200001E-5</v>
      </c>
      <c r="E552" s="73">
        <v>1.35817177350834E-2</v>
      </c>
      <c r="F552" s="73">
        <v>1.03905163637853E-3</v>
      </c>
      <c r="G552" s="73">
        <v>0.25213156536335302</v>
      </c>
      <c r="H552" s="73">
        <v>-1.2218266395642999E-5</v>
      </c>
      <c r="I552" s="73">
        <v>0.18226193917185801</v>
      </c>
      <c r="J552" s="73">
        <v>2.1881864927679802</v>
      </c>
      <c r="K552" s="73"/>
      <c r="L552" s="73"/>
      <c r="M552" s="73"/>
      <c r="N552" s="19"/>
      <c r="O552" s="13">
        <f t="shared" ca="1" si="280"/>
        <v>3.9057718867671393E-5</v>
      </c>
      <c r="P552" s="13">
        <f t="shared" ca="1" si="281"/>
        <v>2.627125329035983E-5</v>
      </c>
      <c r="Q552" s="13">
        <f t="shared" ca="1" si="282"/>
        <v>1.2740978117110715E-2</v>
      </c>
      <c r="R552" s="13">
        <f t="shared" ca="1" si="283"/>
        <v>1.0292753574878489E-3</v>
      </c>
      <c r="S552" s="13">
        <f t="shared" ca="1" si="284"/>
        <v>0.25099648673011166</v>
      </c>
      <c r="T552" s="13">
        <f t="shared" ca="1" si="285"/>
        <v>-1.2568087906667086E-5</v>
      </c>
      <c r="U552" s="13">
        <f t="shared" ca="1" si="286"/>
        <v>0.1816080951770695</v>
      </c>
      <c r="V552" s="13">
        <f t="shared" ca="1" si="287"/>
        <v>2.181047711845526</v>
      </c>
      <c r="X552" s="3">
        <f t="shared" ca="1" si="288"/>
        <v>3.9057718867671393E-5</v>
      </c>
      <c r="Y552" s="3">
        <f t="shared" ca="1" si="289"/>
        <v>2.627125329035983E-5</v>
      </c>
      <c r="Z552" s="3">
        <f t="shared" ca="1" si="290"/>
        <v>1.2740978117110715E-2</v>
      </c>
      <c r="AA552" s="3">
        <f t="shared" ca="1" si="291"/>
        <v>1.0292753574878489E-3</v>
      </c>
      <c r="AB552" s="3">
        <f t="shared" ca="1" si="292"/>
        <v>0.25099648673011166</v>
      </c>
      <c r="AC552" s="3">
        <f t="shared" ca="1" si="293"/>
        <v>-1.2568087906667086E-5</v>
      </c>
      <c r="AD552" s="3">
        <f t="shared" ca="1" si="294"/>
        <v>0.1816080951770695</v>
      </c>
      <c r="AE552" s="3">
        <f t="shared" ca="1" si="295"/>
        <v>2.181047711845526</v>
      </c>
      <c r="AG552" s="3">
        <f t="shared" ca="1" si="296"/>
        <v>3.9057718867671393E-5</v>
      </c>
      <c r="AH552" s="3">
        <f t="shared" ca="1" si="297"/>
        <v>2.627125329035983E-5</v>
      </c>
      <c r="AI552" s="3">
        <f t="shared" ca="1" si="298"/>
        <v>1.2719816761934781E-2</v>
      </c>
      <c r="AJ552" s="3">
        <f t="shared" ca="1" si="299"/>
        <v>1.0175900002593258E-3</v>
      </c>
      <c r="AK552" s="3">
        <f t="shared" ca="1" si="300"/>
        <v>0.25099648673011166</v>
      </c>
      <c r="AL552" s="3">
        <f t="shared" ca="1" si="301"/>
        <v>-1.2568087906667086E-5</v>
      </c>
      <c r="AM552" s="3">
        <f t="shared" ca="1" si="302"/>
        <v>0.1816080951770695</v>
      </c>
      <c r="AN552" s="3">
        <f t="shared" ca="1" si="303"/>
        <v>2.181047711845526</v>
      </c>
      <c r="AP552" s="3">
        <f t="shared" ca="1" si="304"/>
        <v>8.6895547434125469</v>
      </c>
      <c r="AQ552" s="3">
        <f t="shared" ca="1" si="320"/>
        <v>0.40031958314102872</v>
      </c>
      <c r="AR552" s="3">
        <f t="shared" ca="1" si="305"/>
        <v>4.1203908204686898E-4</v>
      </c>
      <c r="AS552" s="3">
        <f t="shared" ca="1" si="306"/>
        <v>0.18119605609502262</v>
      </c>
      <c r="AT552" s="3">
        <f t="shared" ca="1" si="307"/>
        <v>0.70863510593957979</v>
      </c>
      <c r="AU552" s="3">
        <f t="shared" ca="1" si="308"/>
        <v>5.2711945836000959E-2</v>
      </c>
      <c r="AV552" s="10">
        <f t="shared" ca="1" si="312"/>
        <v>0.70863510593957979</v>
      </c>
      <c r="AW552" s="10">
        <f t="shared" ca="1" si="313"/>
        <v>0.70863510593957979</v>
      </c>
      <c r="AX552" s="10"/>
      <c r="AY552" s="3">
        <f t="shared" ca="1" si="319"/>
        <v>8.6895547434125469</v>
      </c>
      <c r="AZ552" s="3">
        <f t="shared" ca="1" si="321"/>
        <v>0.40031958314102872</v>
      </c>
      <c r="BA552" s="3">
        <f t="shared" ca="1" si="309"/>
        <v>4.0736120471229265E-4</v>
      </c>
      <c r="BB552" s="3">
        <f t="shared" ca="1" si="322"/>
        <v>0.1812007339723572</v>
      </c>
      <c r="BC552" s="3">
        <f t="shared" ca="1" si="323"/>
        <v>0.70865340053258585</v>
      </c>
      <c r="BD552" s="3">
        <f t="shared" ca="1" si="310"/>
        <v>5.2624397125250702E-2</v>
      </c>
      <c r="BE552" s="3">
        <f t="shared" ca="1" si="317"/>
        <v>0.70865340053258585</v>
      </c>
      <c r="BF552" s="3">
        <f t="shared" ca="1" si="318"/>
        <v>0.70865340053258585</v>
      </c>
    </row>
    <row r="553" spans="1:58" ht="15" x14ac:dyDescent="0.25">
      <c r="A553" s="72">
        <v>487</v>
      </c>
      <c r="B553" s="72">
        <v>1498730376.0680001</v>
      </c>
      <c r="C553" s="73">
        <v>3.6179694241024501E-4</v>
      </c>
      <c r="D553" s="73">
        <v>-2.0079678380857099E-5</v>
      </c>
      <c r="E553" s="73">
        <v>1.4209791709274701E-2</v>
      </c>
      <c r="F553" s="73">
        <v>9.5973989635752296E-4</v>
      </c>
      <c r="G553" s="73">
        <v>0.26331191119867597</v>
      </c>
      <c r="H553" s="73">
        <v>4.2851830597471898E-5</v>
      </c>
      <c r="I553" s="73">
        <v>0.19038342257261301</v>
      </c>
      <c r="J553" s="73">
        <v>2.2851233319359001</v>
      </c>
      <c r="K553" s="73"/>
      <c r="L553" s="73"/>
      <c r="M553" s="73"/>
      <c r="N553" s="19"/>
      <c r="O553" s="13">
        <f t="shared" ca="1" si="280"/>
        <v>9.7109713138683422E-5</v>
      </c>
      <c r="P553" s="13">
        <f t="shared" ca="1" si="281"/>
        <v>-3.1367153765697271E-5</v>
      </c>
      <c r="Q553" s="13">
        <f t="shared" ca="1" si="282"/>
        <v>1.3369052091302016E-2</v>
      </c>
      <c r="R553" s="13">
        <f t="shared" ca="1" si="283"/>
        <v>9.4996361746684183E-4</v>
      </c>
      <c r="S553" s="13">
        <f t="shared" ca="1" si="284"/>
        <v>0.26217683256543461</v>
      </c>
      <c r="T553" s="13">
        <f t="shared" ca="1" si="285"/>
        <v>4.2502009086447808E-5</v>
      </c>
      <c r="U553" s="13">
        <f t="shared" ca="1" si="286"/>
        <v>0.18972957857782449</v>
      </c>
      <c r="V553" s="13">
        <f t="shared" ca="1" si="287"/>
        <v>2.277984551013446</v>
      </c>
      <c r="X553" s="3">
        <f t="shared" ca="1" si="288"/>
        <v>9.7109713138683422E-5</v>
      </c>
      <c r="Y553" s="3">
        <f t="shared" ca="1" si="289"/>
        <v>-3.1367153765697271E-5</v>
      </c>
      <c r="Z553" s="3">
        <f t="shared" ca="1" si="290"/>
        <v>1.3368726919127921E-2</v>
      </c>
      <c r="AA553" s="3">
        <f t="shared" ca="1" si="291"/>
        <v>9.4209297279840818E-4</v>
      </c>
      <c r="AB553" s="3">
        <f t="shared" ca="1" si="292"/>
        <v>0.26211959487251724</v>
      </c>
      <c r="AC553" s="3">
        <f t="shared" ca="1" si="293"/>
        <v>4.2502009086447808E-5</v>
      </c>
      <c r="AD553" s="3">
        <f t="shared" ca="1" si="294"/>
        <v>0.18964505228825151</v>
      </c>
      <c r="AE553" s="3">
        <f t="shared" ca="1" si="295"/>
        <v>2.277950252211479</v>
      </c>
      <c r="AG553" s="3">
        <f t="shared" ca="1" si="296"/>
        <v>9.7109713138683422E-5</v>
      </c>
      <c r="AH553" s="3">
        <f t="shared" ca="1" si="297"/>
        <v>-3.1367153765697271E-5</v>
      </c>
      <c r="AI553" s="3">
        <f t="shared" ca="1" si="298"/>
        <v>1.3368726919127921E-2</v>
      </c>
      <c r="AJ553" s="3">
        <f t="shared" ca="1" si="299"/>
        <v>9.4209297279840818E-4</v>
      </c>
      <c r="AK553" s="3">
        <f t="shared" ca="1" si="300"/>
        <v>0.26211959487251724</v>
      </c>
      <c r="AL553" s="3">
        <f t="shared" ca="1" si="301"/>
        <v>4.2502009086447808E-5</v>
      </c>
      <c r="AM553" s="3">
        <f t="shared" ca="1" si="302"/>
        <v>0.18964505228825151</v>
      </c>
      <c r="AN553" s="3">
        <f t="shared" ca="1" si="303"/>
        <v>2.277950252211479</v>
      </c>
      <c r="AP553" s="3">
        <f t="shared" ca="1" si="304"/>
        <v>8.6887332062221869</v>
      </c>
      <c r="AQ553" s="3">
        <f t="shared" ca="1" si="320"/>
        <v>0.40028127667669683</v>
      </c>
      <c r="AR553" s="3">
        <f t="shared" ca="1" si="305"/>
        <v>3.8025264959604073E-4</v>
      </c>
      <c r="AS553" s="3">
        <f t="shared" ca="1" si="306"/>
        <v>0.18934932592822845</v>
      </c>
      <c r="AT553" s="3">
        <f t="shared" ca="1" si="307"/>
        <v>0.70897626291417382</v>
      </c>
      <c r="AU553" s="3">
        <f t="shared" ca="1" si="308"/>
        <v>5.2946615995871721E-2</v>
      </c>
      <c r="AV553" s="10">
        <f t="shared" ca="1" si="312"/>
        <v>0.70897626291417382</v>
      </c>
      <c r="AW553" s="10">
        <f t="shared" ca="1" si="313"/>
        <v>0.70897626291417382</v>
      </c>
      <c r="AX553" s="10"/>
      <c r="AY553" s="3">
        <f t="shared" ca="1" si="319"/>
        <v>8.6904996679831115</v>
      </c>
      <c r="AZ553" s="3">
        <f t="shared" ca="1" si="321"/>
        <v>0.4003636429406417</v>
      </c>
      <c r="BA553" s="3">
        <f t="shared" ca="1" si="309"/>
        <v>3.7717977457834954E-4</v>
      </c>
      <c r="BB553" s="3">
        <f t="shared" ca="1" si="322"/>
        <v>0.18926787251367316</v>
      </c>
      <c r="BC553" s="3">
        <f t="shared" ca="1" si="323"/>
        <v>0.70875346703433029</v>
      </c>
      <c r="BD553" s="3">
        <f t="shared" ca="1" si="310"/>
        <v>5.2967906327513282E-2</v>
      </c>
      <c r="BE553" s="3">
        <f t="shared" ca="1" si="317"/>
        <v>0.70875346703433029</v>
      </c>
      <c r="BF553" s="3">
        <f t="shared" ca="1" si="318"/>
        <v>0.70875346703433029</v>
      </c>
    </row>
    <row r="554" spans="1:58" ht="15" x14ac:dyDescent="0.25">
      <c r="A554" s="72">
        <v>488</v>
      </c>
      <c r="B554" s="72">
        <v>1498730376.595</v>
      </c>
      <c r="C554" s="73">
        <v>2.74958120709691E-4</v>
      </c>
      <c r="D554" s="73">
        <v>6.5670478030368504E-5</v>
      </c>
      <c r="E554" s="73">
        <v>1.4494289846513801E-2</v>
      </c>
      <c r="F554" s="73">
        <v>9.9284523254320693E-4</v>
      </c>
      <c r="G554" s="73">
        <v>0.26920214347371302</v>
      </c>
      <c r="H554" s="73">
        <v>-6.0300164893562797E-6</v>
      </c>
      <c r="I554" s="73">
        <v>0.19449072723630001</v>
      </c>
      <c r="J554" s="73">
        <v>2.3345999164313298</v>
      </c>
      <c r="K554" s="73"/>
      <c r="L554" s="73"/>
      <c r="M554" s="73"/>
      <c r="N554" s="19"/>
      <c r="O554" s="13">
        <f t="shared" ca="1" si="280"/>
        <v>1.0270891438129417E-5</v>
      </c>
      <c r="P554" s="13">
        <f t="shared" ca="1" si="281"/>
        <v>5.4383002645528332E-5</v>
      </c>
      <c r="Q554" s="13">
        <f t="shared" ca="1" si="282"/>
        <v>1.3653550228541115E-2</v>
      </c>
      <c r="R554" s="13">
        <f t="shared" ca="1" si="283"/>
        <v>9.8306895365252579E-4</v>
      </c>
      <c r="S554" s="13">
        <f t="shared" ca="1" si="284"/>
        <v>0.26806706484047166</v>
      </c>
      <c r="T554" s="13">
        <f t="shared" ca="1" si="285"/>
        <v>-6.3798380003803662E-6</v>
      </c>
      <c r="U554" s="13">
        <f t="shared" ca="1" si="286"/>
        <v>0.19383688324151149</v>
      </c>
      <c r="V554" s="13">
        <f t="shared" ca="1" si="287"/>
        <v>2.3274611355088757</v>
      </c>
      <c r="X554" s="3">
        <f t="shared" ca="1" si="288"/>
        <v>1.0270891438129417E-5</v>
      </c>
      <c r="Y554" s="3">
        <f t="shared" ca="1" si="289"/>
        <v>5.4383002645528332E-5</v>
      </c>
      <c r="Z554" s="3">
        <f t="shared" ca="1" si="290"/>
        <v>1.3653550228541115E-2</v>
      </c>
      <c r="AA554" s="3">
        <f t="shared" ca="1" si="291"/>
        <v>9.8306895365252579E-4</v>
      </c>
      <c r="AB554" s="3">
        <f t="shared" ca="1" si="292"/>
        <v>0.26806706484047166</v>
      </c>
      <c r="AC554" s="3">
        <f t="shared" ca="1" si="293"/>
        <v>-6.3798380003803662E-6</v>
      </c>
      <c r="AD554" s="3">
        <f t="shared" ca="1" si="294"/>
        <v>0.19383688324151149</v>
      </c>
      <c r="AE554" s="3">
        <f t="shared" ca="1" si="295"/>
        <v>2.3274611355088757</v>
      </c>
      <c r="AG554" s="3">
        <f t="shared" ca="1" si="296"/>
        <v>1.0270891438129417E-5</v>
      </c>
      <c r="AH554" s="3">
        <f t="shared" ca="1" si="297"/>
        <v>5.4383002645528332E-5</v>
      </c>
      <c r="AI554" s="3">
        <f t="shared" ca="1" si="298"/>
        <v>1.3609745008371508E-2</v>
      </c>
      <c r="AJ554" s="3">
        <f t="shared" ca="1" si="299"/>
        <v>9.5887959328783026E-4</v>
      </c>
      <c r="AK554" s="3">
        <f t="shared" ca="1" si="300"/>
        <v>0.26806706484047166</v>
      </c>
      <c r="AL554" s="3">
        <f t="shared" ca="1" si="301"/>
        <v>-6.3798380003803662E-6</v>
      </c>
      <c r="AM554" s="3">
        <f t="shared" ca="1" si="302"/>
        <v>0.19383688324151149</v>
      </c>
      <c r="AN554" s="3">
        <f t="shared" ca="1" si="303"/>
        <v>2.3274611355088757</v>
      </c>
      <c r="AP554" s="3">
        <f t="shared" ca="1" si="304"/>
        <v>8.6823837792007836</v>
      </c>
      <c r="AQ554" s="3">
        <f t="shared" ca="1" si="320"/>
        <v>0.39998521840328666</v>
      </c>
      <c r="AR554" s="3">
        <f t="shared" ca="1" si="305"/>
        <v>3.9321305013219603E-4</v>
      </c>
      <c r="AS554" s="3">
        <f t="shared" ca="1" si="306"/>
        <v>0.19344367019137929</v>
      </c>
      <c r="AT554" s="3">
        <f t="shared" ca="1" si="307"/>
        <v>0.70865228313940043</v>
      </c>
      <c r="AU554" s="3">
        <f t="shared" ca="1" si="308"/>
        <v>5.284564135005463E-2</v>
      </c>
      <c r="AV554" s="10">
        <f t="shared" ca="1" si="312"/>
        <v>0.70865228313940043</v>
      </c>
      <c r="AW554" s="10">
        <f t="shared" ca="1" si="313"/>
        <v>0.70865228313940043</v>
      </c>
      <c r="AX554" s="10"/>
      <c r="AY554" s="3">
        <f t="shared" ca="1" si="319"/>
        <v>8.6823837792007836</v>
      </c>
      <c r="AZ554" s="3">
        <f t="shared" ca="1" si="321"/>
        <v>0.39998521840328666</v>
      </c>
      <c r="BA554" s="3">
        <f t="shared" ca="1" si="309"/>
        <v>3.8353766354368748E-4</v>
      </c>
      <c r="BB554" s="3">
        <f t="shared" ca="1" si="322"/>
        <v>0.19345334557796781</v>
      </c>
      <c r="BC554" s="3">
        <f t="shared" ca="1" si="323"/>
        <v>0.70868772748756359</v>
      </c>
      <c r="BD554" s="3">
        <f t="shared" ca="1" si="310"/>
        <v>5.2676094608321171E-2</v>
      </c>
      <c r="BE554" s="3">
        <f t="shared" ca="1" si="317"/>
        <v>0.70868772748756359</v>
      </c>
      <c r="BF554" s="3">
        <f t="shared" ca="1" si="318"/>
        <v>0.70868772748756359</v>
      </c>
    </row>
    <row r="555" spans="1:58" ht="15" x14ac:dyDescent="0.25">
      <c r="A555" s="72">
        <v>489</v>
      </c>
      <c r="B555" s="72">
        <v>1498730377.122</v>
      </c>
      <c r="C555" s="73">
        <v>2.8947038453121699E-4</v>
      </c>
      <c r="D555" s="73">
        <v>-6.3542492168666007E-5</v>
      </c>
      <c r="E555" s="73">
        <v>1.4680039279726101E-2</v>
      </c>
      <c r="F555" s="73">
        <v>1.10455406628073E-3</v>
      </c>
      <c r="G555" s="73">
        <v>0.26998789184071598</v>
      </c>
      <c r="H555" s="73">
        <v>5.4263506834152403E-6</v>
      </c>
      <c r="I555" s="73">
        <v>0.19528886576118801</v>
      </c>
      <c r="J555" s="73">
        <v>2.3454689214367801</v>
      </c>
      <c r="K555" s="73"/>
      <c r="L555" s="73"/>
      <c r="M555" s="73"/>
      <c r="N555" s="19"/>
      <c r="O555" s="13">
        <f t="shared" ca="1" si="280"/>
        <v>2.4783155259655403E-5</v>
      </c>
      <c r="P555" s="13">
        <f t="shared" ca="1" si="281"/>
        <v>-7.4829967553506185E-5</v>
      </c>
      <c r="Q555" s="13">
        <f t="shared" ca="1" si="282"/>
        <v>1.3839299661753415E-2</v>
      </c>
      <c r="R555" s="13">
        <f t="shared" ca="1" si="283"/>
        <v>1.0947777873900489E-3</v>
      </c>
      <c r="S555" s="13">
        <f t="shared" ca="1" si="284"/>
        <v>0.26885281320747462</v>
      </c>
      <c r="T555" s="13">
        <f t="shared" ca="1" si="285"/>
        <v>5.0765291723911538E-6</v>
      </c>
      <c r="U555" s="13">
        <f t="shared" ca="1" si="286"/>
        <v>0.19463502176639949</v>
      </c>
      <c r="V555" s="13">
        <f t="shared" ca="1" si="287"/>
        <v>2.338330140514326</v>
      </c>
      <c r="X555" s="3">
        <f t="shared" ca="1" si="288"/>
        <v>2.4783155259655403E-5</v>
      </c>
      <c r="Y555" s="3">
        <f t="shared" ca="1" si="289"/>
        <v>-7.4829967553506185E-5</v>
      </c>
      <c r="Z555" s="3">
        <f t="shared" ca="1" si="290"/>
        <v>1.383926082250644E-2</v>
      </c>
      <c r="AA555" s="3">
        <f t="shared" ca="1" si="291"/>
        <v>1.093837701071222E-3</v>
      </c>
      <c r="AB555" s="3">
        <f t="shared" ca="1" si="292"/>
        <v>0.26884597661729687</v>
      </c>
      <c r="AC555" s="3">
        <f t="shared" ca="1" si="293"/>
        <v>5.0765291723911538E-6</v>
      </c>
      <c r="AD555" s="3">
        <f t="shared" ca="1" si="294"/>
        <v>0.19462492576896137</v>
      </c>
      <c r="AE555" s="3">
        <f t="shared" ca="1" si="295"/>
        <v>2.3383260437934297</v>
      </c>
      <c r="AG555" s="3">
        <f t="shared" ca="1" si="296"/>
        <v>2.4783155259655403E-5</v>
      </c>
      <c r="AH555" s="3">
        <f t="shared" ca="1" si="297"/>
        <v>-7.4829967553506185E-5</v>
      </c>
      <c r="AI555" s="3">
        <f t="shared" ca="1" si="298"/>
        <v>1.383926082250644E-2</v>
      </c>
      <c r="AJ555" s="3">
        <f t="shared" ca="1" si="299"/>
        <v>1.093837701071222E-3</v>
      </c>
      <c r="AK555" s="3">
        <f t="shared" ca="1" si="300"/>
        <v>0.26884597661729687</v>
      </c>
      <c r="AL555" s="3">
        <f t="shared" ca="1" si="301"/>
        <v>5.0765291723911538E-6</v>
      </c>
      <c r="AM555" s="3">
        <f t="shared" ca="1" si="302"/>
        <v>0.19462492576896137</v>
      </c>
      <c r="AN555" s="3">
        <f t="shared" ca="1" si="303"/>
        <v>2.3383260437934297</v>
      </c>
      <c r="AP555" s="3">
        <f t="shared" ca="1" si="304"/>
        <v>8.6974360157051009</v>
      </c>
      <c r="AQ555" s="3">
        <f t="shared" ca="1" si="320"/>
        <v>0.4006870716889282</v>
      </c>
      <c r="AR555" s="3">
        <f t="shared" ca="1" si="305"/>
        <v>4.3866330577940272E-4</v>
      </c>
      <c r="AS555" s="3">
        <f t="shared" ca="1" si="306"/>
        <v>0.19419635846062008</v>
      </c>
      <c r="AT555" s="3">
        <f t="shared" ca="1" si="307"/>
        <v>0.70871200268428858</v>
      </c>
      <c r="AU555" s="3">
        <f t="shared" ca="1" si="308"/>
        <v>5.3502776745772952E-2</v>
      </c>
      <c r="AV555" s="10">
        <f t="shared" ca="1" si="312"/>
        <v>0.70871200268428858</v>
      </c>
      <c r="AW555" s="10">
        <f t="shared" ca="1" si="313"/>
        <v>0.70871200268428858</v>
      </c>
      <c r="AX555" s="10"/>
      <c r="AY555" s="3">
        <f t="shared" ca="1" si="319"/>
        <v>8.6976419480587754</v>
      </c>
      <c r="AZ555" s="3">
        <f t="shared" ca="1" si="321"/>
        <v>0.40069667397212233</v>
      </c>
      <c r="BA555" s="3">
        <f t="shared" ca="1" si="309"/>
        <v>4.3829712868455122E-4</v>
      </c>
      <c r="BB555" s="3">
        <f t="shared" ca="1" si="322"/>
        <v>0.19418662864027683</v>
      </c>
      <c r="BC555" s="3">
        <f t="shared" ca="1" si="323"/>
        <v>0.70868606514574728</v>
      </c>
      <c r="BD555" s="3">
        <f t="shared" ca="1" si="310"/>
        <v>5.3505283420649127E-2</v>
      </c>
      <c r="BE555" s="3">
        <f t="shared" ca="1" si="317"/>
        <v>0.70868606514574728</v>
      </c>
      <c r="BF555" s="3">
        <f t="shared" ca="1" si="318"/>
        <v>0.70868606514574728</v>
      </c>
    </row>
    <row r="556" spans="1:58" ht="15" x14ac:dyDescent="0.25">
      <c r="A556" s="72">
        <v>490</v>
      </c>
      <c r="B556" s="72">
        <v>1498730377.6489999</v>
      </c>
      <c r="C556" s="73">
        <v>2.7138956355264902E-4</v>
      </c>
      <c r="D556" s="73">
        <v>6.9686507243986597E-5</v>
      </c>
      <c r="E556" s="73">
        <v>1.32577029911647E-2</v>
      </c>
      <c r="F556" s="73">
        <v>9.7998403639086096E-4</v>
      </c>
      <c r="G556" s="73">
        <v>0.24428500846278001</v>
      </c>
      <c r="H556" s="73">
        <v>6.3003959126305401E-6</v>
      </c>
      <c r="I556" s="73">
        <v>0.17671247860785999</v>
      </c>
      <c r="J556" s="73">
        <v>2.1239097123233601</v>
      </c>
      <c r="K556" s="73"/>
      <c r="L556" s="73"/>
      <c r="M556" s="73"/>
      <c r="N556" s="19"/>
      <c r="O556" s="13">
        <f t="shared" ca="1" si="280"/>
        <v>6.7023342810874345E-6</v>
      </c>
      <c r="P556" s="13">
        <f t="shared" ca="1" si="281"/>
        <v>5.8399031859146426E-5</v>
      </c>
      <c r="Q556" s="13">
        <f t="shared" ca="1" si="282"/>
        <v>1.2416963373192015E-2</v>
      </c>
      <c r="R556" s="13">
        <f t="shared" ca="1" si="283"/>
        <v>9.7020775750017983E-4</v>
      </c>
      <c r="S556" s="13">
        <f t="shared" ca="1" si="284"/>
        <v>0.24314992982953865</v>
      </c>
      <c r="T556" s="13">
        <f t="shared" ca="1" si="285"/>
        <v>5.9505744016064536E-6</v>
      </c>
      <c r="U556" s="13">
        <f t="shared" ca="1" si="286"/>
        <v>0.17605863461307147</v>
      </c>
      <c r="V556" s="13">
        <f t="shared" ca="1" si="287"/>
        <v>2.116770931400906</v>
      </c>
      <c r="X556" s="3">
        <f t="shared" ca="1" si="288"/>
        <v>6.7023342810874345E-6</v>
      </c>
      <c r="Y556" s="3">
        <f t="shared" ca="1" si="289"/>
        <v>5.8399031859146426E-5</v>
      </c>
      <c r="Z556" s="3">
        <f t="shared" ca="1" si="290"/>
        <v>1.2416917846844983E-2</v>
      </c>
      <c r="AA556" s="3">
        <f t="shared" ca="1" si="291"/>
        <v>9.6910581296403187E-4</v>
      </c>
      <c r="AB556" s="3">
        <f t="shared" ca="1" si="292"/>
        <v>0.24314191615777106</v>
      </c>
      <c r="AC556" s="3">
        <f t="shared" ca="1" si="293"/>
        <v>5.9505744016064536E-6</v>
      </c>
      <c r="AD556" s="3">
        <f t="shared" ca="1" si="294"/>
        <v>0.17604680034956707</v>
      </c>
      <c r="AE556" s="3">
        <f t="shared" ca="1" si="295"/>
        <v>2.1167661293320772</v>
      </c>
      <c r="AG556" s="3">
        <f t="shared" ca="1" si="296"/>
        <v>6.7023342810874345E-6</v>
      </c>
      <c r="AH556" s="3">
        <f t="shared" ca="1" si="297"/>
        <v>5.8399031859146426E-5</v>
      </c>
      <c r="AI556" s="3">
        <f t="shared" ca="1" si="298"/>
        <v>1.2369877736445852E-2</v>
      </c>
      <c r="AJ556" s="3">
        <f t="shared" ca="1" si="299"/>
        <v>9.4313013751635803E-4</v>
      </c>
      <c r="AK556" s="3">
        <f t="shared" ca="1" si="300"/>
        <v>0.24314191615777106</v>
      </c>
      <c r="AL556" s="3">
        <f t="shared" ca="1" si="301"/>
        <v>5.9505744016064536E-6</v>
      </c>
      <c r="AM556" s="3">
        <f t="shared" ca="1" si="302"/>
        <v>0.17604680034956707</v>
      </c>
      <c r="AN556" s="3">
        <f t="shared" ca="1" si="303"/>
        <v>2.1167661293320772</v>
      </c>
      <c r="AP556" s="3">
        <f t="shared" ca="1" si="304"/>
        <v>8.7056201615393345</v>
      </c>
      <c r="AQ556" s="3">
        <f t="shared" ca="1" si="320"/>
        <v>0.40106868692145853</v>
      </c>
      <c r="AR556" s="3">
        <f t="shared" ca="1" si="305"/>
        <v>3.8911995134160998E-4</v>
      </c>
      <c r="AS556" s="3">
        <f t="shared" ca="1" si="306"/>
        <v>0.17566951466172986</v>
      </c>
      <c r="AT556" s="3">
        <f t="shared" ca="1" si="307"/>
        <v>0.70853260542297047</v>
      </c>
      <c r="AU556" s="3">
        <f t="shared" ca="1" si="308"/>
        <v>5.3129534968754624E-2</v>
      </c>
      <c r="AV556" s="10">
        <f t="shared" ca="1" si="312"/>
        <v>0.70853260542297047</v>
      </c>
      <c r="AW556" s="10">
        <f t="shared" ca="1" si="313"/>
        <v>0.70853260542297047</v>
      </c>
      <c r="AX556" s="10"/>
      <c r="AY556" s="3">
        <f t="shared" ca="1" si="319"/>
        <v>8.7058873384815314</v>
      </c>
      <c r="AZ556" s="3">
        <f t="shared" ca="1" si="321"/>
        <v>0.40108114508061515</v>
      </c>
      <c r="BA556" s="3">
        <f t="shared" ca="1" si="309"/>
        <v>3.782717155150989E-4</v>
      </c>
      <c r="BB556" s="3">
        <f t="shared" ca="1" si="322"/>
        <v>0.17566852863405197</v>
      </c>
      <c r="BC556" s="3">
        <f t="shared" ca="1" si="323"/>
        <v>0.70854103004653735</v>
      </c>
      <c r="BD556" s="3">
        <f t="shared" ca="1" si="310"/>
        <v>5.2931472223777885E-2</v>
      </c>
      <c r="BE556" s="3">
        <f t="shared" ca="1" si="317"/>
        <v>0.70854103004653735</v>
      </c>
      <c r="BF556" s="3">
        <f t="shared" ca="1" si="318"/>
        <v>0.70854103004653735</v>
      </c>
    </row>
    <row r="557" spans="1:58" ht="15" x14ac:dyDescent="0.25">
      <c r="A557" s="72">
        <v>491</v>
      </c>
      <c r="B557" s="72">
        <v>1498730378.1760001</v>
      </c>
      <c r="C557" s="73">
        <v>2.58304963084518E-4</v>
      </c>
      <c r="D557" s="73">
        <v>-1.70088640897956E-5</v>
      </c>
      <c r="E557" s="73">
        <v>1.25851733689931E-2</v>
      </c>
      <c r="F557" s="73">
        <v>7.7613237060363102E-4</v>
      </c>
      <c r="G557" s="73">
        <v>0.231880185866566</v>
      </c>
      <c r="H557" s="73">
        <v>2.1609247682939801E-5</v>
      </c>
      <c r="I557" s="73">
        <v>0.167608359625942</v>
      </c>
      <c r="J557" s="73">
        <v>2.0144299617375698</v>
      </c>
      <c r="K557" s="73"/>
      <c r="L557" s="73"/>
      <c r="M557" s="73"/>
      <c r="N557" s="19"/>
      <c r="O557" s="13">
        <f t="shared" ca="1" si="280"/>
        <v>-6.3822661870435791E-6</v>
      </c>
      <c r="P557" s="13">
        <f t="shared" ca="1" si="281"/>
        <v>-2.8296339474635775E-5</v>
      </c>
      <c r="Q557" s="13">
        <f t="shared" ca="1" si="282"/>
        <v>1.1744433751020415E-2</v>
      </c>
      <c r="R557" s="13">
        <f t="shared" ca="1" si="283"/>
        <v>7.6635609171294989E-4</v>
      </c>
      <c r="S557" s="13">
        <f t="shared" ca="1" si="284"/>
        <v>0.23074510723332464</v>
      </c>
      <c r="T557" s="13">
        <f t="shared" ca="1" si="285"/>
        <v>2.1259426171915714E-5</v>
      </c>
      <c r="U557" s="13">
        <f t="shared" ca="1" si="286"/>
        <v>0.16695451563115349</v>
      </c>
      <c r="V557" s="13">
        <f t="shared" ca="1" si="287"/>
        <v>2.0072911808151157</v>
      </c>
      <c r="X557" s="3">
        <f t="shared" ca="1" si="288"/>
        <v>-6.3822661870435791E-6</v>
      </c>
      <c r="Y557" s="3">
        <f t="shared" ca="1" si="289"/>
        <v>-2.8296339474635775E-5</v>
      </c>
      <c r="Z557" s="3">
        <f t="shared" ca="1" si="290"/>
        <v>1.1744271100501606E-2</v>
      </c>
      <c r="AA557" s="3">
        <f t="shared" ca="1" si="291"/>
        <v>7.6241920983723403E-4</v>
      </c>
      <c r="AB557" s="3">
        <f t="shared" ca="1" si="292"/>
        <v>0.23071647704541157</v>
      </c>
      <c r="AC557" s="3">
        <f t="shared" ca="1" si="293"/>
        <v>2.1259426171915714E-5</v>
      </c>
      <c r="AD557" s="3">
        <f t="shared" ca="1" si="294"/>
        <v>0.16691223573776992</v>
      </c>
      <c r="AE557" s="3">
        <f t="shared" ca="1" si="295"/>
        <v>2.0072740246179408</v>
      </c>
      <c r="AG557" s="3">
        <f t="shared" ca="1" si="296"/>
        <v>-6.3822661870435791E-6</v>
      </c>
      <c r="AH557" s="3">
        <f t="shared" ca="1" si="297"/>
        <v>-2.8296339474635775E-5</v>
      </c>
      <c r="AI557" s="3">
        <f t="shared" ca="1" si="298"/>
        <v>1.1744271100501606E-2</v>
      </c>
      <c r="AJ557" s="3">
        <f t="shared" ca="1" si="299"/>
        <v>7.6241920983723403E-4</v>
      </c>
      <c r="AK557" s="3">
        <f t="shared" ca="1" si="300"/>
        <v>0.23071647704541157</v>
      </c>
      <c r="AL557" s="3">
        <f t="shared" ca="1" si="301"/>
        <v>2.1259426171915714E-5</v>
      </c>
      <c r="AM557" s="3">
        <f t="shared" ca="1" si="302"/>
        <v>0.16691223573776992</v>
      </c>
      <c r="AN557" s="3">
        <f t="shared" ca="1" si="303"/>
        <v>2.0072740246179408</v>
      </c>
      <c r="AP557" s="3">
        <f t="shared" ca="1" si="304"/>
        <v>8.6991711541921646</v>
      </c>
      <c r="AQ557" s="3">
        <f t="shared" ca="1" si="320"/>
        <v>0.40076797839737155</v>
      </c>
      <c r="AR557" s="3">
        <f t="shared" ca="1" si="305"/>
        <v>3.0713098160830958E-4</v>
      </c>
      <c r="AS557" s="3">
        <f t="shared" ca="1" si="306"/>
        <v>0.16664738464954518</v>
      </c>
      <c r="AT557" s="3">
        <f t="shared" ca="1" si="307"/>
        <v>0.70854210763320802</v>
      </c>
      <c r="AU557" s="3">
        <f t="shared" ca="1" si="308"/>
        <v>5.2913321359510386E-2</v>
      </c>
      <c r="AV557" s="10">
        <f t="shared" ca="1" si="312"/>
        <v>0.70854210763320802</v>
      </c>
      <c r="AW557" s="10">
        <f t="shared" ca="1" si="313"/>
        <v>0.70854210763320802</v>
      </c>
      <c r="AX557" s="10"/>
      <c r="AY557" s="3">
        <f t="shared" ca="1" si="319"/>
        <v>8.7001762957001638</v>
      </c>
      <c r="AZ557" s="3">
        <f t="shared" ca="1" si="321"/>
        <v>0.4008148466138825</v>
      </c>
      <c r="BA557" s="3">
        <f t="shared" ca="1" si="309"/>
        <v>3.0558893864638845E-4</v>
      </c>
      <c r="BB557" s="3">
        <f t="shared" ca="1" si="322"/>
        <v>0.16660664679912354</v>
      </c>
      <c r="BC557" s="3">
        <f t="shared" ca="1" si="323"/>
        <v>0.70841558426959761</v>
      </c>
      <c r="BD557" s="3">
        <f t="shared" ca="1" si="310"/>
        <v>5.2925411302596315E-2</v>
      </c>
      <c r="BE557" s="3">
        <f t="shared" ca="1" si="317"/>
        <v>0.70841558426959761</v>
      </c>
      <c r="BF557" s="3">
        <f t="shared" ca="1" si="318"/>
        <v>0.70841558426959761</v>
      </c>
    </row>
    <row r="558" spans="1:58" ht="15" x14ac:dyDescent="0.25">
      <c r="A558" s="72">
        <v>492</v>
      </c>
      <c r="B558" s="72">
        <v>1498730378.7030001</v>
      </c>
      <c r="C558" s="73">
        <v>2.9137364788922203E-4</v>
      </c>
      <c r="D558" s="73">
        <v>1.2046233825178899E-5</v>
      </c>
      <c r="E558" s="73">
        <v>1.2110021707897701E-2</v>
      </c>
      <c r="F558" s="73">
        <v>7.5779728538038897E-4</v>
      </c>
      <c r="G558" s="73">
        <v>0.22023068763078599</v>
      </c>
      <c r="H558" s="73">
        <v>6.1569866935348602E-5</v>
      </c>
      <c r="I558" s="73">
        <v>0.159088895930907</v>
      </c>
      <c r="J558" s="73">
        <v>1.9126724804875199</v>
      </c>
      <c r="K558" s="73"/>
      <c r="L558" s="73"/>
      <c r="M558" s="73"/>
      <c r="N558" s="19"/>
      <c r="O558" s="13">
        <f t="shared" ca="1" si="280"/>
        <v>2.6686418617660442E-5</v>
      </c>
      <c r="P558" s="13">
        <f t="shared" ca="1" si="281"/>
        <v>7.587584403387262E-7</v>
      </c>
      <c r="Q558" s="13">
        <f t="shared" ca="1" si="282"/>
        <v>1.1269282089925016E-2</v>
      </c>
      <c r="R558" s="13">
        <f t="shared" ca="1" si="283"/>
        <v>7.4802100648970783E-4</v>
      </c>
      <c r="S558" s="13">
        <f t="shared" ca="1" si="284"/>
        <v>0.21909560899754463</v>
      </c>
      <c r="T558" s="13">
        <f t="shared" ca="1" si="285"/>
        <v>6.1220045424324512E-5</v>
      </c>
      <c r="U558" s="13">
        <f t="shared" ca="1" si="286"/>
        <v>0.15843505193611848</v>
      </c>
      <c r="V558" s="13">
        <f t="shared" ca="1" si="287"/>
        <v>1.9055336995650658</v>
      </c>
      <c r="X558" s="3">
        <f t="shared" ca="1" si="288"/>
        <v>2.6686418617660442E-5</v>
      </c>
      <c r="Y558" s="3">
        <f t="shared" ca="1" si="289"/>
        <v>7.587584403387262E-7</v>
      </c>
      <c r="Z558" s="3">
        <f t="shared" ca="1" si="290"/>
        <v>1.1268813710766084E-2</v>
      </c>
      <c r="AA558" s="3">
        <f t="shared" ca="1" si="291"/>
        <v>7.366841018473843E-4</v>
      </c>
      <c r="AB558" s="3">
        <f t="shared" ca="1" si="292"/>
        <v>0.21901316362059176</v>
      </c>
      <c r="AC558" s="3">
        <f t="shared" ca="1" si="293"/>
        <v>6.1220045424324512E-5</v>
      </c>
      <c r="AD558" s="3">
        <f t="shared" ca="1" si="294"/>
        <v>0.15831329996724847</v>
      </c>
      <c r="AE558" s="3">
        <f t="shared" ca="1" si="295"/>
        <v>1.9054842954484237</v>
      </c>
      <c r="AG558" s="3">
        <f t="shared" ca="1" si="296"/>
        <v>2.6686418617660442E-5</v>
      </c>
      <c r="AH558" s="3">
        <f t="shared" ca="1" si="297"/>
        <v>7.587584403387262E-7</v>
      </c>
      <c r="AI558" s="3">
        <f t="shared" ca="1" si="298"/>
        <v>1.1268202534867039E-2</v>
      </c>
      <c r="AJ558" s="3">
        <f t="shared" ca="1" si="299"/>
        <v>7.3634660887255277E-4</v>
      </c>
      <c r="AK558" s="3">
        <f t="shared" ca="1" si="300"/>
        <v>0.21901316362059176</v>
      </c>
      <c r="AL558" s="3">
        <f t="shared" ca="1" si="301"/>
        <v>6.1220045424324512E-5</v>
      </c>
      <c r="AM558" s="3">
        <f t="shared" ca="1" si="302"/>
        <v>0.15831329996724847</v>
      </c>
      <c r="AN558" s="3">
        <f t="shared" ca="1" si="303"/>
        <v>1.9054842954484237</v>
      </c>
      <c r="AP558" s="3">
        <f t="shared" ca="1" si="304"/>
        <v>8.6972701474196175</v>
      </c>
      <c r="AQ558" s="3">
        <f t="shared" ca="1" si="320"/>
        <v>0.40067933752861373</v>
      </c>
      <c r="AR558" s="3">
        <f t="shared" ca="1" si="305"/>
        <v>2.9971656133778301E-4</v>
      </c>
      <c r="AS558" s="3">
        <f t="shared" ca="1" si="306"/>
        <v>0.15813533537478069</v>
      </c>
      <c r="AT558" s="3">
        <f t="shared" ca="1" si="307"/>
        <v>0.70817845917516375</v>
      </c>
      <c r="AU558" s="3">
        <f t="shared" ca="1" si="308"/>
        <v>5.3460238937262067E-2</v>
      </c>
      <c r="AV558" s="10">
        <f t="shared" ca="1" si="312"/>
        <v>0.70817845917516375</v>
      </c>
      <c r="AW558" s="10">
        <f t="shared" ca="1" si="313"/>
        <v>0.70817845917516375</v>
      </c>
      <c r="AX558" s="10"/>
      <c r="AY558" s="3">
        <f t="shared" ca="1" si="319"/>
        <v>8.7003185742268734</v>
      </c>
      <c r="AZ558" s="3">
        <f t="shared" ca="1" si="321"/>
        <v>0.40082148085003239</v>
      </c>
      <c r="BA558" s="3">
        <f t="shared" ca="1" si="309"/>
        <v>2.9514353818719619E-4</v>
      </c>
      <c r="BB558" s="3">
        <f t="shared" ca="1" si="322"/>
        <v>0.15801815642906128</v>
      </c>
      <c r="BC558" s="3">
        <f t="shared" ca="1" si="323"/>
        <v>0.70779516228253447</v>
      </c>
      <c r="BD558" s="3">
        <f t="shared" ca="1" si="310"/>
        <v>5.3494419452515748E-2</v>
      </c>
      <c r="BE558" s="3" t="str">
        <f t="shared" ca="1" si="317"/>
        <v>rejected</v>
      </c>
      <c r="BF558" s="3" t="e">
        <f t="shared" ca="1" si="318"/>
        <v>#N/A</v>
      </c>
    </row>
    <row r="559" spans="1:58" ht="15" x14ac:dyDescent="0.25">
      <c r="A559" s="72">
        <v>493</v>
      </c>
      <c r="B559" s="72">
        <v>1498730379.23</v>
      </c>
      <c r="C559" s="73">
        <v>2.58542863380765E-4</v>
      </c>
      <c r="D559" s="73">
        <v>1.1573786403654601E-5</v>
      </c>
      <c r="E559" s="73">
        <v>1.18842042735581E-2</v>
      </c>
      <c r="F559" s="73">
        <v>8.5257187103332597E-4</v>
      </c>
      <c r="G559" s="73">
        <v>0.21634228753404</v>
      </c>
      <c r="H559" s="73">
        <v>-2.8631791624332899E-5</v>
      </c>
      <c r="I559" s="73">
        <v>0.15637325040254299</v>
      </c>
      <c r="J559" s="73">
        <v>1.8767373654744099</v>
      </c>
      <c r="K559" s="73"/>
      <c r="L559" s="73"/>
      <c r="M559" s="73"/>
      <c r="N559" s="19"/>
      <c r="O559" s="13">
        <f t="shared" ca="1" si="280"/>
        <v>-6.1443658907965842E-6</v>
      </c>
      <c r="P559" s="13">
        <f t="shared" ca="1" si="281"/>
        <v>2.8631101881442733E-7</v>
      </c>
      <c r="Q559" s="13">
        <f t="shared" ca="1" si="282"/>
        <v>1.1043464655585415E-2</v>
      </c>
      <c r="R559" s="13">
        <f t="shared" ca="1" si="283"/>
        <v>8.4279559214264484E-4</v>
      </c>
      <c r="S559" s="13">
        <f t="shared" ca="1" si="284"/>
        <v>0.21520720890079864</v>
      </c>
      <c r="T559" s="13">
        <f t="shared" ca="1" si="285"/>
        <v>-2.8981613135356986E-5</v>
      </c>
      <c r="U559" s="13">
        <f t="shared" ca="1" si="286"/>
        <v>0.15571940640775447</v>
      </c>
      <c r="V559" s="13">
        <f t="shared" ca="1" si="287"/>
        <v>1.8695985845519558</v>
      </c>
      <c r="X559" s="3">
        <f t="shared" ca="1" si="288"/>
        <v>-6.1443658907965842E-6</v>
      </c>
      <c r="Y559" s="3">
        <f t="shared" ca="1" si="289"/>
        <v>2.8631101881442733E-7</v>
      </c>
      <c r="Z559" s="3">
        <f t="shared" ca="1" si="290"/>
        <v>1.1043464655585415E-2</v>
      </c>
      <c r="AA559" s="3">
        <f t="shared" ca="1" si="291"/>
        <v>8.4279559214264484E-4</v>
      </c>
      <c r="AB559" s="3">
        <f t="shared" ca="1" si="292"/>
        <v>0.21520720890079864</v>
      </c>
      <c r="AC559" s="3">
        <f t="shared" ca="1" si="293"/>
        <v>-2.8981613135356986E-5</v>
      </c>
      <c r="AD559" s="3">
        <f t="shared" ca="1" si="294"/>
        <v>0.15571940640775447</v>
      </c>
      <c r="AE559" s="3">
        <f t="shared" ca="1" si="295"/>
        <v>1.8695985845519558</v>
      </c>
      <c r="AG559" s="3">
        <f t="shared" ca="1" si="296"/>
        <v>-6.1443658907965842E-6</v>
      </c>
      <c r="AH559" s="3">
        <f t="shared" ca="1" si="297"/>
        <v>2.8631101881442733E-7</v>
      </c>
      <c r="AI559" s="3">
        <f t="shared" ca="1" si="298"/>
        <v>1.1043234033578427E-2</v>
      </c>
      <c r="AJ559" s="3">
        <f t="shared" ca="1" si="299"/>
        <v>8.4266824205027075E-4</v>
      </c>
      <c r="AK559" s="3">
        <f t="shared" ca="1" si="300"/>
        <v>0.21520720890079864</v>
      </c>
      <c r="AL559" s="3">
        <f t="shared" ca="1" si="301"/>
        <v>-2.8981613135356986E-5</v>
      </c>
      <c r="AM559" s="3">
        <f t="shared" ca="1" si="302"/>
        <v>0.15571940640775447</v>
      </c>
      <c r="AN559" s="3">
        <f t="shared" ca="1" si="303"/>
        <v>1.8695985845519558</v>
      </c>
      <c r="AP559" s="3">
        <f t="shared" ca="1" si="304"/>
        <v>8.6874347476610847</v>
      </c>
      <c r="AQ559" s="3">
        <f t="shared" ca="1" si="320"/>
        <v>0.40022073251199963</v>
      </c>
      <c r="AR559" s="3">
        <f t="shared" ca="1" si="305"/>
        <v>3.3730426924521382E-4</v>
      </c>
      <c r="AS559" s="3">
        <f t="shared" ca="1" si="306"/>
        <v>0.15538210213850925</v>
      </c>
      <c r="AT559" s="3">
        <f t="shared" ca="1" si="307"/>
        <v>0.70882513285595228</v>
      </c>
      <c r="AU559" s="3">
        <f t="shared" ca="1" si="308"/>
        <v>5.3273842178900105E-2</v>
      </c>
      <c r="AV559" s="10">
        <f t="shared" ca="1" si="312"/>
        <v>0.70882513285595228</v>
      </c>
      <c r="AW559" s="10">
        <f t="shared" ca="1" si="313"/>
        <v>0.70882513285595228</v>
      </c>
      <c r="AX559" s="10"/>
      <c r="AY559" s="3">
        <f t="shared" ca="1" si="319"/>
        <v>8.6874347476610847</v>
      </c>
      <c r="AZ559" s="3">
        <f t="shared" ca="1" si="321"/>
        <v>0.40022073251199963</v>
      </c>
      <c r="BA559" s="3">
        <f t="shared" ca="1" si="309"/>
        <v>3.3725330109795839E-4</v>
      </c>
      <c r="BB559" s="3">
        <f t="shared" ca="1" si="322"/>
        <v>0.15538215310665651</v>
      </c>
      <c r="BC559" s="3">
        <f t="shared" ca="1" si="323"/>
        <v>0.70882536536344998</v>
      </c>
      <c r="BD559" s="3">
        <f t="shared" ca="1" si="310"/>
        <v>5.3272729654815824E-2</v>
      </c>
      <c r="BE559" s="3">
        <f t="shared" ca="1" si="317"/>
        <v>0.70882536536344998</v>
      </c>
      <c r="BF559" s="3">
        <f t="shared" ca="1" si="318"/>
        <v>0.70882536536344998</v>
      </c>
    </row>
    <row r="560" spans="1:58" ht="15" x14ac:dyDescent="0.25">
      <c r="A560" s="72">
        <v>494</v>
      </c>
      <c r="B560" s="72">
        <v>1498730379.757</v>
      </c>
      <c r="C560" s="73">
        <v>3.9629665245172402E-4</v>
      </c>
      <c r="D560" s="73">
        <v>5.3858721614383202E-5</v>
      </c>
      <c r="E560" s="73">
        <v>1.20890748982895E-2</v>
      </c>
      <c r="F560" s="73">
        <v>6.9731770170842198E-4</v>
      </c>
      <c r="G560" s="73">
        <v>0.22145144066498601</v>
      </c>
      <c r="H560" s="73">
        <v>5.8402678213862703E-5</v>
      </c>
      <c r="I560" s="73">
        <v>0.160054008911416</v>
      </c>
      <c r="J560" s="73">
        <v>1.9217030256299401</v>
      </c>
      <c r="K560" s="73"/>
      <c r="L560" s="73"/>
      <c r="M560" s="73"/>
      <c r="N560" s="19"/>
      <c r="O560" s="13">
        <f t="shared" ca="1" si="280"/>
        <v>1.3160942318016244E-4</v>
      </c>
      <c r="P560" s="13">
        <f t="shared" ca="1" si="281"/>
        <v>4.2571246229543031E-5</v>
      </c>
      <c r="Q560" s="13">
        <f t="shared" ca="1" si="282"/>
        <v>1.1248335280316815E-2</v>
      </c>
      <c r="R560" s="13">
        <f t="shared" ca="1" si="283"/>
        <v>6.8754142281774084E-4</v>
      </c>
      <c r="S560" s="13">
        <f t="shared" ca="1" si="284"/>
        <v>0.22031636203174465</v>
      </c>
      <c r="T560" s="13">
        <f t="shared" ca="1" si="285"/>
        <v>5.8052856702838613E-5</v>
      </c>
      <c r="U560" s="13">
        <f t="shared" ca="1" si="286"/>
        <v>0.15940016491662748</v>
      </c>
      <c r="V560" s="13">
        <f t="shared" ca="1" si="287"/>
        <v>1.914564244707486</v>
      </c>
      <c r="X560" s="3">
        <f t="shared" ca="1" si="288"/>
        <v>1.3160942318016244E-4</v>
      </c>
      <c r="Y560" s="3">
        <f t="shared" ca="1" si="289"/>
        <v>4.2571246229543031E-5</v>
      </c>
      <c r="Z560" s="3">
        <f t="shared" ca="1" si="290"/>
        <v>1.1247891132521634E-2</v>
      </c>
      <c r="AA560" s="3">
        <f t="shared" ca="1" si="291"/>
        <v>6.7679102732076115E-4</v>
      </c>
      <c r="AB560" s="3">
        <f t="shared" ca="1" si="292"/>
        <v>0.22023818192552483</v>
      </c>
      <c r="AC560" s="3">
        <f t="shared" ca="1" si="293"/>
        <v>5.8052856702838613E-5</v>
      </c>
      <c r="AD560" s="3">
        <f t="shared" ca="1" si="294"/>
        <v>0.15928471172555075</v>
      </c>
      <c r="AE560" s="3">
        <f t="shared" ca="1" si="295"/>
        <v>1.9145173964883433</v>
      </c>
      <c r="AG560" s="3">
        <f t="shared" ca="1" si="296"/>
        <v>1.3160942318016244E-4</v>
      </c>
      <c r="AH560" s="3">
        <f t="shared" ca="1" si="297"/>
        <v>4.2571246229543031E-5</v>
      </c>
      <c r="AI560" s="3">
        <f t="shared" ca="1" si="298"/>
        <v>1.1213600219492522E-2</v>
      </c>
      <c r="AJ560" s="3">
        <f t="shared" ca="1" si="299"/>
        <v>6.578554929418907E-4</v>
      </c>
      <c r="AK560" s="3">
        <f t="shared" ca="1" si="300"/>
        <v>0.22023818192552483</v>
      </c>
      <c r="AL560" s="3">
        <f t="shared" ca="1" si="301"/>
        <v>5.8052856702838613E-5</v>
      </c>
      <c r="AM560" s="3">
        <f t="shared" ca="1" si="302"/>
        <v>0.15928471172555075</v>
      </c>
      <c r="AN560" s="3">
        <f t="shared" ca="1" si="303"/>
        <v>1.9145173964883433</v>
      </c>
      <c r="AP560" s="3">
        <f t="shared" ca="1" si="304"/>
        <v>8.690068350128362</v>
      </c>
      <c r="AQ560" s="3">
        <f t="shared" ca="1" si="320"/>
        <v>0.40034353150989566</v>
      </c>
      <c r="AR560" s="3">
        <f t="shared" ca="1" si="305"/>
        <v>2.7525276127019274E-4</v>
      </c>
      <c r="AS560" s="3">
        <f t="shared" ca="1" si="306"/>
        <v>0.15912491215535729</v>
      </c>
      <c r="AT560" s="3">
        <f t="shared" ca="1" si="307"/>
        <v>0.7089572762166616</v>
      </c>
      <c r="AU560" s="3">
        <f t="shared" ca="1" si="308"/>
        <v>5.3020239826965541E-2</v>
      </c>
      <c r="AV560" s="10">
        <f t="shared" ca="1" si="312"/>
        <v>0.7089572762166616</v>
      </c>
      <c r="AW560" s="10">
        <f t="shared" ca="1" si="313"/>
        <v>0.7089572762166616</v>
      </c>
      <c r="AX560" s="10"/>
      <c r="AY560" s="3">
        <f t="shared" ca="1" si="319"/>
        <v>8.6929404327163926</v>
      </c>
      <c r="AZ560" s="3">
        <f t="shared" ca="1" si="321"/>
        <v>0.40047745081743913</v>
      </c>
      <c r="BA560" s="3">
        <f t="shared" ca="1" si="309"/>
        <v>2.6345629081961819E-4</v>
      </c>
      <c r="BB560" s="3">
        <f t="shared" ca="1" si="322"/>
        <v>0.15902125543473114</v>
      </c>
      <c r="BC560" s="3">
        <f t="shared" ca="1" si="323"/>
        <v>0.70862901731270445</v>
      </c>
      <c r="BD560" s="3">
        <f t="shared" ca="1" si="310"/>
        <v>5.2893157119980029E-2</v>
      </c>
      <c r="BE560" s="3">
        <f t="shared" ca="1" si="317"/>
        <v>0.70862901731270445</v>
      </c>
      <c r="BF560" s="3">
        <f t="shared" ca="1" si="318"/>
        <v>0.70862901731270445</v>
      </c>
    </row>
    <row r="561" spans="1:58" ht="15" x14ac:dyDescent="0.25">
      <c r="A561" s="72">
        <v>495</v>
      </c>
      <c r="B561" s="72">
        <v>1498730380.283</v>
      </c>
      <c r="C561" s="73">
        <v>3.8178283609509002E-4</v>
      </c>
      <c r="D561" s="73">
        <v>7.9136051867986898E-5</v>
      </c>
      <c r="E561" s="73">
        <v>1.2016607100241701E-2</v>
      </c>
      <c r="F561" s="73">
        <v>8.0851723930193398E-4</v>
      </c>
      <c r="G561" s="73">
        <v>0.219334235649356</v>
      </c>
      <c r="H561" s="73">
        <v>9.4595014082088805E-5</v>
      </c>
      <c r="I561" s="73">
        <v>0.158630339182327</v>
      </c>
      <c r="J561" s="73">
        <v>1.90441018726397</v>
      </c>
      <c r="K561" s="73"/>
      <c r="L561" s="73"/>
      <c r="M561" s="73"/>
      <c r="N561" s="11"/>
      <c r="O561" s="13">
        <f t="shared" ca="1" si="280"/>
        <v>1.1709560682352844E-4</v>
      </c>
      <c r="P561" s="13">
        <f t="shared" ca="1" si="281"/>
        <v>6.784857648314672E-5</v>
      </c>
      <c r="Q561" s="13">
        <f t="shared" ca="1" si="282"/>
        <v>1.1175867482269015E-2</v>
      </c>
      <c r="R561" s="13">
        <f t="shared" ca="1" si="283"/>
        <v>7.9874096041125284E-4</v>
      </c>
      <c r="S561" s="13">
        <f t="shared" ca="1" si="284"/>
        <v>0.21819915701611464</v>
      </c>
      <c r="T561" s="13">
        <f t="shared" ca="1" si="285"/>
        <v>9.4245192571064715E-5</v>
      </c>
      <c r="U561" s="13">
        <f t="shared" ca="1" si="286"/>
        <v>0.15797649518753848</v>
      </c>
      <c r="V561" s="13">
        <f t="shared" ca="1" si="287"/>
        <v>1.8972714063415159</v>
      </c>
      <c r="X561" s="3">
        <f t="shared" ca="1" si="288"/>
        <v>1.1709560682352844E-4</v>
      </c>
      <c r="Y561" s="3">
        <f t="shared" ca="1" si="289"/>
        <v>6.784857648314672E-5</v>
      </c>
      <c r="Z561" s="3">
        <f t="shared" ca="1" si="290"/>
        <v>1.1175146436021436E-2</v>
      </c>
      <c r="AA561" s="3">
        <f t="shared" ca="1" si="291"/>
        <v>7.8128836373691168E-4</v>
      </c>
      <c r="AB561" s="3">
        <f t="shared" ca="1" si="292"/>
        <v>0.21807223648912613</v>
      </c>
      <c r="AC561" s="3">
        <f t="shared" ca="1" si="293"/>
        <v>9.4245192571064715E-5</v>
      </c>
      <c r="AD561" s="3">
        <f t="shared" ca="1" si="294"/>
        <v>0.15778906413170488</v>
      </c>
      <c r="AE561" s="3">
        <f t="shared" ca="1" si="295"/>
        <v>1.8971953511792814</v>
      </c>
      <c r="AG561" s="3">
        <f t="shared" ca="1" si="296"/>
        <v>1.1709560682352844E-4</v>
      </c>
      <c r="AH561" s="3">
        <f t="shared" ca="1" si="297"/>
        <v>6.784857648314672E-5</v>
      </c>
      <c r="AI561" s="3">
        <f t="shared" ca="1" si="298"/>
        <v>1.1120494767550476E-2</v>
      </c>
      <c r="AJ561" s="3">
        <f t="shared" ca="1" si="299"/>
        <v>7.5110956545539759E-4</v>
      </c>
      <c r="AK561" s="3">
        <f t="shared" ca="1" si="300"/>
        <v>0.21807223648912613</v>
      </c>
      <c r="AL561" s="3">
        <f t="shared" ca="1" si="301"/>
        <v>9.4245192571064715E-5</v>
      </c>
      <c r="AM561" s="3">
        <f t="shared" ca="1" si="302"/>
        <v>0.15778906413170488</v>
      </c>
      <c r="AN561" s="3">
        <f t="shared" ca="1" si="303"/>
        <v>1.8971953511792814</v>
      </c>
      <c r="AP561" s="3">
        <f t="shared" ca="1" si="304"/>
        <v>8.6951362795659062</v>
      </c>
      <c r="AQ561" s="3">
        <f t="shared" ca="1" si="320"/>
        <v>0.40057983900449362</v>
      </c>
      <c r="AR561" s="3">
        <f t="shared" ca="1" si="305"/>
        <v>3.1995952532783427E-4</v>
      </c>
      <c r="AS561" s="3">
        <f t="shared" ca="1" si="306"/>
        <v>0.15765653566221063</v>
      </c>
      <c r="AT561" s="3">
        <f t="shared" ca="1" si="307"/>
        <v>0.70902253629240231</v>
      </c>
      <c r="AU561" s="3">
        <f t="shared" ca="1" si="308"/>
        <v>5.3221541536592414E-2</v>
      </c>
      <c r="AV561" s="10">
        <f t="shared" ca="1" si="312"/>
        <v>0.70902253629240231</v>
      </c>
      <c r="AW561" s="10">
        <f t="shared" ca="1" si="313"/>
        <v>0.70902253629240231</v>
      </c>
      <c r="AX561" s="10"/>
      <c r="AY561" s="3">
        <f t="shared" ca="1" si="319"/>
        <v>8.6998481866529698</v>
      </c>
      <c r="AZ561" s="3">
        <f t="shared" ca="1" si="321"/>
        <v>0.40079954738188561</v>
      </c>
      <c r="BA561" s="3">
        <f t="shared" ca="1" si="309"/>
        <v>3.0104437386872812E-4</v>
      </c>
      <c r="BB561" s="3">
        <f t="shared" ca="1" si="322"/>
        <v>0.15748801975783613</v>
      </c>
      <c r="BC561" s="3">
        <f t="shared" ca="1" si="323"/>
        <v>0.70848357674511919</v>
      </c>
      <c r="BD561" s="3">
        <f t="shared" ca="1" si="310"/>
        <v>5.3018050980696611E-2</v>
      </c>
      <c r="BE561" s="3">
        <f t="shared" ca="1" si="317"/>
        <v>0.70848357674511919</v>
      </c>
      <c r="BF561" s="3">
        <f t="shared" ca="1" si="318"/>
        <v>0.70848357674511919</v>
      </c>
    </row>
    <row r="562" spans="1:58" ht="15" x14ac:dyDescent="0.25">
      <c r="A562" s="72">
        <v>496</v>
      </c>
      <c r="B562" s="72">
        <v>1498730380.8099999</v>
      </c>
      <c r="C562" s="73">
        <v>3.4847323550007601E-4</v>
      </c>
      <c r="D562" s="73">
        <v>7.6301179031256305E-5</v>
      </c>
      <c r="E562" s="73">
        <v>1.21716608143822E-2</v>
      </c>
      <c r="F562" s="73">
        <v>9.9213071730252698E-4</v>
      </c>
      <c r="G562" s="73">
        <v>0.22317313876729</v>
      </c>
      <c r="H562" s="73">
        <v>7.9913187054503294E-5</v>
      </c>
      <c r="I562" s="73">
        <v>0.16109616644947999</v>
      </c>
      <c r="J562" s="73">
        <v>1.93385565428843</v>
      </c>
      <c r="K562" s="73"/>
      <c r="L562" s="73"/>
      <c r="M562" s="73"/>
      <c r="N562" s="11"/>
      <c r="O562" s="13">
        <f t="shared" ca="1" si="280"/>
        <v>8.3786006228514422E-5</v>
      </c>
      <c r="P562" s="13">
        <f t="shared" ca="1" si="281"/>
        <v>6.5013703646416127E-5</v>
      </c>
      <c r="Q562" s="13">
        <f t="shared" ca="1" si="282"/>
        <v>1.1330921196409514E-2</v>
      </c>
      <c r="R562" s="13">
        <f t="shared" ca="1" si="283"/>
        <v>9.8235443841184584E-4</v>
      </c>
      <c r="S562" s="13">
        <f t="shared" ca="1" si="284"/>
        <v>0.22203806013404864</v>
      </c>
      <c r="T562" s="13">
        <f t="shared" ca="1" si="285"/>
        <v>7.9563365543479204E-5</v>
      </c>
      <c r="U562" s="13">
        <f t="shared" ca="1" si="286"/>
        <v>0.16044232245469148</v>
      </c>
      <c r="V562" s="13">
        <f t="shared" ca="1" si="287"/>
        <v>1.9267168733659759</v>
      </c>
      <c r="X562" s="3">
        <f t="shared" ca="1" si="288"/>
        <v>8.3786006228514422E-5</v>
      </c>
      <c r="Y562" s="3">
        <f t="shared" ca="1" si="289"/>
        <v>6.5013703646416127E-5</v>
      </c>
      <c r="Z562" s="3">
        <f t="shared" ca="1" si="290"/>
        <v>1.1330312477125222E-2</v>
      </c>
      <c r="AA562" s="3">
        <f t="shared" ca="1" si="291"/>
        <v>9.6762066482613792E-4</v>
      </c>
      <c r="AB562" s="3">
        <f t="shared" ca="1" si="292"/>
        <v>0.22193091170548404</v>
      </c>
      <c r="AC562" s="3">
        <f t="shared" ca="1" si="293"/>
        <v>7.9563365543479204E-5</v>
      </c>
      <c r="AD562" s="3">
        <f t="shared" ca="1" si="294"/>
        <v>0.16028409002709848</v>
      </c>
      <c r="AE562" s="3">
        <f t="shared" ca="1" si="295"/>
        <v>1.9266526663278316</v>
      </c>
      <c r="AG562" s="3">
        <f t="shared" ca="1" si="296"/>
        <v>8.3786006228514422E-5</v>
      </c>
      <c r="AH562" s="3">
        <f t="shared" ca="1" si="297"/>
        <v>6.5013703646416127E-5</v>
      </c>
      <c r="AI562" s="3">
        <f t="shared" ca="1" si="298"/>
        <v>1.1277944283687358E-2</v>
      </c>
      <c r="AJ562" s="3">
        <f t="shared" ca="1" si="299"/>
        <v>9.3870280759789256E-4</v>
      </c>
      <c r="AK562" s="3">
        <f t="shared" ca="1" si="300"/>
        <v>0.22193091170548404</v>
      </c>
      <c r="AL562" s="3">
        <f t="shared" ca="1" si="301"/>
        <v>7.9563365543479204E-5</v>
      </c>
      <c r="AM562" s="3">
        <f t="shared" ca="1" si="302"/>
        <v>0.16028409002709848</v>
      </c>
      <c r="AN562" s="3">
        <f t="shared" ca="1" si="303"/>
        <v>1.9266526663278316</v>
      </c>
      <c r="AP562" s="3">
        <f t="shared" ca="1" si="304"/>
        <v>8.6774171608362085</v>
      </c>
      <c r="AQ562" s="3">
        <f t="shared" ca="1" si="320"/>
        <v>0.39975363895030586</v>
      </c>
      <c r="AR562" s="3">
        <f t="shared" ca="1" si="305"/>
        <v>3.9269976149411949E-4</v>
      </c>
      <c r="AS562" s="3">
        <f t="shared" ca="1" si="306"/>
        <v>0.16004962269319736</v>
      </c>
      <c r="AT562" s="3">
        <f t="shared" ca="1" si="307"/>
        <v>0.70806723880864608</v>
      </c>
      <c r="AU562" s="3">
        <f t="shared" ca="1" si="308"/>
        <v>5.2916432141468933E-2</v>
      </c>
      <c r="AV562" s="10">
        <f t="shared" ca="1" si="312"/>
        <v>0.70806723880864608</v>
      </c>
      <c r="AW562" s="10">
        <f t="shared" ca="1" si="313"/>
        <v>0.70806723880864608</v>
      </c>
      <c r="AX562" s="10"/>
      <c r="AY562" s="3">
        <f t="shared" ca="1" si="319"/>
        <v>8.6813173141225963</v>
      </c>
      <c r="AZ562" s="3">
        <f t="shared" ca="1" si="321"/>
        <v>0.39993549199907308</v>
      </c>
      <c r="BA562" s="3">
        <f t="shared" ca="1" si="309"/>
        <v>3.7542056919757439E-4</v>
      </c>
      <c r="BB562" s="3">
        <f t="shared" ca="1" si="322"/>
        <v>0.15990866945790091</v>
      </c>
      <c r="BC562" s="3">
        <f t="shared" ca="1" si="323"/>
        <v>0.70762505967583733</v>
      </c>
      <c r="BD562" s="3">
        <f t="shared" ca="1" si="310"/>
        <v>5.2718688641292491E-2</v>
      </c>
      <c r="BE562" s="3" t="str">
        <f t="shared" ca="1" si="317"/>
        <v>rejected</v>
      </c>
      <c r="BF562" s="3" t="e">
        <f t="shared" ca="1" si="318"/>
        <v>#N/A</v>
      </c>
    </row>
    <row r="563" spans="1:58" ht="15" x14ac:dyDescent="0.25">
      <c r="A563" s="72">
        <v>497</v>
      </c>
      <c r="B563" s="72">
        <v>1498730381.3369999</v>
      </c>
      <c r="C563" s="73">
        <v>2.6853472700919602E-4</v>
      </c>
      <c r="D563" s="73">
        <v>4.4173186279200099E-5</v>
      </c>
      <c r="E563" s="73">
        <v>1.2125431132238299E-2</v>
      </c>
      <c r="F563" s="73">
        <v>8.2828205002426897E-4</v>
      </c>
      <c r="G563" s="73">
        <v>0.22467807041270099</v>
      </c>
      <c r="H563" s="73">
        <v>1.9979026058052098E-5</v>
      </c>
      <c r="I563" s="73">
        <v>0.16230018591466899</v>
      </c>
      <c r="J563" s="73">
        <v>1.94952363919136</v>
      </c>
      <c r="K563" s="73"/>
      <c r="L563" s="73"/>
      <c r="M563" s="73"/>
      <c r="N563" s="11"/>
      <c r="O563" s="13">
        <f t="shared" ca="1" si="280"/>
        <v>3.8474977376344393E-6</v>
      </c>
      <c r="P563" s="13">
        <f t="shared" ca="1" si="281"/>
        <v>3.2885710894359927E-5</v>
      </c>
      <c r="Q563" s="13">
        <f t="shared" ca="1" si="282"/>
        <v>1.1284691514265614E-2</v>
      </c>
      <c r="R563" s="13">
        <f t="shared" ca="1" si="283"/>
        <v>8.1850577113358784E-4</v>
      </c>
      <c r="S563" s="13">
        <f t="shared" ca="1" si="284"/>
        <v>0.22354299177945963</v>
      </c>
      <c r="T563" s="13">
        <f t="shared" ca="1" si="285"/>
        <v>1.9629204547028012E-5</v>
      </c>
      <c r="U563" s="13">
        <f t="shared" ca="1" si="286"/>
        <v>0.16164634191988048</v>
      </c>
      <c r="V563" s="13">
        <f t="shared" ca="1" si="287"/>
        <v>1.9423848582689058</v>
      </c>
      <c r="X563" s="3">
        <f t="shared" ca="1" si="288"/>
        <v>3.8474977376344393E-6</v>
      </c>
      <c r="Y563" s="3">
        <f t="shared" ca="1" si="289"/>
        <v>3.2885710894359927E-5</v>
      </c>
      <c r="Z563" s="3">
        <f t="shared" ca="1" si="290"/>
        <v>1.1284541336162144E-2</v>
      </c>
      <c r="AA563" s="3">
        <f t="shared" ca="1" si="291"/>
        <v>8.1487077840184611E-4</v>
      </c>
      <c r="AB563" s="3">
        <f t="shared" ca="1" si="292"/>
        <v>0.22351655702011003</v>
      </c>
      <c r="AC563" s="3">
        <f t="shared" ca="1" si="293"/>
        <v>1.9629204547028012E-5</v>
      </c>
      <c r="AD563" s="3">
        <f t="shared" ca="1" si="294"/>
        <v>0.1616073041458248</v>
      </c>
      <c r="AE563" s="3">
        <f t="shared" ca="1" si="295"/>
        <v>1.9423690176483328</v>
      </c>
      <c r="AG563" s="3">
        <f t="shared" ca="1" si="296"/>
        <v>3.8474977376344393E-6</v>
      </c>
      <c r="AH563" s="3">
        <f t="shared" ca="1" si="297"/>
        <v>3.2885710894359927E-5</v>
      </c>
      <c r="AI563" s="3">
        <f t="shared" ca="1" si="298"/>
        <v>1.1258052070470963E-2</v>
      </c>
      <c r="AJ563" s="3">
        <f t="shared" ca="1" si="299"/>
        <v>8.002433346606853E-4</v>
      </c>
      <c r="AK563" s="3">
        <f t="shared" ca="1" si="300"/>
        <v>0.22351655702011003</v>
      </c>
      <c r="AL563" s="3">
        <f t="shared" ca="1" si="301"/>
        <v>1.9629204547028012E-5</v>
      </c>
      <c r="AM563" s="3">
        <f t="shared" ca="1" si="302"/>
        <v>0.1616073041458248</v>
      </c>
      <c r="AN563" s="3">
        <f t="shared" ca="1" si="303"/>
        <v>1.9423690176483328</v>
      </c>
      <c r="AP563" s="3">
        <f t="shared" ca="1" si="304"/>
        <v>8.6890885856318896</v>
      </c>
      <c r="AQ563" s="3">
        <f t="shared" ca="1" si="320"/>
        <v>0.40029784722811285</v>
      </c>
      <c r="AR563" s="3">
        <f t="shared" ca="1" si="305"/>
        <v>3.2764609812856166E-4</v>
      </c>
      <c r="AS563" s="3">
        <f t="shared" ca="1" si="306"/>
        <v>0.16131869582175193</v>
      </c>
      <c r="AT563" s="3">
        <f t="shared" ca="1" si="307"/>
        <v>0.70839737285811522</v>
      </c>
      <c r="AU563" s="3">
        <f t="shared" ca="1" si="308"/>
        <v>5.2417790783924161E-2</v>
      </c>
      <c r="AV563" s="10">
        <f t="shared" ca="1" si="312"/>
        <v>0.70839737285811522</v>
      </c>
      <c r="AW563" s="10">
        <f t="shared" ca="1" si="313"/>
        <v>0.70839737285811522</v>
      </c>
      <c r="AX563" s="10"/>
      <c r="AY563" s="3">
        <f t="shared" ca="1" si="319"/>
        <v>8.6900453529873207</v>
      </c>
      <c r="AZ563" s="3">
        <f t="shared" ca="1" si="321"/>
        <v>0.4003424592026455</v>
      </c>
      <c r="BA563" s="3">
        <f t="shared" ca="1" si="309"/>
        <v>3.2037138455858437E-4</v>
      </c>
      <c r="BB563" s="3">
        <f t="shared" ca="1" si="322"/>
        <v>0.16128693276126621</v>
      </c>
      <c r="BC563" s="3">
        <f t="shared" ca="1" si="323"/>
        <v>0.70830238070278728</v>
      </c>
      <c r="BD563" s="3">
        <f t="shared" ca="1" si="310"/>
        <v>5.2306127069700017E-2</v>
      </c>
      <c r="BE563" s="3">
        <f t="shared" ca="1" si="317"/>
        <v>0.70830238070278728</v>
      </c>
      <c r="BF563" s="3">
        <f t="shared" ca="1" si="318"/>
        <v>0.70830238070278728</v>
      </c>
    </row>
    <row r="564" spans="1:58" ht="15" x14ac:dyDescent="0.25">
      <c r="A564" s="72">
        <v>498</v>
      </c>
      <c r="B564" s="72">
        <v>1498730381.8640001</v>
      </c>
      <c r="C564" s="73">
        <v>2.50930082008858E-4</v>
      </c>
      <c r="D564" s="73">
        <v>-2.81109938995702E-5</v>
      </c>
      <c r="E564" s="73">
        <v>1.2296395189062901E-2</v>
      </c>
      <c r="F564" s="73">
        <v>6.7350784648843203E-4</v>
      </c>
      <c r="G564" s="73">
        <v>0.225122600189963</v>
      </c>
      <c r="H564" s="73">
        <v>-1.74614431288656E-5</v>
      </c>
      <c r="I564" s="73">
        <v>0.16272761755509199</v>
      </c>
      <c r="J564" s="73">
        <v>1.9543668880123199</v>
      </c>
      <c r="K564" s="73"/>
      <c r="L564" s="73"/>
      <c r="M564" s="73"/>
      <c r="N564" s="11"/>
      <c r="O564" s="13">
        <f t="shared" ca="1" si="280"/>
        <v>-1.3757147262703588E-5</v>
      </c>
      <c r="P564" s="13">
        <f t="shared" ca="1" si="281"/>
        <v>-3.9398469284410375E-5</v>
      </c>
      <c r="Q564" s="13">
        <f t="shared" ca="1" si="282"/>
        <v>1.1455655571090215E-2</v>
      </c>
      <c r="R564" s="13">
        <f t="shared" ca="1" si="283"/>
        <v>6.637315675977509E-4</v>
      </c>
      <c r="S564" s="13">
        <f t="shared" ca="1" si="284"/>
        <v>0.22398752155672164</v>
      </c>
      <c r="T564" s="13">
        <f t="shared" ca="1" si="285"/>
        <v>-1.7811264639889686E-5</v>
      </c>
      <c r="U564" s="13">
        <f t="shared" ca="1" si="286"/>
        <v>0.16207377356030347</v>
      </c>
      <c r="V564" s="13">
        <f t="shared" ca="1" si="287"/>
        <v>1.9472281070898658</v>
      </c>
      <c r="X564" s="3">
        <f t="shared" ca="1" si="288"/>
        <v>-1.3757147262703588E-5</v>
      </c>
      <c r="Y564" s="3">
        <f t="shared" ca="1" si="289"/>
        <v>-3.9398469284410375E-5</v>
      </c>
      <c r="Z564" s="3">
        <f t="shared" ca="1" si="290"/>
        <v>1.1455655571090215E-2</v>
      </c>
      <c r="AA564" s="3">
        <f t="shared" ca="1" si="291"/>
        <v>6.637315675977509E-4</v>
      </c>
      <c r="AB564" s="3">
        <f t="shared" ca="1" si="292"/>
        <v>0.22398752155672164</v>
      </c>
      <c r="AC564" s="3">
        <f t="shared" ca="1" si="293"/>
        <v>-1.7811264639889686E-5</v>
      </c>
      <c r="AD564" s="3">
        <f t="shared" ca="1" si="294"/>
        <v>0.16207377356030347</v>
      </c>
      <c r="AE564" s="3">
        <f t="shared" ca="1" si="295"/>
        <v>1.9472281070898658</v>
      </c>
      <c r="AG564" s="3">
        <f t="shared" ca="1" si="296"/>
        <v>-1.3757147262703588E-5</v>
      </c>
      <c r="AH564" s="3">
        <f t="shared" ca="1" si="297"/>
        <v>-3.9398469284410375E-5</v>
      </c>
      <c r="AI564" s="3">
        <f t="shared" ca="1" si="298"/>
        <v>1.1455655571090215E-2</v>
      </c>
      <c r="AJ564" s="3">
        <f t="shared" ca="1" si="299"/>
        <v>6.637315675977509E-4</v>
      </c>
      <c r="AK564" s="3">
        <f t="shared" ca="1" si="300"/>
        <v>0.22398752155672164</v>
      </c>
      <c r="AL564" s="3">
        <f t="shared" ca="1" si="301"/>
        <v>-1.7811264639889686E-5</v>
      </c>
      <c r="AM564" s="3">
        <f t="shared" ca="1" si="302"/>
        <v>0.16207377356030347</v>
      </c>
      <c r="AN564" s="3">
        <f t="shared" ca="1" si="303"/>
        <v>1.9472281070898658</v>
      </c>
      <c r="AP564" s="3">
        <f t="shared" ca="1" si="304"/>
        <v>8.6934669108196641</v>
      </c>
      <c r="AQ564" s="3">
        <f t="shared" ca="1" si="320"/>
        <v>0.40050199946743215</v>
      </c>
      <c r="AR564" s="3">
        <f t="shared" ca="1" si="305"/>
        <v>2.6582581993255232E-4</v>
      </c>
      <c r="AS564" s="3">
        <f t="shared" ca="1" si="306"/>
        <v>0.16180794774037091</v>
      </c>
      <c r="AT564" s="3">
        <f t="shared" ca="1" si="307"/>
        <v>0.70895577992374992</v>
      </c>
      <c r="AU564" s="3">
        <f t="shared" ca="1" si="308"/>
        <v>5.3133701455438033E-2</v>
      </c>
      <c r="AV564" s="10">
        <f t="shared" ca="1" si="312"/>
        <v>0.70895577992374992</v>
      </c>
      <c r="AW564" s="10">
        <f t="shared" ca="1" si="313"/>
        <v>0.70895577992374992</v>
      </c>
      <c r="AX564" s="10"/>
      <c r="AY564" s="3">
        <f t="shared" ca="1" si="319"/>
        <v>8.6934669108196641</v>
      </c>
      <c r="AZ564" s="3">
        <f t="shared" ca="1" si="321"/>
        <v>0.40050199946743215</v>
      </c>
      <c r="BA564" s="3">
        <f t="shared" ca="1" si="309"/>
        <v>2.6582581993255232E-4</v>
      </c>
      <c r="BB564" s="3">
        <f t="shared" ca="1" si="322"/>
        <v>0.16180794774037091</v>
      </c>
      <c r="BC564" s="3">
        <f t="shared" ca="1" si="323"/>
        <v>0.70895577992374992</v>
      </c>
      <c r="BD564" s="3">
        <f t="shared" ca="1" si="310"/>
        <v>5.3133701455438033E-2</v>
      </c>
      <c r="BE564" s="3">
        <f t="shared" ca="1" si="317"/>
        <v>0.70895577992374992</v>
      </c>
      <c r="BF564" s="3">
        <f t="shared" ca="1" si="318"/>
        <v>0.70895577992374992</v>
      </c>
    </row>
    <row r="565" spans="1:58" ht="15" x14ac:dyDescent="0.25">
      <c r="A565" s="72">
        <v>499</v>
      </c>
      <c r="B565" s="72">
        <v>1498730382.3900001</v>
      </c>
      <c r="C565" s="73">
        <v>2.4855109973243299E-4</v>
      </c>
      <c r="D565" s="73">
        <v>-7.0156231705106406E-5</v>
      </c>
      <c r="E565" s="73">
        <v>1.2087871071843699E-2</v>
      </c>
      <c r="F565" s="73">
        <v>1.0752560850173199E-3</v>
      </c>
      <c r="G565" s="73">
        <v>0.22261924615205</v>
      </c>
      <c r="H565" s="73">
        <v>-5.8499798181577199E-5</v>
      </c>
      <c r="I565" s="73">
        <v>0.16109539638952999</v>
      </c>
      <c r="J565" s="73">
        <v>1.93267341075765</v>
      </c>
      <c r="K565" s="73"/>
      <c r="L565" s="73"/>
      <c r="M565" s="73"/>
      <c r="N565" s="11"/>
      <c r="O565" s="13">
        <f t="shared" ca="1" si="280"/>
        <v>-1.6136129539128592E-5</v>
      </c>
      <c r="P565" s="13">
        <f t="shared" ca="1" si="281"/>
        <v>-8.1443707089946585E-5</v>
      </c>
      <c r="Q565" s="13">
        <f t="shared" ca="1" si="282"/>
        <v>1.1247131453871014E-2</v>
      </c>
      <c r="R565" s="13">
        <f t="shared" ca="1" si="283"/>
        <v>1.0654798061266388E-3</v>
      </c>
      <c r="S565" s="13">
        <f t="shared" ca="1" si="284"/>
        <v>0.22148416751880864</v>
      </c>
      <c r="T565" s="13">
        <f t="shared" ca="1" si="285"/>
        <v>-5.8849619692601289E-5</v>
      </c>
      <c r="U565" s="13">
        <f t="shared" ca="1" si="286"/>
        <v>0.16044155239474148</v>
      </c>
      <c r="V565" s="13">
        <f t="shared" ca="1" si="287"/>
        <v>1.9255346298351959</v>
      </c>
      <c r="X565" s="3">
        <f t="shared" ca="1" si="288"/>
        <v>-1.6136129539128592E-5</v>
      </c>
      <c r="Y565" s="3">
        <f t="shared" ca="1" si="289"/>
        <v>-8.1443707089946585E-5</v>
      </c>
      <c r="Z565" s="3">
        <f t="shared" ca="1" si="290"/>
        <v>1.1247131453871014E-2</v>
      </c>
      <c r="AA565" s="3">
        <f t="shared" ca="1" si="291"/>
        <v>1.0654798061266388E-3</v>
      </c>
      <c r="AB565" s="3">
        <f t="shared" ca="1" si="292"/>
        <v>0.22148416751880864</v>
      </c>
      <c r="AC565" s="3">
        <f t="shared" ca="1" si="293"/>
        <v>-5.8849619692601289E-5</v>
      </c>
      <c r="AD565" s="3">
        <f t="shared" ca="1" si="294"/>
        <v>0.16044155239474148</v>
      </c>
      <c r="AE565" s="3">
        <f t="shared" ca="1" si="295"/>
        <v>1.9255346298351959</v>
      </c>
      <c r="AG565" s="3">
        <f t="shared" ca="1" si="296"/>
        <v>-1.6136129539128592E-5</v>
      </c>
      <c r="AH565" s="3">
        <f t="shared" ca="1" si="297"/>
        <v>-8.1443707089946585E-5</v>
      </c>
      <c r="AI565" s="3">
        <f t="shared" ca="1" si="298"/>
        <v>1.1247131453871014E-2</v>
      </c>
      <c r="AJ565" s="3">
        <f t="shared" ca="1" si="299"/>
        <v>1.0654798061266388E-3</v>
      </c>
      <c r="AK565" s="3">
        <f t="shared" ca="1" si="300"/>
        <v>0.22148416751880864</v>
      </c>
      <c r="AL565" s="3">
        <f t="shared" ca="1" si="301"/>
        <v>-5.8849619692601289E-5</v>
      </c>
      <c r="AM565" s="3">
        <f t="shared" ca="1" si="302"/>
        <v>0.16044155239474148</v>
      </c>
      <c r="AN565" s="3">
        <f t="shared" ca="1" si="303"/>
        <v>1.9255346298351959</v>
      </c>
      <c r="AP565" s="3">
        <f t="shared" ca="1" si="304"/>
        <v>8.6937800178050093</v>
      </c>
      <c r="AQ565" s="3">
        <f t="shared" ca="1" si="320"/>
        <v>0.40051659904573872</v>
      </c>
      <c r="AR565" s="3">
        <f t="shared" ca="1" si="305"/>
        <v>4.2674234830175444E-4</v>
      </c>
      <c r="AS565" s="3">
        <f t="shared" ca="1" si="306"/>
        <v>0.16001481004643972</v>
      </c>
      <c r="AT565" s="3">
        <f t="shared" ca="1" si="307"/>
        <v>0.70901061750042471</v>
      </c>
      <c r="AU565" s="3">
        <f t="shared" ca="1" si="308"/>
        <v>5.2758086722082494E-2</v>
      </c>
      <c r="AV565" s="10">
        <f t="shared" ca="1" si="312"/>
        <v>0.70901061750042471</v>
      </c>
      <c r="AW565" s="10">
        <f t="shared" ca="1" si="313"/>
        <v>0.70901061750042471</v>
      </c>
      <c r="AX565" s="10"/>
      <c r="AY565" s="3">
        <f t="shared" ca="1" si="319"/>
        <v>8.6937800178050093</v>
      </c>
      <c r="AZ565" s="3">
        <f t="shared" ca="1" si="321"/>
        <v>0.40051659904573872</v>
      </c>
      <c r="BA565" s="3">
        <f t="shared" ca="1" si="309"/>
        <v>4.2674234830175444E-4</v>
      </c>
      <c r="BB565" s="3">
        <f t="shared" ca="1" si="322"/>
        <v>0.16001481004643972</v>
      </c>
      <c r="BC565" s="3">
        <f t="shared" ca="1" si="323"/>
        <v>0.70901061750042471</v>
      </c>
      <c r="BD565" s="3">
        <f t="shared" ca="1" si="310"/>
        <v>5.2758086722082494E-2</v>
      </c>
      <c r="BE565" s="3">
        <f t="shared" ca="1" si="317"/>
        <v>0.70901061750042471</v>
      </c>
      <c r="BF565" s="3">
        <f t="shared" ca="1" si="318"/>
        <v>0.70901061750042471</v>
      </c>
    </row>
    <row r="566" spans="1:58" ht="15" x14ac:dyDescent="0.25">
      <c r="A566" s="72">
        <v>500</v>
      </c>
      <c r="B566" s="72">
        <v>1498730382.9170001</v>
      </c>
      <c r="C566" s="73">
        <v>2.0810926817775401E-4</v>
      </c>
      <c r="D566" s="73">
        <v>-4.2283745047112297E-5</v>
      </c>
      <c r="E566" s="73">
        <v>1.22590695833416E-2</v>
      </c>
      <c r="F566" s="73">
        <v>7.9827779232839497E-4</v>
      </c>
      <c r="G566" s="73">
        <v>0.22487991471437099</v>
      </c>
      <c r="H566" s="73">
        <v>2.8154030279633E-5</v>
      </c>
      <c r="I566" s="73">
        <v>0.16253919776762801</v>
      </c>
      <c r="J566" s="73">
        <v>1.9514972962828301</v>
      </c>
      <c r="K566" s="73"/>
      <c r="L566" s="73"/>
      <c r="M566" s="73"/>
      <c r="N566" s="11"/>
      <c r="O566" s="13">
        <f t="shared" ca="1" si="280"/>
        <v>-5.6577961093807577E-5</v>
      </c>
      <c r="P566" s="13">
        <f t="shared" ca="1" si="281"/>
        <v>-5.3571220431952469E-5</v>
      </c>
      <c r="Q566" s="13">
        <f t="shared" ca="1" si="282"/>
        <v>1.1418329965368915E-2</v>
      </c>
      <c r="R566" s="13">
        <f t="shared" ca="1" si="283"/>
        <v>7.8850151343771383E-4</v>
      </c>
      <c r="S566" s="13">
        <f t="shared" ca="1" si="284"/>
        <v>0.22374483608112963</v>
      </c>
      <c r="T566" s="13">
        <f t="shared" ca="1" si="285"/>
        <v>2.7804208768608914E-5</v>
      </c>
      <c r="U566" s="13">
        <f t="shared" ca="1" si="286"/>
        <v>0.1618853537728395</v>
      </c>
      <c r="V566" s="13">
        <f t="shared" ca="1" si="287"/>
        <v>1.944358515360376</v>
      </c>
      <c r="X566" s="3">
        <f t="shared" ca="1" si="288"/>
        <v>-5.6577961093807577E-5</v>
      </c>
      <c r="Y566" s="3">
        <f t="shared" ca="1" si="289"/>
        <v>-5.3571220431952469E-5</v>
      </c>
      <c r="Z566" s="3">
        <f t="shared" ca="1" si="290"/>
        <v>1.141811724236573E-2</v>
      </c>
      <c r="AA566" s="3">
        <f t="shared" ca="1" si="291"/>
        <v>7.8335264983788822E-4</v>
      </c>
      <c r="AB566" s="3">
        <f t="shared" ca="1" si="292"/>
        <v>0.22370739199795531</v>
      </c>
      <c r="AC566" s="3">
        <f t="shared" ca="1" si="293"/>
        <v>2.7804208768608914E-5</v>
      </c>
      <c r="AD566" s="3">
        <f t="shared" ca="1" si="294"/>
        <v>0.1618300578785456</v>
      </c>
      <c r="AE566" s="3">
        <f t="shared" ca="1" si="295"/>
        <v>1.944336077572824</v>
      </c>
      <c r="AG566" s="3">
        <f t="shared" ca="1" si="296"/>
        <v>-5.6577961093807577E-5</v>
      </c>
      <c r="AH566" s="3">
        <f t="shared" ca="1" si="297"/>
        <v>-5.3571220431952469E-5</v>
      </c>
      <c r="AI566" s="3">
        <f t="shared" ca="1" si="298"/>
        <v>1.141811724236573E-2</v>
      </c>
      <c r="AJ566" s="3">
        <f t="shared" ca="1" si="299"/>
        <v>7.8335264983788822E-4</v>
      </c>
      <c r="AK566" s="3">
        <f t="shared" ca="1" si="300"/>
        <v>0.22370739199795531</v>
      </c>
      <c r="AL566" s="3">
        <f t="shared" ca="1" si="301"/>
        <v>2.7804208768608914E-5</v>
      </c>
      <c r="AM566" s="3">
        <f t="shared" ca="1" si="302"/>
        <v>0.1618300578785456</v>
      </c>
      <c r="AN566" s="3">
        <f t="shared" ca="1" si="303"/>
        <v>1.944336077572824</v>
      </c>
      <c r="AP566" s="3">
        <f t="shared" ca="1" si="304"/>
        <v>8.6900710175735796</v>
      </c>
      <c r="AQ566" s="3">
        <f t="shared" ca="1" si="320"/>
        <v>0.40034365588713422</v>
      </c>
      <c r="AR566" s="3">
        <f t="shared" ca="1" si="305"/>
        <v>3.1567157856219263E-4</v>
      </c>
      <c r="AS566" s="3">
        <f t="shared" ca="1" si="306"/>
        <v>0.16156968219427731</v>
      </c>
      <c r="AT566" s="3">
        <f t="shared" ca="1" si="307"/>
        <v>0.70881911646947071</v>
      </c>
      <c r="AU566" s="3">
        <f t="shared" ca="1" si="308"/>
        <v>5.2996829775112476E-2</v>
      </c>
      <c r="AV566" s="10">
        <f t="shared" ca="1" si="312"/>
        <v>0.70881911646947071</v>
      </c>
      <c r="AW566" s="10">
        <f t="shared" ca="1" si="313"/>
        <v>0.70881911646947071</v>
      </c>
      <c r="AX566" s="10"/>
      <c r="AY566" s="3">
        <f t="shared" ca="1" si="319"/>
        <v>8.6914252596114263</v>
      </c>
      <c r="AZ566" s="3">
        <f t="shared" ca="1" si="321"/>
        <v>0.40040680134308854</v>
      </c>
      <c r="BA566" s="3">
        <f t="shared" ca="1" si="309"/>
        <v>3.136597288452213E-4</v>
      </c>
      <c r="BB566" s="3">
        <f t="shared" ca="1" si="322"/>
        <v>0.16151639814970037</v>
      </c>
      <c r="BC566" s="3">
        <f t="shared" ca="1" si="323"/>
        <v>0.70864834613998551</v>
      </c>
      <c r="BD566" s="3">
        <f t="shared" ca="1" si="310"/>
        <v>5.3013165084568784E-2</v>
      </c>
      <c r="BE566" s="3">
        <f t="shared" ca="1" si="317"/>
        <v>0.70864834613998551</v>
      </c>
      <c r="BF566" s="3">
        <f t="shared" ca="1" si="318"/>
        <v>0.70864834613998551</v>
      </c>
    </row>
    <row r="567" spans="1:58" ht="15" x14ac:dyDescent="0.25">
      <c r="A567" s="72">
        <v>501</v>
      </c>
      <c r="B567" s="72">
        <v>1498730383.444</v>
      </c>
      <c r="C567" s="73">
        <v>2.92563189330076E-4</v>
      </c>
      <c r="D567" s="73">
        <v>3.9684799524682003E-5</v>
      </c>
      <c r="E567" s="73">
        <v>1.1753022211300901E-2</v>
      </c>
      <c r="F567" s="73">
        <v>8.1804240047483E-4</v>
      </c>
      <c r="G567" s="73">
        <v>0.215116041082871</v>
      </c>
      <c r="H567" s="73">
        <v>1.1781071301807501E-5</v>
      </c>
      <c r="I567" s="73">
        <v>0.155485486766097</v>
      </c>
      <c r="J567" s="73">
        <v>1.8677213548193601</v>
      </c>
      <c r="K567" s="73"/>
      <c r="L567" s="73"/>
      <c r="M567" s="73"/>
      <c r="N567" s="11"/>
      <c r="O567" s="13">
        <f t="shared" ca="1" si="280"/>
        <v>2.7875960058514418E-5</v>
      </c>
      <c r="P567" s="13">
        <f t="shared" ca="1" si="281"/>
        <v>2.8397324139841832E-5</v>
      </c>
      <c r="Q567" s="13">
        <f t="shared" ca="1" si="282"/>
        <v>1.0912282593328215E-2</v>
      </c>
      <c r="R567" s="13">
        <f t="shared" ca="1" si="283"/>
        <v>8.0826612158414887E-4</v>
      </c>
      <c r="S567" s="13">
        <f t="shared" ca="1" si="284"/>
        <v>0.21398096244962964</v>
      </c>
      <c r="T567" s="13">
        <f t="shared" ca="1" si="285"/>
        <v>1.1431249790783414E-5</v>
      </c>
      <c r="U567" s="13">
        <f t="shared" ca="1" si="286"/>
        <v>0.15483164277130848</v>
      </c>
      <c r="V567" s="13">
        <f t="shared" ca="1" si="287"/>
        <v>1.860582573896906</v>
      </c>
      <c r="X567" s="3">
        <f t="shared" ca="1" si="288"/>
        <v>2.7875960058514418E-5</v>
      </c>
      <c r="Y567" s="3">
        <f t="shared" ca="1" si="289"/>
        <v>2.8397324139841832E-5</v>
      </c>
      <c r="Z567" s="3">
        <f t="shared" ca="1" si="290"/>
        <v>1.0912195135713223E-2</v>
      </c>
      <c r="AA567" s="3">
        <f t="shared" ca="1" si="291"/>
        <v>8.0614924976671635E-4</v>
      </c>
      <c r="AB567" s="3">
        <f t="shared" ca="1" si="292"/>
        <v>0.21396556792171789</v>
      </c>
      <c r="AC567" s="3">
        <f t="shared" ca="1" si="293"/>
        <v>1.1431249790783414E-5</v>
      </c>
      <c r="AD567" s="3">
        <f t="shared" ca="1" si="294"/>
        <v>0.15480890876059308</v>
      </c>
      <c r="AE567" s="3">
        <f t="shared" ca="1" si="295"/>
        <v>1.8605733489642207</v>
      </c>
      <c r="AG567" s="3">
        <f t="shared" ca="1" si="296"/>
        <v>2.7875960058514418E-5</v>
      </c>
      <c r="AH567" s="3">
        <f t="shared" ca="1" si="297"/>
        <v>2.8397324139841832E-5</v>
      </c>
      <c r="AI567" s="3">
        <f t="shared" ca="1" si="298"/>
        <v>1.0889321241745256E-2</v>
      </c>
      <c r="AJ567" s="3">
        <f t="shared" ca="1" si="299"/>
        <v>7.9351822401241875E-4</v>
      </c>
      <c r="AK567" s="3">
        <f t="shared" ca="1" si="300"/>
        <v>0.21396556792171789</v>
      </c>
      <c r="AL567" s="3">
        <f t="shared" ca="1" si="301"/>
        <v>1.1431249790783414E-5</v>
      </c>
      <c r="AM567" s="3">
        <f t="shared" ca="1" si="302"/>
        <v>0.15480890876059308</v>
      </c>
      <c r="AN567" s="3">
        <f t="shared" ca="1" si="303"/>
        <v>1.8605733489642207</v>
      </c>
      <c r="AP567" s="3">
        <f t="shared" ca="1" si="304"/>
        <v>8.6950846121877809</v>
      </c>
      <c r="AQ567" s="3">
        <f t="shared" ca="1" si="320"/>
        <v>0.40057742984873257</v>
      </c>
      <c r="AR567" s="3">
        <f t="shared" ca="1" si="305"/>
        <v>3.2377316561798153E-4</v>
      </c>
      <c r="AS567" s="3">
        <f t="shared" ca="1" si="306"/>
        <v>0.15450786960569049</v>
      </c>
      <c r="AT567" s="3">
        <f t="shared" ca="1" si="307"/>
        <v>0.70856206299938562</v>
      </c>
      <c r="AU567" s="3">
        <f t="shared" ca="1" si="308"/>
        <v>5.2990388254558873E-2</v>
      </c>
      <c r="AV567" s="10">
        <f t="shared" ca="1" si="312"/>
        <v>0.70856206299938562</v>
      </c>
      <c r="AW567" s="10">
        <f t="shared" ca="1" si="313"/>
        <v>0.70856206299938562</v>
      </c>
      <c r="AX567" s="10"/>
      <c r="AY567" s="3">
        <f t="shared" ca="1" si="319"/>
        <v>8.6956670974506327</v>
      </c>
      <c r="AZ567" s="3">
        <f t="shared" ca="1" si="321"/>
        <v>0.40060459008594934</v>
      </c>
      <c r="BA567" s="3">
        <f t="shared" ca="1" si="309"/>
        <v>3.1788704285622555E-4</v>
      </c>
      <c r="BB567" s="3">
        <f t="shared" ca="1" si="322"/>
        <v>0.15449102171773685</v>
      </c>
      <c r="BC567" s="3">
        <f t="shared" ca="1" si="323"/>
        <v>0.70851187247279768</v>
      </c>
      <c r="BD567" s="3">
        <f t="shared" ca="1" si="310"/>
        <v>5.2886316761912022E-2</v>
      </c>
      <c r="BE567" s="3">
        <f t="shared" ca="1" si="317"/>
        <v>0.70851187247279768</v>
      </c>
      <c r="BF567" s="3">
        <f t="shared" ca="1" si="318"/>
        <v>0.70851187247279768</v>
      </c>
    </row>
    <row r="568" spans="1:58" ht="15" x14ac:dyDescent="0.25">
      <c r="A568" s="72">
        <v>502</v>
      </c>
      <c r="B568" s="72">
        <v>1498730383.971</v>
      </c>
      <c r="C568" s="73">
        <v>2.3118470081679999E-4</v>
      </c>
      <c r="D568" s="73">
        <v>-1.2707980993850699E-4</v>
      </c>
      <c r="E568" s="73">
        <v>1.1975921477126001E-2</v>
      </c>
      <c r="F568" s="73">
        <v>6.3660369237180303E-4</v>
      </c>
      <c r="G568" s="73">
        <v>0.22003488926543499</v>
      </c>
      <c r="H568" s="73">
        <v>-7.8941799997209105E-5</v>
      </c>
      <c r="I568" s="73">
        <v>0.15913073259455601</v>
      </c>
      <c r="J568" s="73">
        <v>1.9092003842981899</v>
      </c>
      <c r="K568" s="73"/>
      <c r="L568" s="73"/>
      <c r="M568" s="73"/>
      <c r="N568" s="19"/>
      <c r="O568" s="13">
        <f t="shared" ca="1" si="280"/>
        <v>-3.3502528454761591E-5</v>
      </c>
      <c r="P568" s="13">
        <f t="shared" ca="1" si="281"/>
        <v>-1.3836728532334717E-4</v>
      </c>
      <c r="Q568" s="13">
        <f t="shared" ca="1" si="282"/>
        <v>1.1135181859153315E-2</v>
      </c>
      <c r="R568" s="13">
        <f t="shared" ca="1" si="283"/>
        <v>6.2682741348112189E-4</v>
      </c>
      <c r="S568" s="13">
        <f t="shared" ca="1" si="284"/>
        <v>0.21889981063219363</v>
      </c>
      <c r="T568" s="13">
        <f t="shared" ca="1" si="285"/>
        <v>-7.9291621508233195E-5</v>
      </c>
      <c r="U568" s="13">
        <f t="shared" ca="1" si="286"/>
        <v>0.1584768885997675</v>
      </c>
      <c r="V568" s="13">
        <f t="shared" ca="1" si="287"/>
        <v>1.9020616033757358</v>
      </c>
      <c r="X568" s="3">
        <f t="shared" ca="1" si="288"/>
        <v>-3.3502528454761591E-5</v>
      </c>
      <c r="Y568" s="3">
        <f t="shared" ca="1" si="289"/>
        <v>-1.3836728532334717E-4</v>
      </c>
      <c r="Z568" s="3">
        <f t="shared" ca="1" si="290"/>
        <v>1.1135181859153315E-2</v>
      </c>
      <c r="AA568" s="3">
        <f t="shared" ca="1" si="291"/>
        <v>6.2682741348112189E-4</v>
      </c>
      <c r="AB568" s="3">
        <f t="shared" ca="1" si="292"/>
        <v>0.21889981063219363</v>
      </c>
      <c r="AC568" s="3">
        <f t="shared" ca="1" si="293"/>
        <v>-7.9291621508233195E-5</v>
      </c>
      <c r="AD568" s="3">
        <f t="shared" ca="1" si="294"/>
        <v>0.1584768885997675</v>
      </c>
      <c r="AE568" s="3">
        <f t="shared" ca="1" si="295"/>
        <v>1.9020616033757358</v>
      </c>
      <c r="AG568" s="3">
        <f t="shared" ca="1" si="296"/>
        <v>-3.3502528454761591E-5</v>
      </c>
      <c r="AH568" s="3">
        <f t="shared" ca="1" si="297"/>
        <v>-1.3836728532334717E-4</v>
      </c>
      <c r="AI568" s="3">
        <f t="shared" ca="1" si="298"/>
        <v>1.1135181859153315E-2</v>
      </c>
      <c r="AJ568" s="3">
        <f t="shared" ca="1" si="299"/>
        <v>6.2682741348112189E-4</v>
      </c>
      <c r="AK568" s="3">
        <f t="shared" ca="1" si="300"/>
        <v>0.21889981063219363</v>
      </c>
      <c r="AL568" s="3">
        <f t="shared" ca="1" si="301"/>
        <v>-7.9291621508233195E-5</v>
      </c>
      <c r="AM568" s="3">
        <f t="shared" ca="1" si="302"/>
        <v>0.1584768885997675</v>
      </c>
      <c r="AN568" s="3">
        <f t="shared" ca="1" si="303"/>
        <v>1.9020616033757358</v>
      </c>
      <c r="AP568" s="3">
        <f t="shared" ca="1" si="304"/>
        <v>8.6891879800283363</v>
      </c>
      <c r="AQ568" s="3">
        <f t="shared" ca="1" si="320"/>
        <v>0.40030248176921052</v>
      </c>
      <c r="AR568" s="3">
        <f t="shared" ca="1" si="305"/>
        <v>2.5092056925746817E-4</v>
      </c>
      <c r="AS568" s="3">
        <f t="shared" ca="1" si="306"/>
        <v>0.15822596803051003</v>
      </c>
      <c r="AT568" s="3">
        <f t="shared" ca="1" si="307"/>
        <v>0.70955027439681184</v>
      </c>
      <c r="AU568" s="3">
        <f t="shared" ca="1" si="308"/>
        <v>5.2821057591934902E-2</v>
      </c>
      <c r="AV568" s="10" t="str">
        <f t="shared" ca="1" si="312"/>
        <v>rejected</v>
      </c>
      <c r="AW568" s="10" t="e">
        <f t="shared" ca="1" si="313"/>
        <v>#N/A</v>
      </c>
      <c r="AX568" s="10"/>
      <c r="AY568" s="3">
        <f t="shared" ca="1" si="319"/>
        <v>8.6891879800283363</v>
      </c>
      <c r="AZ568" s="3">
        <f t="shared" ca="1" si="321"/>
        <v>0.40030248176921052</v>
      </c>
      <c r="BA568" s="3">
        <f t="shared" ca="1" si="309"/>
        <v>2.5092056925746817E-4</v>
      </c>
      <c r="BB568" s="3">
        <f t="shared" ca="1" si="322"/>
        <v>0.15822596803051003</v>
      </c>
      <c r="BC568" s="3">
        <f t="shared" ca="1" si="323"/>
        <v>0.70955027439681184</v>
      </c>
      <c r="BD568" s="3">
        <f t="shared" ca="1" si="310"/>
        <v>5.2821057591934902E-2</v>
      </c>
      <c r="BE568" s="3" t="str">
        <f t="shared" ca="1" si="317"/>
        <v>rejected</v>
      </c>
      <c r="BF568" s="3" t="e">
        <f t="shared" ca="1" si="318"/>
        <v>#N/A</v>
      </c>
    </row>
    <row r="569" spans="1:58" ht="15" x14ac:dyDescent="0.25">
      <c r="A569" s="72">
        <v>503</v>
      </c>
      <c r="B569" s="72">
        <v>1498730384.4979999</v>
      </c>
      <c r="C569" s="73">
        <v>2.7543392929406201E-4</v>
      </c>
      <c r="D569" s="73">
        <v>-6.23614626120388E-5</v>
      </c>
      <c r="E569" s="73">
        <v>1.16086212763614E-2</v>
      </c>
      <c r="F569" s="73">
        <v>7.5541613017000896E-4</v>
      </c>
      <c r="G569" s="73">
        <v>0.212536569214508</v>
      </c>
      <c r="H569" s="73">
        <v>6.3240188635761504E-6</v>
      </c>
      <c r="I569" s="73">
        <v>0.15381420133670301</v>
      </c>
      <c r="J569" s="73">
        <v>1.8466894707218</v>
      </c>
      <c r="K569" s="73"/>
      <c r="L569" s="73"/>
      <c r="M569" s="73"/>
      <c r="N569" s="19"/>
      <c r="O569" s="13">
        <f t="shared" ca="1" si="280"/>
        <v>1.0746700022500424E-5</v>
      </c>
      <c r="P569" s="13">
        <f t="shared" ca="1" si="281"/>
        <v>-7.3648937996878978E-5</v>
      </c>
      <c r="Q569" s="13">
        <f t="shared" ca="1" si="282"/>
        <v>1.0767881658388715E-2</v>
      </c>
      <c r="R569" s="13">
        <f t="shared" ca="1" si="283"/>
        <v>7.4563985127932783E-4</v>
      </c>
      <c r="S569" s="13">
        <f t="shared" ca="1" si="284"/>
        <v>0.21140149058126664</v>
      </c>
      <c r="T569" s="13">
        <f t="shared" ca="1" si="285"/>
        <v>5.9741973525520639E-6</v>
      </c>
      <c r="U569" s="13">
        <f t="shared" ca="1" si="286"/>
        <v>0.15316035734191449</v>
      </c>
      <c r="V569" s="13">
        <f t="shared" ca="1" si="287"/>
        <v>1.8395506897993459</v>
      </c>
      <c r="X569" s="3">
        <f t="shared" ca="1" si="288"/>
        <v>1.0746700022500424E-5</v>
      </c>
      <c r="Y569" s="3">
        <f t="shared" ca="1" si="289"/>
        <v>-7.3648937996878978E-5</v>
      </c>
      <c r="Z569" s="3">
        <f t="shared" ca="1" si="290"/>
        <v>1.076783595130843E-2</v>
      </c>
      <c r="AA569" s="3">
        <f t="shared" ca="1" si="291"/>
        <v>7.4453353217696734E-4</v>
      </c>
      <c r="AB569" s="3">
        <f t="shared" ca="1" si="292"/>
        <v>0.21139344509633914</v>
      </c>
      <c r="AC569" s="3">
        <f t="shared" ca="1" si="293"/>
        <v>5.9741973525520639E-6</v>
      </c>
      <c r="AD569" s="3">
        <f t="shared" ca="1" si="294"/>
        <v>0.1531484760980335</v>
      </c>
      <c r="AE569" s="3">
        <f t="shared" ca="1" si="295"/>
        <v>1.8395458686669732</v>
      </c>
      <c r="AG569" s="3">
        <f t="shared" ca="1" si="296"/>
        <v>1.0746700022500424E-5</v>
      </c>
      <c r="AH569" s="3">
        <f t="shared" ca="1" si="297"/>
        <v>-7.3648937996878978E-5</v>
      </c>
      <c r="AI569" s="3">
        <f t="shared" ca="1" si="298"/>
        <v>1.076783595130843E-2</v>
      </c>
      <c r="AJ569" s="3">
        <f t="shared" ca="1" si="299"/>
        <v>7.4453353217696734E-4</v>
      </c>
      <c r="AK569" s="3">
        <f t="shared" ca="1" si="300"/>
        <v>0.21139344509633914</v>
      </c>
      <c r="AL569" s="3">
        <f t="shared" ca="1" si="301"/>
        <v>5.9741973525520639E-6</v>
      </c>
      <c r="AM569" s="3">
        <f t="shared" ca="1" si="302"/>
        <v>0.1531484760980335</v>
      </c>
      <c r="AN569" s="3">
        <f t="shared" ca="1" si="303"/>
        <v>1.8395458686669732</v>
      </c>
      <c r="AP569" s="3">
        <f t="shared" ca="1" si="304"/>
        <v>8.7016921438980521</v>
      </c>
      <c r="AQ569" s="3">
        <f t="shared" ca="1" si="320"/>
        <v>0.40088552842914105</v>
      </c>
      <c r="AR569" s="3">
        <f t="shared" ca="1" si="305"/>
        <v>2.9891622579793946E-4</v>
      </c>
      <c r="AS569" s="3">
        <f t="shared" ca="1" si="306"/>
        <v>0.15286144111611655</v>
      </c>
      <c r="AT569" s="3">
        <f t="shared" ca="1" si="307"/>
        <v>0.70929385343199858</v>
      </c>
      <c r="AU569" s="3">
        <f t="shared" ca="1" si="308"/>
        <v>5.2968348808711783E-2</v>
      </c>
      <c r="AV569" s="10">
        <f t="shared" ca="1" si="312"/>
        <v>0.70929385343199858</v>
      </c>
      <c r="AW569" s="10">
        <f t="shared" ca="1" si="313"/>
        <v>0.70929385343199858</v>
      </c>
      <c r="AX569" s="10"/>
      <c r="AY569" s="3">
        <f t="shared" ca="1" si="319"/>
        <v>8.7020005177011512</v>
      </c>
      <c r="AZ569" s="3">
        <f t="shared" ca="1" si="321"/>
        <v>0.40089990747311366</v>
      </c>
      <c r="BA569" s="3">
        <f t="shared" ca="1" si="309"/>
        <v>2.9848342416037668E-4</v>
      </c>
      <c r="BB569" s="3">
        <f t="shared" ca="1" si="322"/>
        <v>0.15284999267387311</v>
      </c>
      <c r="BC569" s="3">
        <f t="shared" ca="1" si="323"/>
        <v>0.70925506697662355</v>
      </c>
      <c r="BD569" s="3">
        <f t="shared" ca="1" si="310"/>
        <v>5.2972060721587499E-2</v>
      </c>
      <c r="BE569" s="3">
        <f t="shared" ca="1" si="317"/>
        <v>0.70925506697662355</v>
      </c>
      <c r="BF569" s="3">
        <f t="shared" ca="1" si="318"/>
        <v>0.70925506697662355</v>
      </c>
    </row>
    <row r="570" spans="1:58" ht="15" x14ac:dyDescent="0.25">
      <c r="A570" s="72">
        <v>504</v>
      </c>
      <c r="B570" s="72">
        <v>1498730385.0250001</v>
      </c>
      <c r="C570" s="73">
        <v>2.1286704570099699E-4</v>
      </c>
      <c r="D570" s="73">
        <v>1.3463577440161901E-5</v>
      </c>
      <c r="E570" s="73">
        <v>1.17205302024434E-2</v>
      </c>
      <c r="F570" s="73">
        <v>9.4806993142873195E-4</v>
      </c>
      <c r="G570" s="73">
        <v>0.21565691754689501</v>
      </c>
      <c r="H570" s="73">
        <v>-1.97286769439236E-5</v>
      </c>
      <c r="I570" s="73">
        <v>0.15582431107846101</v>
      </c>
      <c r="J570" s="73">
        <v>1.8700198718837</v>
      </c>
      <c r="K570" s="73"/>
      <c r="L570" s="73"/>
      <c r="M570" s="73"/>
      <c r="N570" s="19"/>
      <c r="O570" s="13">
        <f t="shared" ca="1" si="280"/>
        <v>-5.1820183570564594E-5</v>
      </c>
      <c r="P570" s="13">
        <f t="shared" ca="1" si="281"/>
        <v>2.1761020553217274E-6</v>
      </c>
      <c r="Q570" s="13">
        <f t="shared" ca="1" si="282"/>
        <v>1.0879790584470715E-2</v>
      </c>
      <c r="R570" s="13">
        <f t="shared" ca="1" si="283"/>
        <v>9.3829365253805081E-4</v>
      </c>
      <c r="S570" s="13">
        <f t="shared" ca="1" si="284"/>
        <v>0.21452183891365365</v>
      </c>
      <c r="T570" s="13">
        <f t="shared" ca="1" si="285"/>
        <v>-2.0078498454947687E-5</v>
      </c>
      <c r="U570" s="13">
        <f t="shared" ca="1" si="286"/>
        <v>0.15517046708367249</v>
      </c>
      <c r="V570" s="13">
        <f t="shared" ca="1" si="287"/>
        <v>1.8628810909612459</v>
      </c>
      <c r="X570" s="3">
        <f t="shared" ca="1" si="288"/>
        <v>-5.1820183570564594E-5</v>
      </c>
      <c r="Y570" s="3">
        <f t="shared" ca="1" si="289"/>
        <v>2.1761020553217274E-6</v>
      </c>
      <c r="Z570" s="3">
        <f t="shared" ca="1" si="290"/>
        <v>1.0879790584470715E-2</v>
      </c>
      <c r="AA570" s="3">
        <f t="shared" ca="1" si="291"/>
        <v>9.3829365253805081E-4</v>
      </c>
      <c r="AB570" s="3">
        <f t="shared" ca="1" si="292"/>
        <v>0.21452183891365365</v>
      </c>
      <c r="AC570" s="3">
        <f t="shared" ca="1" si="293"/>
        <v>-2.0078498454947687E-5</v>
      </c>
      <c r="AD570" s="3">
        <f t="shared" ca="1" si="294"/>
        <v>0.15517046708367249</v>
      </c>
      <c r="AE570" s="3">
        <f t="shared" ca="1" si="295"/>
        <v>1.8628810909612459</v>
      </c>
      <c r="AG570" s="3">
        <f t="shared" ca="1" si="296"/>
        <v>-5.1820183570564594E-5</v>
      </c>
      <c r="AH570" s="3">
        <f t="shared" ca="1" si="297"/>
        <v>2.1761020553217274E-6</v>
      </c>
      <c r="AI570" s="3">
        <f t="shared" ca="1" si="298"/>
        <v>1.0878037745807756E-2</v>
      </c>
      <c r="AJ570" s="3">
        <f t="shared" ca="1" si="299"/>
        <v>9.3732573031518954E-4</v>
      </c>
      <c r="AK570" s="3">
        <f t="shared" ca="1" si="300"/>
        <v>0.21452183891365365</v>
      </c>
      <c r="AL570" s="3">
        <f t="shared" ca="1" si="301"/>
        <v>-2.0078498454947687E-5</v>
      </c>
      <c r="AM570" s="3">
        <f t="shared" ca="1" si="302"/>
        <v>0.15517046708367249</v>
      </c>
      <c r="AN570" s="3">
        <f t="shared" ca="1" si="303"/>
        <v>1.8628810909612459</v>
      </c>
      <c r="AP570" s="3">
        <f t="shared" ca="1" si="304"/>
        <v>8.6838761983159536</v>
      </c>
      <c r="AQ570" s="3">
        <f t="shared" ca="1" si="320"/>
        <v>0.40005480602536042</v>
      </c>
      <c r="AR570" s="3">
        <f t="shared" ca="1" si="305"/>
        <v>3.7536888516093685E-4</v>
      </c>
      <c r="AS570" s="3">
        <f t="shared" ca="1" si="306"/>
        <v>0.15479509819851156</v>
      </c>
      <c r="AT570" s="3">
        <f t="shared" ca="1" si="307"/>
        <v>0.70854955350447546</v>
      </c>
      <c r="AU570" s="3">
        <f t="shared" ca="1" si="308"/>
        <v>5.262988789185577E-2</v>
      </c>
      <c r="AV570" s="10">
        <f t="shared" ca="1" si="312"/>
        <v>0.70854955350447546</v>
      </c>
      <c r="AW570" s="10">
        <f t="shared" ca="1" si="313"/>
        <v>0.70854955350447546</v>
      </c>
      <c r="AX570" s="10"/>
      <c r="AY570" s="3">
        <f t="shared" ca="1" si="319"/>
        <v>8.6838761983159536</v>
      </c>
      <c r="AZ570" s="3">
        <f t="shared" ca="1" si="321"/>
        <v>0.40005480602536042</v>
      </c>
      <c r="BA570" s="3">
        <f t="shared" ca="1" si="309"/>
        <v>3.7498166322382247E-4</v>
      </c>
      <c r="BB570" s="3">
        <f t="shared" ca="1" si="322"/>
        <v>0.15479548542044866</v>
      </c>
      <c r="BC570" s="3">
        <f t="shared" ca="1" si="323"/>
        <v>0.70855132595033343</v>
      </c>
      <c r="BD570" s="3">
        <f t="shared" ca="1" si="310"/>
        <v>5.2621408711892907E-2</v>
      </c>
      <c r="BE570" s="3">
        <f t="shared" ca="1" si="317"/>
        <v>0.70855132595033343</v>
      </c>
      <c r="BF570" s="3">
        <f t="shared" ca="1" si="318"/>
        <v>0.70855132595033343</v>
      </c>
    </row>
    <row r="571" spans="1:58" ht="15" x14ac:dyDescent="0.25">
      <c r="A571" s="72">
        <v>505</v>
      </c>
      <c r="B571" s="72">
        <v>1498730385.552</v>
      </c>
      <c r="C571" s="73">
        <v>1.6814483195822601E-4</v>
      </c>
      <c r="D571" s="73">
        <v>-1.3938040294217699E-5</v>
      </c>
      <c r="E571" s="73">
        <v>1.14885435419553E-2</v>
      </c>
      <c r="F571" s="73">
        <v>8.11612906721663E-4</v>
      </c>
      <c r="G571" s="73">
        <v>0.21126528866417399</v>
      </c>
      <c r="H571" s="73">
        <v>-1.36117503217378E-5</v>
      </c>
      <c r="I571" s="73">
        <v>0.15276569460671199</v>
      </c>
      <c r="J571" s="73">
        <v>1.8339628361905</v>
      </c>
      <c r="K571" s="73"/>
      <c r="L571" s="73"/>
      <c r="M571" s="73"/>
      <c r="N571" s="19"/>
      <c r="O571" s="13">
        <f t="shared" ca="1" si="280"/>
        <v>-9.6542397313335577E-5</v>
      </c>
      <c r="P571" s="13">
        <f t="shared" ca="1" si="281"/>
        <v>-2.5225515679057873E-5</v>
      </c>
      <c r="Q571" s="13">
        <f t="shared" ca="1" si="282"/>
        <v>1.0647803923982615E-2</v>
      </c>
      <c r="R571" s="13">
        <f t="shared" ca="1" si="283"/>
        <v>8.0183662783098186E-4</v>
      </c>
      <c r="S571" s="13">
        <f t="shared" ca="1" si="284"/>
        <v>0.21013021003093263</v>
      </c>
      <c r="T571" s="13">
        <f t="shared" ca="1" si="285"/>
        <v>-1.3961571832761886E-5</v>
      </c>
      <c r="U571" s="13">
        <f t="shared" ca="1" si="286"/>
        <v>0.15211185061192348</v>
      </c>
      <c r="V571" s="13">
        <f t="shared" ca="1" si="287"/>
        <v>1.8268240552680459</v>
      </c>
      <c r="X571" s="3">
        <f t="shared" ca="1" si="288"/>
        <v>-9.6542397313335577E-5</v>
      </c>
      <c r="Y571" s="3">
        <f t="shared" ca="1" si="289"/>
        <v>-2.5225515679057873E-5</v>
      </c>
      <c r="Z571" s="3">
        <f t="shared" ca="1" si="290"/>
        <v>1.0647803923982615E-2</v>
      </c>
      <c r="AA571" s="3">
        <f t="shared" ca="1" si="291"/>
        <v>8.0183662783098186E-4</v>
      </c>
      <c r="AB571" s="3">
        <f t="shared" ca="1" si="292"/>
        <v>0.21013021003093263</v>
      </c>
      <c r="AC571" s="3">
        <f t="shared" ca="1" si="293"/>
        <v>-1.3961571832761886E-5</v>
      </c>
      <c r="AD571" s="3">
        <f t="shared" ca="1" si="294"/>
        <v>0.15211185061192348</v>
      </c>
      <c r="AE571" s="3">
        <f t="shared" ca="1" si="295"/>
        <v>1.8268240552680459</v>
      </c>
      <c r="AG571" s="3">
        <f t="shared" ca="1" si="296"/>
        <v>-9.6542397313335577E-5</v>
      </c>
      <c r="AH571" s="3">
        <f t="shared" ca="1" si="297"/>
        <v>-2.5225515679057873E-5</v>
      </c>
      <c r="AI571" s="3">
        <f t="shared" ca="1" si="298"/>
        <v>1.0647803923982615E-2</v>
      </c>
      <c r="AJ571" s="3">
        <f t="shared" ca="1" si="299"/>
        <v>8.0183662783098186E-4</v>
      </c>
      <c r="AK571" s="3">
        <f t="shared" ca="1" si="300"/>
        <v>0.21013021003093263</v>
      </c>
      <c r="AL571" s="3">
        <f t="shared" ca="1" si="301"/>
        <v>-1.3961571832761886E-5</v>
      </c>
      <c r="AM571" s="3">
        <f t="shared" ca="1" si="302"/>
        <v>0.15211185061192348</v>
      </c>
      <c r="AN571" s="3">
        <f t="shared" ca="1" si="303"/>
        <v>1.8268240552680459</v>
      </c>
      <c r="AP571" s="3">
        <f t="shared" ca="1" si="304"/>
        <v>8.6937716142725243</v>
      </c>
      <c r="AQ571" s="3">
        <f t="shared" ca="1" si="320"/>
        <v>0.40051620720505038</v>
      </c>
      <c r="AR571" s="3">
        <f t="shared" ca="1" si="305"/>
        <v>3.2114856497695237E-4</v>
      </c>
      <c r="AS571" s="3">
        <f t="shared" ca="1" si="306"/>
        <v>0.15179070204694653</v>
      </c>
      <c r="AT571" s="3">
        <f t="shared" ca="1" si="307"/>
        <v>0.70891167978497294</v>
      </c>
      <c r="AU571" s="3">
        <f t="shared" ca="1" si="308"/>
        <v>5.2645478094375101E-2</v>
      </c>
      <c r="AV571" s="10">
        <f t="shared" ca="1" si="312"/>
        <v>0.70891167978497294</v>
      </c>
      <c r="AW571" s="10">
        <f t="shared" ca="1" si="313"/>
        <v>0.70891167978497294</v>
      </c>
      <c r="AX571" s="10"/>
      <c r="AY571" s="3">
        <f t="shared" ca="1" si="319"/>
        <v>8.6937716142725243</v>
      </c>
      <c r="AZ571" s="3">
        <f t="shared" ca="1" si="321"/>
        <v>0.40051620720505038</v>
      </c>
      <c r="BA571" s="3">
        <f t="shared" ca="1" si="309"/>
        <v>3.2114856497695237E-4</v>
      </c>
      <c r="BB571" s="3">
        <f t="shared" ca="1" si="322"/>
        <v>0.15179070204694653</v>
      </c>
      <c r="BC571" s="3">
        <f t="shared" ca="1" si="323"/>
        <v>0.70891167978497294</v>
      </c>
      <c r="BD571" s="3">
        <f t="shared" ca="1" si="310"/>
        <v>5.2645478094375101E-2</v>
      </c>
      <c r="BE571" s="3">
        <f t="shared" ca="1" si="317"/>
        <v>0.70891167978497294</v>
      </c>
      <c r="BF571" s="3">
        <f t="shared" ca="1" si="318"/>
        <v>0.70891167978497294</v>
      </c>
    </row>
    <row r="572" spans="1:58" ht="15" x14ac:dyDescent="0.25">
      <c r="A572" s="72">
        <v>506</v>
      </c>
      <c r="B572" s="72">
        <v>1498730386.0780001</v>
      </c>
      <c r="C572" s="73">
        <v>1.9431184155559601E-4</v>
      </c>
      <c r="D572" s="73">
        <v>-4.0866479042870501E-5</v>
      </c>
      <c r="E572" s="73">
        <v>1.1441863864661899E-2</v>
      </c>
      <c r="F572" s="73">
        <v>6.1874733303447598E-4</v>
      </c>
      <c r="G572" s="73">
        <v>0.208641446307852</v>
      </c>
      <c r="H572" s="73">
        <v>-7.8068498117805004E-5</v>
      </c>
      <c r="I572" s="73">
        <v>0.150667817804985</v>
      </c>
      <c r="J572" s="73">
        <v>1.8098983065498999</v>
      </c>
      <c r="K572" s="73"/>
      <c r="L572" s="73"/>
      <c r="M572" s="73"/>
      <c r="N572" s="19"/>
      <c r="O572" s="13">
        <f t="shared" ca="1" si="280"/>
        <v>-7.0375387715965578E-5</v>
      </c>
      <c r="P572" s="13">
        <f t="shared" ca="1" si="281"/>
        <v>-5.2153954427710672E-5</v>
      </c>
      <c r="Q572" s="13">
        <f t="shared" ca="1" si="282"/>
        <v>1.0601124246689214E-2</v>
      </c>
      <c r="R572" s="13">
        <f t="shared" ca="1" si="283"/>
        <v>6.0897105414379484E-4</v>
      </c>
      <c r="S572" s="13">
        <f t="shared" ca="1" si="284"/>
        <v>0.20750636767461064</v>
      </c>
      <c r="T572" s="13">
        <f t="shared" ca="1" si="285"/>
        <v>-7.8418319628829094E-5</v>
      </c>
      <c r="U572" s="13">
        <f t="shared" ca="1" si="286"/>
        <v>0.15001397381019649</v>
      </c>
      <c r="V572" s="13">
        <f t="shared" ca="1" si="287"/>
        <v>1.8027595256274458</v>
      </c>
      <c r="X572" s="3">
        <f t="shared" ca="1" si="288"/>
        <v>-7.0375387715965578E-5</v>
      </c>
      <c r="Y572" s="3">
        <f t="shared" ca="1" si="289"/>
        <v>-5.2153954427710672E-5</v>
      </c>
      <c r="Z572" s="3">
        <f t="shared" ca="1" si="290"/>
        <v>1.0601124246689214E-2</v>
      </c>
      <c r="AA572" s="3">
        <f t="shared" ca="1" si="291"/>
        <v>6.0897105414379484E-4</v>
      </c>
      <c r="AB572" s="3">
        <f t="shared" ca="1" si="292"/>
        <v>0.20750636767461064</v>
      </c>
      <c r="AC572" s="3">
        <f t="shared" ca="1" si="293"/>
        <v>-7.8418319628829094E-5</v>
      </c>
      <c r="AD572" s="3">
        <f t="shared" ca="1" si="294"/>
        <v>0.15001397381019649</v>
      </c>
      <c r="AE572" s="3">
        <f t="shared" ca="1" si="295"/>
        <v>1.8027595256274458</v>
      </c>
      <c r="AG572" s="3">
        <f t="shared" ca="1" si="296"/>
        <v>-7.0375387715965578E-5</v>
      </c>
      <c r="AH572" s="3">
        <f t="shared" ca="1" si="297"/>
        <v>-5.2153954427710672E-5</v>
      </c>
      <c r="AI572" s="3">
        <f t="shared" ca="1" si="298"/>
        <v>1.0601124246689214E-2</v>
      </c>
      <c r="AJ572" s="3">
        <f t="shared" ca="1" si="299"/>
        <v>6.0897105414379484E-4</v>
      </c>
      <c r="AK572" s="3">
        <f t="shared" ca="1" si="300"/>
        <v>0.20750636767461064</v>
      </c>
      <c r="AL572" s="3">
        <f t="shared" ca="1" si="301"/>
        <v>-7.8418319628829094E-5</v>
      </c>
      <c r="AM572" s="3">
        <f t="shared" ca="1" si="302"/>
        <v>0.15001397381019649</v>
      </c>
      <c r="AN572" s="3">
        <f t="shared" ca="1" si="303"/>
        <v>1.8027595256274458</v>
      </c>
      <c r="AP572" s="3">
        <f t="shared" ca="1" si="304"/>
        <v>8.6877311083500874</v>
      </c>
      <c r="AQ572" s="3">
        <f t="shared" ca="1" si="320"/>
        <v>0.40023455112612522</v>
      </c>
      <c r="AR572" s="3">
        <f t="shared" ca="1" si="305"/>
        <v>2.4373125650404502E-4</v>
      </c>
      <c r="AS572" s="3">
        <f t="shared" ca="1" si="306"/>
        <v>0.14977024255369245</v>
      </c>
      <c r="AT572" s="3">
        <f t="shared" ca="1" si="307"/>
        <v>0.70856806412831996</v>
      </c>
      <c r="AU572" s="3">
        <f t="shared" ca="1" si="308"/>
        <v>5.3039710517612366E-2</v>
      </c>
      <c r="AV572" s="10">
        <f t="shared" ca="1" si="312"/>
        <v>0.70856806412831996</v>
      </c>
      <c r="AW572" s="10">
        <f t="shared" ca="1" si="313"/>
        <v>0.70856806412831996</v>
      </c>
      <c r="AX572" s="10"/>
      <c r="AY572" s="3">
        <f t="shared" ca="1" si="319"/>
        <v>8.6877311083500874</v>
      </c>
      <c r="AZ572" s="3">
        <f t="shared" ca="1" si="321"/>
        <v>0.40023455112612522</v>
      </c>
      <c r="BA572" s="3">
        <f t="shared" ca="1" si="309"/>
        <v>2.4373125650404502E-4</v>
      </c>
      <c r="BB572" s="3">
        <f t="shared" ca="1" si="322"/>
        <v>0.14977024255369245</v>
      </c>
      <c r="BC572" s="3">
        <f t="shared" ca="1" si="323"/>
        <v>0.70856806412831996</v>
      </c>
      <c r="BD572" s="3">
        <f t="shared" ca="1" si="310"/>
        <v>5.3039710517612366E-2</v>
      </c>
      <c r="BE572" s="3">
        <f t="shared" ca="1" si="317"/>
        <v>0.70856806412831996</v>
      </c>
      <c r="BF572" s="3">
        <f t="shared" ca="1" si="318"/>
        <v>0.70856806412831996</v>
      </c>
    </row>
    <row r="573" spans="1:58" ht="15" x14ac:dyDescent="0.25">
      <c r="A573" s="72">
        <v>507</v>
      </c>
      <c r="B573" s="72">
        <v>1498730386.6059999</v>
      </c>
      <c r="C573" s="73">
        <v>2.8447433547538402E-4</v>
      </c>
      <c r="D573" s="73">
        <v>2.78733524546623E-5</v>
      </c>
      <c r="E573" s="73">
        <v>1.1704404926554101E-2</v>
      </c>
      <c r="F573" s="73">
        <v>7.8708595870389804E-4</v>
      </c>
      <c r="G573" s="73">
        <v>0.21259503108012301</v>
      </c>
      <c r="H573" s="73">
        <v>-1.3021293421581301E-5</v>
      </c>
      <c r="I573" s="73">
        <v>0.1536294875956</v>
      </c>
      <c r="J573" s="73">
        <v>1.8445663439283499</v>
      </c>
      <c r="K573" s="73"/>
      <c r="L573" s="73"/>
      <c r="M573" s="73"/>
      <c r="N573" s="11"/>
      <c r="O573" s="13">
        <f t="shared" ca="1" si="280"/>
        <v>1.9787106203822435E-5</v>
      </c>
      <c r="P573" s="13">
        <f t="shared" ca="1" si="281"/>
        <v>1.6585877069822129E-5</v>
      </c>
      <c r="Q573" s="13">
        <f t="shared" ca="1" si="282"/>
        <v>1.0863665308581415E-2</v>
      </c>
      <c r="R573" s="13">
        <f t="shared" ca="1" si="283"/>
        <v>7.773096798132169E-4</v>
      </c>
      <c r="S573" s="13">
        <f t="shared" ca="1" si="284"/>
        <v>0.21145995244688165</v>
      </c>
      <c r="T573" s="13">
        <f t="shared" ca="1" si="285"/>
        <v>-1.3371114932605387E-5</v>
      </c>
      <c r="U573" s="13">
        <f t="shared" ca="1" si="286"/>
        <v>0.15297564360081148</v>
      </c>
      <c r="V573" s="13">
        <f t="shared" ca="1" si="287"/>
        <v>1.8374275630058958</v>
      </c>
      <c r="X573" s="3">
        <f t="shared" ca="1" si="288"/>
        <v>1.9787106203822435E-5</v>
      </c>
      <c r="Y573" s="3">
        <f t="shared" ca="1" si="289"/>
        <v>1.6585877069822129E-5</v>
      </c>
      <c r="Z573" s="3">
        <f t="shared" ca="1" si="290"/>
        <v>1.0863665308581415E-2</v>
      </c>
      <c r="AA573" s="3">
        <f t="shared" ca="1" si="291"/>
        <v>7.773096798132169E-4</v>
      </c>
      <c r="AB573" s="3">
        <f t="shared" ca="1" si="292"/>
        <v>0.21145995244688165</v>
      </c>
      <c r="AC573" s="3">
        <f t="shared" ca="1" si="293"/>
        <v>-1.3371114932605387E-5</v>
      </c>
      <c r="AD573" s="3">
        <f t="shared" ca="1" si="294"/>
        <v>0.15297564360081148</v>
      </c>
      <c r="AE573" s="3">
        <f t="shared" ca="1" si="295"/>
        <v>1.8374275630058958</v>
      </c>
      <c r="AG573" s="3">
        <f t="shared" ca="1" si="296"/>
        <v>1.9787106203822435E-5</v>
      </c>
      <c r="AH573" s="3">
        <f t="shared" ca="1" si="297"/>
        <v>1.6585877069822129E-5</v>
      </c>
      <c r="AI573" s="3">
        <f t="shared" ca="1" si="298"/>
        <v>1.0850305472577411E-2</v>
      </c>
      <c r="AJ573" s="3">
        <f t="shared" ca="1" si="299"/>
        <v>7.6993234244879217E-4</v>
      </c>
      <c r="AK573" s="3">
        <f t="shared" ca="1" si="300"/>
        <v>0.21145995244688165</v>
      </c>
      <c r="AL573" s="3">
        <f t="shared" ca="1" si="301"/>
        <v>-1.3371114932605387E-5</v>
      </c>
      <c r="AM573" s="3">
        <f t="shared" ca="1" si="302"/>
        <v>0.15297564360081148</v>
      </c>
      <c r="AN573" s="3">
        <f t="shared" ca="1" si="303"/>
        <v>1.8374275630058958</v>
      </c>
      <c r="AP573" s="3">
        <f t="shared" ca="1" si="304"/>
        <v>8.6892460806140317</v>
      </c>
      <c r="AQ573" s="3">
        <f t="shared" ca="1" si="320"/>
        <v>0.400305190871448</v>
      </c>
      <c r="AR573" s="3">
        <f t="shared" ca="1" si="305"/>
        <v>3.1116109974385392E-4</v>
      </c>
      <c r="AS573" s="3">
        <f t="shared" ca="1" si="306"/>
        <v>0.15266448250106762</v>
      </c>
      <c r="AT573" s="3">
        <f t="shared" ca="1" si="307"/>
        <v>0.70869474769616492</v>
      </c>
      <c r="AU573" s="3">
        <f t="shared" ca="1" si="308"/>
        <v>5.3346555443362698E-2</v>
      </c>
      <c r="AV573" s="10">
        <f t="shared" ca="1" si="312"/>
        <v>0.70869474769616492</v>
      </c>
      <c r="AW573" s="10">
        <f t="shared" ca="1" si="313"/>
        <v>0.70869474769616492</v>
      </c>
      <c r="AX573" s="10"/>
      <c r="AY573" s="3">
        <f t="shared" ca="1" si="319"/>
        <v>8.6892460806140317</v>
      </c>
      <c r="AZ573" s="3">
        <f t="shared" ca="1" si="321"/>
        <v>0.400305190871448</v>
      </c>
      <c r="BA573" s="3">
        <f t="shared" ca="1" si="309"/>
        <v>3.0820791330206479E-4</v>
      </c>
      <c r="BB573" s="3">
        <f t="shared" ca="1" si="322"/>
        <v>0.1526674356875094</v>
      </c>
      <c r="BC573" s="3">
        <f t="shared" ca="1" si="323"/>
        <v>0.70870845689483364</v>
      </c>
      <c r="BD573" s="3">
        <f t="shared" ca="1" si="310"/>
        <v>5.3280951320641902E-2</v>
      </c>
      <c r="BE573" s="3">
        <f t="shared" ca="1" si="317"/>
        <v>0.70870845689483364</v>
      </c>
      <c r="BF573" s="3">
        <f t="shared" ca="1" si="318"/>
        <v>0.70870845689483364</v>
      </c>
    </row>
    <row r="574" spans="1:58" ht="15" x14ac:dyDescent="0.25">
      <c r="A574" s="72">
        <v>508</v>
      </c>
      <c r="B574" s="72">
        <v>1498730387.132</v>
      </c>
      <c r="C574" s="73">
        <v>3.8035525899551403E-4</v>
      </c>
      <c r="D574" s="73">
        <v>5.9044348909844097E-6</v>
      </c>
      <c r="E574" s="73">
        <v>1.16974254092902E-2</v>
      </c>
      <c r="F574" s="73">
        <v>7.5565424543563202E-4</v>
      </c>
      <c r="G574" s="73">
        <v>0.21375964513180901</v>
      </c>
      <c r="H574" s="73">
        <v>-1.5893549379249601E-6</v>
      </c>
      <c r="I574" s="73">
        <v>0.154436884741361</v>
      </c>
      <c r="J574" s="73">
        <v>1.8559921331200999</v>
      </c>
      <c r="K574" s="73"/>
      <c r="L574" s="73"/>
      <c r="M574" s="73"/>
      <c r="N574" s="19"/>
      <c r="O574" s="13">
        <f t="shared" ca="1" si="280"/>
        <v>1.1566802972395244E-4</v>
      </c>
      <c r="P574" s="13">
        <f t="shared" ca="1" si="281"/>
        <v>-5.3830404938557635E-6</v>
      </c>
      <c r="Q574" s="13">
        <f t="shared" ca="1" si="282"/>
        <v>1.0856685791317515E-2</v>
      </c>
      <c r="R574" s="13">
        <f t="shared" ca="1" si="283"/>
        <v>7.4587796654495089E-4</v>
      </c>
      <c r="S574" s="13">
        <f t="shared" ca="1" si="284"/>
        <v>0.21262456649856765</v>
      </c>
      <c r="T574" s="13">
        <f t="shared" ca="1" si="285"/>
        <v>-1.9391764489490467E-6</v>
      </c>
      <c r="U574" s="13">
        <f t="shared" ca="1" si="286"/>
        <v>0.15378304074657248</v>
      </c>
      <c r="V574" s="13">
        <f t="shared" ca="1" si="287"/>
        <v>1.8488533521976458</v>
      </c>
      <c r="X574" s="3">
        <f t="shared" ca="1" si="288"/>
        <v>1.1566802972395244E-4</v>
      </c>
      <c r="Y574" s="3">
        <f t="shared" ca="1" si="289"/>
        <v>-5.3830404938557635E-6</v>
      </c>
      <c r="Z574" s="3">
        <f t="shared" ca="1" si="290"/>
        <v>1.0856685791317515E-2</v>
      </c>
      <c r="AA574" s="3">
        <f t="shared" ca="1" si="291"/>
        <v>7.4587796654495089E-4</v>
      </c>
      <c r="AB574" s="3">
        <f t="shared" ca="1" si="292"/>
        <v>0.21262456649856765</v>
      </c>
      <c r="AC574" s="3">
        <f t="shared" ca="1" si="293"/>
        <v>-1.9391764489490467E-6</v>
      </c>
      <c r="AD574" s="3">
        <f t="shared" ca="1" si="294"/>
        <v>0.15378304074657248</v>
      </c>
      <c r="AE574" s="3">
        <f t="shared" ca="1" si="295"/>
        <v>1.8488533521976458</v>
      </c>
      <c r="AG574" s="3">
        <f t="shared" ca="1" si="296"/>
        <v>1.1566802972395244E-4</v>
      </c>
      <c r="AH574" s="3">
        <f t="shared" ca="1" si="297"/>
        <v>-5.3830404938557635E-6</v>
      </c>
      <c r="AI574" s="3">
        <f t="shared" ca="1" si="298"/>
        <v>1.0856685791317515E-2</v>
      </c>
      <c r="AJ574" s="3">
        <f t="shared" ca="1" si="299"/>
        <v>7.4587796654495089E-4</v>
      </c>
      <c r="AK574" s="3">
        <f t="shared" ca="1" si="300"/>
        <v>0.21262456649856765</v>
      </c>
      <c r="AL574" s="3">
        <f t="shared" ca="1" si="301"/>
        <v>-1.9391764489490467E-6</v>
      </c>
      <c r="AM574" s="3">
        <f t="shared" ca="1" si="302"/>
        <v>0.15378304074657248</v>
      </c>
      <c r="AN574" s="3">
        <f t="shared" ca="1" si="303"/>
        <v>1.8488533521976458</v>
      </c>
      <c r="AP574" s="3">
        <f t="shared" ca="1" si="304"/>
        <v>8.6953891671313563</v>
      </c>
      <c r="AQ574" s="3">
        <f t="shared" ca="1" si="320"/>
        <v>0.4005916306936933</v>
      </c>
      <c r="AR574" s="3">
        <f t="shared" ca="1" si="305"/>
        <v>2.9879247091673788E-4</v>
      </c>
      <c r="AS574" s="3">
        <f t="shared" ca="1" si="306"/>
        <v>0.15348424827565574</v>
      </c>
      <c r="AT574" s="3">
        <f t="shared" ca="1" si="307"/>
        <v>0.70834549838979377</v>
      </c>
      <c r="AU574" s="3">
        <f t="shared" ca="1" si="308"/>
        <v>5.3058629325602395E-2</v>
      </c>
      <c r="AV574" s="10">
        <f t="shared" ca="1" si="312"/>
        <v>0.70834549838979377</v>
      </c>
      <c r="AW574" s="10">
        <f t="shared" ca="1" si="313"/>
        <v>0.70834549838979377</v>
      </c>
      <c r="AX574" s="10"/>
      <c r="AY574" s="3">
        <f t="shared" ca="1" si="319"/>
        <v>8.6953891671313563</v>
      </c>
      <c r="AZ574" s="3">
        <f t="shared" ca="1" si="321"/>
        <v>0.4005916306936933</v>
      </c>
      <c r="BA574" s="3">
        <f t="shared" ca="1" si="309"/>
        <v>2.9879247091673788E-4</v>
      </c>
      <c r="BB574" s="3">
        <f t="shared" ca="1" si="322"/>
        <v>0.15348424827565574</v>
      </c>
      <c r="BC574" s="3">
        <f t="shared" ca="1" si="323"/>
        <v>0.70834549838979377</v>
      </c>
      <c r="BD574" s="3">
        <f t="shared" ca="1" si="310"/>
        <v>5.3058629325602395E-2</v>
      </c>
      <c r="BE574" s="3">
        <f t="shared" ca="1" si="317"/>
        <v>0.70834549838979377</v>
      </c>
      <c r="BF574" s="3">
        <f t="shared" ca="1" si="318"/>
        <v>0.70834549838979377</v>
      </c>
    </row>
    <row r="575" spans="1:58" ht="15" x14ac:dyDescent="0.25">
      <c r="A575" s="72">
        <v>509</v>
      </c>
      <c r="B575" s="72">
        <v>1498730387.6589999</v>
      </c>
      <c r="C575" s="73">
        <v>3.61559017513634E-4</v>
      </c>
      <c r="D575" s="73">
        <v>1.08193965444837E-4</v>
      </c>
      <c r="E575" s="73">
        <v>1.15571232665237E-2</v>
      </c>
      <c r="F575" s="73">
        <v>6.4136544210234298E-4</v>
      </c>
      <c r="G575" s="73">
        <v>0.21150693216826399</v>
      </c>
      <c r="H575" s="73">
        <v>5.5117417647223E-5</v>
      </c>
      <c r="I575" s="73">
        <v>0.15306761075001099</v>
      </c>
      <c r="J575" s="73">
        <v>1.8379289861753001</v>
      </c>
      <c r="K575" s="73"/>
      <c r="L575" s="73"/>
      <c r="M575" s="73"/>
      <c r="N575" s="19"/>
      <c r="O575" s="13">
        <f t="shared" ca="1" si="280"/>
        <v>9.6871788242072418E-5</v>
      </c>
      <c r="P575" s="13">
        <f t="shared" ca="1" si="281"/>
        <v>9.6906490059996825E-5</v>
      </c>
      <c r="Q575" s="13">
        <f t="shared" ca="1" si="282"/>
        <v>1.0716383648551014E-2</v>
      </c>
      <c r="R575" s="13">
        <f t="shared" ca="1" si="283"/>
        <v>6.3158916321166185E-4</v>
      </c>
      <c r="S575" s="13">
        <f t="shared" ca="1" si="284"/>
        <v>0.21037185353502263</v>
      </c>
      <c r="T575" s="13">
        <f t="shared" ca="1" si="285"/>
        <v>5.476759613619891E-5</v>
      </c>
      <c r="U575" s="13">
        <f t="shared" ca="1" si="286"/>
        <v>0.15241376675522247</v>
      </c>
      <c r="V575" s="13">
        <f t="shared" ca="1" si="287"/>
        <v>1.830790205252846</v>
      </c>
      <c r="X575" s="3">
        <f t="shared" ca="1" si="288"/>
        <v>9.6871788242072418E-5</v>
      </c>
      <c r="Y575" s="3">
        <f t="shared" ca="1" si="289"/>
        <v>9.6906490059996825E-5</v>
      </c>
      <c r="Z575" s="3">
        <f t="shared" ca="1" si="290"/>
        <v>1.0715964635457554E-2</v>
      </c>
      <c r="AA575" s="3">
        <f t="shared" ca="1" si="291"/>
        <v>6.2144714174496962E-4</v>
      </c>
      <c r="AB575" s="3">
        <f t="shared" ca="1" si="292"/>
        <v>0.2102980977075489</v>
      </c>
      <c r="AC575" s="3">
        <f t="shared" ca="1" si="293"/>
        <v>5.476759613619891E-5</v>
      </c>
      <c r="AD575" s="3">
        <f t="shared" ca="1" si="294"/>
        <v>0.15230484715848511</v>
      </c>
      <c r="AE575" s="3">
        <f t="shared" ca="1" si="295"/>
        <v>1.8307460082142948</v>
      </c>
      <c r="AG575" s="3">
        <f t="shared" ca="1" si="296"/>
        <v>9.6871788242072418E-5</v>
      </c>
      <c r="AH575" s="3">
        <f t="shared" ca="1" si="297"/>
        <v>9.6906490059996825E-5</v>
      </c>
      <c r="AI575" s="3">
        <f t="shared" ca="1" si="298"/>
        <v>1.0637906971731052E-2</v>
      </c>
      <c r="AJ575" s="3">
        <f t="shared" ca="1" si="299"/>
        <v>5.7834348994740203E-4</v>
      </c>
      <c r="AK575" s="3">
        <f t="shared" ca="1" si="300"/>
        <v>0.2102980977075489</v>
      </c>
      <c r="AL575" s="3">
        <f t="shared" ca="1" si="301"/>
        <v>5.476759613619891E-5</v>
      </c>
      <c r="AM575" s="3">
        <f t="shared" ca="1" si="302"/>
        <v>0.15230484715848511</v>
      </c>
      <c r="AN575" s="3">
        <f t="shared" ca="1" si="303"/>
        <v>1.8307460082142948</v>
      </c>
      <c r="AP575" s="3">
        <f t="shared" ca="1" si="304"/>
        <v>8.7026385635189385</v>
      </c>
      <c r="AQ575" s="3">
        <f t="shared" ca="1" si="320"/>
        <v>0.40092965868683317</v>
      </c>
      <c r="AR575" s="3">
        <f t="shared" ca="1" si="305"/>
        <v>2.5322282763675416E-4</v>
      </c>
      <c r="AS575" s="3">
        <f t="shared" ca="1" si="306"/>
        <v>0.15216054392758571</v>
      </c>
      <c r="AT575" s="3">
        <f t="shared" ca="1" si="307"/>
        <v>0.70945838280776208</v>
      </c>
      <c r="AU575" s="3">
        <f t="shared" ca="1" si="308"/>
        <v>5.2978926780769486E-2</v>
      </c>
      <c r="AV575" s="10">
        <f t="shared" ca="1" si="312"/>
        <v>0.70945838280776208</v>
      </c>
      <c r="AW575" s="10">
        <f t="shared" ca="1" si="313"/>
        <v>0.70945838280776208</v>
      </c>
      <c r="AX575" s="10"/>
      <c r="AY575" s="3">
        <f t="shared" ca="1" si="319"/>
        <v>8.7054805924123109</v>
      </c>
      <c r="AZ575" s="3">
        <f t="shared" ca="1" si="321"/>
        <v>0.40106217897249097</v>
      </c>
      <c r="BA575" s="3">
        <f t="shared" ca="1" si="309"/>
        <v>2.3195170027285998E-4</v>
      </c>
      <c r="BB575" s="3">
        <f t="shared" ca="1" si="322"/>
        <v>0.15207289545821226</v>
      </c>
      <c r="BC575" s="3">
        <f t="shared" ca="1" si="323"/>
        <v>0.7091817725004036</v>
      </c>
      <c r="BD575" s="3">
        <f t="shared" ca="1" si="310"/>
        <v>5.262698408653721E-2</v>
      </c>
      <c r="BE575" s="3">
        <f t="shared" ca="1" si="317"/>
        <v>0.7091817725004036</v>
      </c>
      <c r="BF575" s="3">
        <f t="shared" ca="1" si="318"/>
        <v>0.7091817725004036</v>
      </c>
    </row>
    <row r="576" spans="1:58" ht="15" x14ac:dyDescent="0.25">
      <c r="A576" s="72">
        <v>510</v>
      </c>
      <c r="B576" s="72">
        <v>1498730388.1860001</v>
      </c>
      <c r="C576" s="73">
        <v>3.6607960024184202E-4</v>
      </c>
      <c r="D576" s="73">
        <v>1.1646263296764801E-4</v>
      </c>
      <c r="E576" s="73">
        <v>1.1565545658765899E-2</v>
      </c>
      <c r="F576" s="73">
        <v>6.8017454874730202E-4</v>
      </c>
      <c r="G576" s="73">
        <v>0.211857637267375</v>
      </c>
      <c r="H576" s="73">
        <v>3.7416698909236802E-5</v>
      </c>
      <c r="I576" s="73">
        <v>0.15297838198706901</v>
      </c>
      <c r="J576" s="73">
        <v>1.8370526614135001</v>
      </c>
      <c r="K576" s="73"/>
      <c r="L576" s="73"/>
      <c r="M576" s="73"/>
      <c r="N576" s="19"/>
      <c r="O576" s="13">
        <f t="shared" ca="1" si="280"/>
        <v>1.0139237097028044E-4</v>
      </c>
      <c r="P576" s="13">
        <f t="shared" ca="1" si="281"/>
        <v>1.0517515758280783E-4</v>
      </c>
      <c r="Q576" s="13">
        <f t="shared" ca="1" si="282"/>
        <v>1.0724806040793214E-2</v>
      </c>
      <c r="R576" s="13">
        <f t="shared" ca="1" si="283"/>
        <v>6.7039826985662088E-4</v>
      </c>
      <c r="S576" s="13">
        <f t="shared" ca="1" si="284"/>
        <v>0.21072255863413364</v>
      </c>
      <c r="T576" s="13">
        <f t="shared" ca="1" si="285"/>
        <v>3.7066877398212712E-5</v>
      </c>
      <c r="U576" s="13">
        <f t="shared" ca="1" si="286"/>
        <v>0.15232453799228049</v>
      </c>
      <c r="V576" s="13">
        <f t="shared" ca="1" si="287"/>
        <v>1.829913880491046</v>
      </c>
      <c r="X576" s="3">
        <f t="shared" ca="1" si="288"/>
        <v>1.0139237097028044E-4</v>
      </c>
      <c r="Y576" s="3">
        <f t="shared" ca="1" si="289"/>
        <v>1.0517515758280783E-4</v>
      </c>
      <c r="Z576" s="3">
        <f t="shared" ca="1" si="290"/>
        <v>1.0724522451443685E-2</v>
      </c>
      <c r="AA576" s="3">
        <f t="shared" ca="1" si="291"/>
        <v>6.6353411855552978E-4</v>
      </c>
      <c r="AB576" s="3">
        <f t="shared" ca="1" si="292"/>
        <v>0.21067264046340411</v>
      </c>
      <c r="AC576" s="3">
        <f t="shared" ca="1" si="293"/>
        <v>3.7066877398212712E-5</v>
      </c>
      <c r="AD576" s="3">
        <f t="shared" ca="1" si="294"/>
        <v>0.15225082087443426</v>
      </c>
      <c r="AE576" s="3">
        <f t="shared" ca="1" si="295"/>
        <v>1.8298839677995109</v>
      </c>
      <c r="AG576" s="3">
        <f t="shared" ca="1" si="296"/>
        <v>1.0139237097028044E-4</v>
      </c>
      <c r="AH576" s="3">
        <f t="shared" ca="1" si="297"/>
        <v>1.0517515758280783E-4</v>
      </c>
      <c r="AI576" s="3">
        <f t="shared" ca="1" si="298"/>
        <v>1.0639804419886687E-2</v>
      </c>
      <c r="AJ576" s="3">
        <f t="shared" ca="1" si="299"/>
        <v>6.1675259373302404E-4</v>
      </c>
      <c r="AK576" s="3">
        <f t="shared" ca="1" si="300"/>
        <v>0.21067264046340411</v>
      </c>
      <c r="AL576" s="3">
        <f t="shared" ca="1" si="301"/>
        <v>3.7066877398212712E-5</v>
      </c>
      <c r="AM576" s="3">
        <f t="shared" ca="1" si="302"/>
        <v>0.15225082087443426</v>
      </c>
      <c r="AN576" s="3">
        <f t="shared" ca="1" si="303"/>
        <v>1.8298839677995109</v>
      </c>
      <c r="AP576" s="3">
        <f t="shared" ca="1" si="304"/>
        <v>8.6839961148546418</v>
      </c>
      <c r="AQ576" s="3">
        <f t="shared" ca="1" si="320"/>
        <v>0.40006039742799415</v>
      </c>
      <c r="AR576" s="3">
        <f t="shared" ca="1" si="305"/>
        <v>2.681997982738794E-4</v>
      </c>
      <c r="AS576" s="3">
        <f t="shared" ca="1" si="306"/>
        <v>0.1520563381940066</v>
      </c>
      <c r="AT576" s="3">
        <f t="shared" ca="1" si="307"/>
        <v>0.70855735810318632</v>
      </c>
      <c r="AU576" s="3">
        <f t="shared" ca="1" si="308"/>
        <v>5.2816299817838752E-2</v>
      </c>
      <c r="AV576" s="10">
        <f t="shared" ca="1" si="312"/>
        <v>0.70855735810318632</v>
      </c>
      <c r="AW576" s="10">
        <f t="shared" ca="1" si="313"/>
        <v>0.70855735810318632</v>
      </c>
      <c r="AX576" s="10"/>
      <c r="AY576" s="3">
        <f t="shared" ca="1" si="319"/>
        <v>8.6859117718106322</v>
      </c>
      <c r="AZ576" s="3">
        <f t="shared" ca="1" si="321"/>
        <v>0.40014971975743502</v>
      </c>
      <c r="BA576" s="3">
        <f t="shared" ca="1" si="309"/>
        <v>2.4679337754194072E-4</v>
      </c>
      <c r="BB576" s="3">
        <f t="shared" ca="1" si="322"/>
        <v>0.15200402749689232</v>
      </c>
      <c r="BC576" s="3">
        <f t="shared" ca="1" si="323"/>
        <v>0.70840273871970327</v>
      </c>
      <c r="BD576" s="3">
        <f t="shared" ca="1" si="310"/>
        <v>5.2421939313881193E-2</v>
      </c>
      <c r="BE576" s="3">
        <f t="shared" ca="1" si="317"/>
        <v>0.70840273871970327</v>
      </c>
      <c r="BF576" s="3">
        <f t="shared" ca="1" si="318"/>
        <v>0.70840273871970327</v>
      </c>
    </row>
    <row r="577" spans="1:58" ht="15" x14ac:dyDescent="0.25">
      <c r="A577" s="72">
        <v>511</v>
      </c>
      <c r="B577" s="72">
        <v>1498730388.7130001</v>
      </c>
      <c r="C577" s="73">
        <v>2.7162746696639598E-4</v>
      </c>
      <c r="D577" s="73">
        <v>2.2676360288498601E-5</v>
      </c>
      <c r="E577" s="73">
        <v>1.17202895247931E-2</v>
      </c>
      <c r="F577" s="73">
        <v>6.8660319663248898E-4</v>
      </c>
      <c r="G577" s="73">
        <v>0.21458404715445401</v>
      </c>
      <c r="H577" s="73">
        <v>2.7468816194929001E-5</v>
      </c>
      <c r="I577" s="73">
        <v>0.154895234131983</v>
      </c>
      <c r="J577" s="73">
        <v>1.86138677395093</v>
      </c>
      <c r="K577" s="73"/>
      <c r="L577" s="73"/>
      <c r="M577" s="73"/>
      <c r="N577" s="19"/>
      <c r="O577" s="13">
        <f t="shared" ca="1" si="280"/>
        <v>6.9402376948343942E-6</v>
      </c>
      <c r="P577" s="13">
        <f t="shared" ca="1" si="281"/>
        <v>1.1388884903658428E-5</v>
      </c>
      <c r="Q577" s="13">
        <f t="shared" ca="1" si="282"/>
        <v>1.0879549906820414E-2</v>
      </c>
      <c r="R577" s="13">
        <f t="shared" ca="1" si="283"/>
        <v>6.7682691774180784E-4</v>
      </c>
      <c r="S577" s="13">
        <f t="shared" ca="1" si="284"/>
        <v>0.21344896852121265</v>
      </c>
      <c r="T577" s="13">
        <f t="shared" ca="1" si="285"/>
        <v>2.7118994683904914E-5</v>
      </c>
      <c r="U577" s="13">
        <f t="shared" ca="1" si="286"/>
        <v>0.15424139013719448</v>
      </c>
      <c r="V577" s="13">
        <f t="shared" ca="1" si="287"/>
        <v>1.8542479930284759</v>
      </c>
      <c r="X577" s="3">
        <f t="shared" ca="1" si="288"/>
        <v>6.9402376948343942E-6</v>
      </c>
      <c r="Y577" s="3">
        <f t="shared" ca="1" si="289"/>
        <v>1.1388884903658428E-5</v>
      </c>
      <c r="Z577" s="3">
        <f t="shared" ca="1" si="290"/>
        <v>1.0879342426217728E-2</v>
      </c>
      <c r="AA577" s="3">
        <f t="shared" ca="1" si="291"/>
        <v>6.7180494406315146E-4</v>
      </c>
      <c r="AB577" s="3">
        <f t="shared" ca="1" si="292"/>
        <v>0.21341244721967162</v>
      </c>
      <c r="AC577" s="3">
        <f t="shared" ca="1" si="293"/>
        <v>2.7118994683904914E-5</v>
      </c>
      <c r="AD577" s="3">
        <f t="shared" ca="1" si="294"/>
        <v>0.15418745696916666</v>
      </c>
      <c r="AE577" s="3">
        <f t="shared" ca="1" si="295"/>
        <v>1.8542261082035416</v>
      </c>
      <c r="AG577" s="3">
        <f t="shared" ca="1" si="296"/>
        <v>6.9402376948343942E-6</v>
      </c>
      <c r="AH577" s="3">
        <f t="shared" ca="1" si="297"/>
        <v>1.1388884903658428E-5</v>
      </c>
      <c r="AI577" s="3">
        <f t="shared" ca="1" si="298"/>
        <v>1.0870168739837392E-2</v>
      </c>
      <c r="AJ577" s="3">
        <f t="shared" ca="1" si="299"/>
        <v>6.6673920977697581E-4</v>
      </c>
      <c r="AK577" s="3">
        <f t="shared" ca="1" si="300"/>
        <v>0.21341244721967162</v>
      </c>
      <c r="AL577" s="3">
        <f t="shared" ca="1" si="301"/>
        <v>2.7118994683904914E-5</v>
      </c>
      <c r="AM577" s="3">
        <f t="shared" ca="1" si="302"/>
        <v>0.15418745696916666</v>
      </c>
      <c r="AN577" s="3">
        <f t="shared" ca="1" si="303"/>
        <v>1.8542261082035416</v>
      </c>
      <c r="AP577" s="3">
        <f t="shared" ca="1" si="304"/>
        <v>8.6870787236631681</v>
      </c>
      <c r="AQ577" s="3">
        <f t="shared" ca="1" si="320"/>
        <v>0.40020413194320376</v>
      </c>
      <c r="AR577" s="3">
        <f t="shared" ca="1" si="305"/>
        <v>2.7086892909065436E-4</v>
      </c>
      <c r="AS577" s="3">
        <f t="shared" ca="1" si="306"/>
        <v>0.15397052120810384</v>
      </c>
      <c r="AT577" s="3">
        <f t="shared" ca="1" si="307"/>
        <v>0.70818612380873402</v>
      </c>
      <c r="AU577" s="3">
        <f t="shared" ca="1" si="308"/>
        <v>5.2913214427154194E-2</v>
      </c>
      <c r="AV577" s="10">
        <f t="shared" ca="1" si="312"/>
        <v>0.70818612380873402</v>
      </c>
      <c r="AW577" s="10">
        <f t="shared" ca="1" si="313"/>
        <v>0.70818612380873402</v>
      </c>
      <c r="AX577" s="10"/>
      <c r="AY577" s="3">
        <f t="shared" ca="1" si="319"/>
        <v>8.688462797556193</v>
      </c>
      <c r="AZ577" s="3">
        <f t="shared" ca="1" si="321"/>
        <v>0.40026866812756945</v>
      </c>
      <c r="BA577" s="3">
        <f t="shared" ca="1" si="309"/>
        <v>2.6687481548585826E-4</v>
      </c>
      <c r="BB577" s="3">
        <f t="shared" ca="1" si="322"/>
        <v>0.15392058215368082</v>
      </c>
      <c r="BC577" s="3">
        <f t="shared" ca="1" si="323"/>
        <v>0.70802077621729786</v>
      </c>
      <c r="BD577" s="3">
        <f t="shared" ca="1" si="310"/>
        <v>5.2885256400703219E-2</v>
      </c>
      <c r="BE577" s="3">
        <f t="shared" ca="1" si="317"/>
        <v>0.70802077621729786</v>
      </c>
      <c r="BF577" s="3">
        <f t="shared" ca="1" si="318"/>
        <v>0.70802077621729786</v>
      </c>
    </row>
    <row r="578" spans="1:58" ht="15" x14ac:dyDescent="0.25">
      <c r="A578" s="72">
        <v>512</v>
      </c>
      <c r="B578" s="72">
        <v>1498730389.24</v>
      </c>
      <c r="C578" s="73">
        <v>3.2444342782480499E-4</v>
      </c>
      <c r="D578" s="73">
        <v>5.2441320293813697E-5</v>
      </c>
      <c r="E578" s="73">
        <v>1.2334203820143301E-2</v>
      </c>
      <c r="F578" s="73">
        <v>6.7684119205637099E-4</v>
      </c>
      <c r="G578" s="73">
        <v>0.22601457965570601</v>
      </c>
      <c r="H578" s="73">
        <v>3.0091557789197399E-5</v>
      </c>
      <c r="I578" s="73">
        <v>0.16318556596077499</v>
      </c>
      <c r="J578" s="73">
        <v>1.9606224946775901</v>
      </c>
      <c r="K578" s="73"/>
      <c r="L578" s="73"/>
      <c r="M578" s="73"/>
      <c r="N578" s="19"/>
      <c r="O578" s="13">
        <f t="shared" ca="1" si="280"/>
        <v>5.9756198553243402E-5</v>
      </c>
      <c r="P578" s="13">
        <f t="shared" ca="1" si="281"/>
        <v>4.1153844908973525E-5</v>
      </c>
      <c r="Q578" s="13">
        <f t="shared" ca="1" si="282"/>
        <v>1.1493464202170615E-2</v>
      </c>
      <c r="R578" s="13">
        <f t="shared" ca="1" si="283"/>
        <v>6.6706491316568986E-4</v>
      </c>
      <c r="S578" s="13">
        <f t="shared" ca="1" si="284"/>
        <v>0.22487950102246465</v>
      </c>
      <c r="T578" s="13">
        <f t="shared" ca="1" si="285"/>
        <v>2.9741736278173313E-5</v>
      </c>
      <c r="U578" s="13">
        <f t="shared" ca="1" si="286"/>
        <v>0.16253172196598648</v>
      </c>
      <c r="V578" s="13">
        <f t="shared" ca="1" si="287"/>
        <v>1.953483713755136</v>
      </c>
      <c r="X578" s="3">
        <f t="shared" ca="1" si="288"/>
        <v>5.9756198553243402E-5</v>
      </c>
      <c r="Y578" s="3">
        <f t="shared" ca="1" si="289"/>
        <v>4.1153844908973525E-5</v>
      </c>
      <c r="Z578" s="3">
        <f t="shared" ca="1" si="290"/>
        <v>1.1493236655632115E-2</v>
      </c>
      <c r="AA578" s="3">
        <f t="shared" ca="1" si="291"/>
        <v>6.6155725263153397E-4</v>
      </c>
      <c r="AB578" s="3">
        <f t="shared" ca="1" si="292"/>
        <v>0.22483944766017636</v>
      </c>
      <c r="AC578" s="3">
        <f t="shared" ca="1" si="293"/>
        <v>2.9741736278173313E-5</v>
      </c>
      <c r="AD578" s="3">
        <f t="shared" ca="1" si="294"/>
        <v>0.16247257279475699</v>
      </c>
      <c r="AE578" s="3">
        <f t="shared" ca="1" si="295"/>
        <v>1.9534597123974426</v>
      </c>
      <c r="AG578" s="3">
        <f t="shared" ca="1" si="296"/>
        <v>5.9756198553243402E-5</v>
      </c>
      <c r="AH578" s="3">
        <f t="shared" ca="1" si="297"/>
        <v>4.1153844908973525E-5</v>
      </c>
      <c r="AI578" s="3">
        <f t="shared" ca="1" si="298"/>
        <v>1.1460087451848464E-2</v>
      </c>
      <c r="AJ578" s="3">
        <f t="shared" ca="1" si="299"/>
        <v>6.4325217316792691E-4</v>
      </c>
      <c r="AK578" s="3">
        <f t="shared" ca="1" si="300"/>
        <v>0.22483944766017636</v>
      </c>
      <c r="AL578" s="3">
        <f t="shared" ca="1" si="301"/>
        <v>2.9741736278173313E-5</v>
      </c>
      <c r="AM578" s="3">
        <f t="shared" ca="1" si="302"/>
        <v>0.16247257279475699</v>
      </c>
      <c r="AN578" s="3">
        <f t="shared" ca="1" si="303"/>
        <v>1.9534597123974426</v>
      </c>
      <c r="AP578" s="3">
        <f t="shared" ca="1" si="304"/>
        <v>8.6868020645420678</v>
      </c>
      <c r="AQ578" s="3">
        <f t="shared" ca="1" si="320"/>
        <v>0.40019123197923723</v>
      </c>
      <c r="AR578" s="3">
        <f t="shared" ca="1" si="305"/>
        <v>2.6695352940990031E-4</v>
      </c>
      <c r="AS578" s="3">
        <f t="shared" ca="1" si="306"/>
        <v>0.16226476843657658</v>
      </c>
      <c r="AT578" s="3">
        <f t="shared" ca="1" si="307"/>
        <v>0.70841088259970109</v>
      </c>
      <c r="AU578" s="3">
        <f t="shared" ca="1" si="308"/>
        <v>5.3055963126326967E-2</v>
      </c>
      <c r="AV578" s="10">
        <f t="shared" ca="1" si="312"/>
        <v>0.70841088259970109</v>
      </c>
      <c r="AW578" s="10">
        <f t="shared" ca="1" si="313"/>
        <v>0.70841088259970109</v>
      </c>
      <c r="AX578" s="10"/>
      <c r="AY578" s="3">
        <f t="shared" ca="1" si="319"/>
        <v>8.6882428004800687</v>
      </c>
      <c r="AZ578" s="3">
        <f t="shared" ca="1" si="321"/>
        <v>0.40025841016123348</v>
      </c>
      <c r="BA578" s="3">
        <f t="shared" ca="1" si="309"/>
        <v>2.5746709216495285E-4</v>
      </c>
      <c r="BB578" s="3">
        <f t="shared" ca="1" si="322"/>
        <v>0.16221510570259204</v>
      </c>
      <c r="BC578" s="3">
        <f t="shared" ca="1" si="323"/>
        <v>0.7082610721812499</v>
      </c>
      <c r="BD578" s="3">
        <f t="shared" ca="1" si="310"/>
        <v>5.2920293481454418E-2</v>
      </c>
      <c r="BE578" s="3">
        <f t="shared" ca="1" si="317"/>
        <v>0.7082610721812499</v>
      </c>
      <c r="BF578" s="3">
        <f t="shared" ca="1" si="318"/>
        <v>0.7082610721812499</v>
      </c>
    </row>
    <row r="579" spans="1:58" ht="15" x14ac:dyDescent="0.25">
      <c r="A579" s="72">
        <v>513</v>
      </c>
      <c r="B579" s="72">
        <v>1498730389.767</v>
      </c>
      <c r="C579" s="73">
        <v>2.20479536891134E-4</v>
      </c>
      <c r="D579" s="73">
        <v>3.2361685777444797E-5</v>
      </c>
      <c r="E579" s="73">
        <v>1.21153186710257E-2</v>
      </c>
      <c r="F579" s="73">
        <v>7.09937155066684E-4</v>
      </c>
      <c r="G579" s="73">
        <v>0.22017334499152499</v>
      </c>
      <c r="H579" s="73">
        <v>3.1485655872475201E-5</v>
      </c>
      <c r="I579" s="73">
        <v>0.15922827223195399</v>
      </c>
      <c r="J579" s="73">
        <v>1.91170307191851</v>
      </c>
      <c r="K579" s="73"/>
      <c r="L579" s="73"/>
      <c r="M579" s="73"/>
      <c r="N579" s="19"/>
      <c r="O579" s="13">
        <f t="shared" ref="O579:O642" ca="1" si="324">C579-AVERAGE(OFFSET(C$67,$J$2,0,$J$3))</f>
        <v>-4.4207692380427587E-5</v>
      </c>
      <c r="P579" s="13">
        <f t="shared" ref="P579:P642" ca="1" si="325">D579-AVERAGE(OFFSET(D$67,$J$2,0,$J$3))</f>
        <v>2.1074210392604626E-5</v>
      </c>
      <c r="Q579" s="13">
        <f t="shared" ref="Q579:Q642" ca="1" si="326">E579-AVERAGE(OFFSET(E$67,$J$2,0,$J$3))</f>
        <v>1.1274579053053015E-2</v>
      </c>
      <c r="R579" s="13">
        <f t="shared" ref="R579:R642" ca="1" si="327">F579-AVERAGE(OFFSET(F$67,$J$2,0,$J$3))</f>
        <v>7.0016087617600286E-4</v>
      </c>
      <c r="S579" s="13">
        <f t="shared" ref="S579:S642" ca="1" si="328">G579-AVERAGE(OFFSET(G$67,$J$2,0,$J$3))</f>
        <v>0.21903826635828363</v>
      </c>
      <c r="T579" s="13">
        <f t="shared" ref="T579:T642" ca="1" si="329">H579-AVERAGE(OFFSET(H$67,$J$2,0,$J$3))</f>
        <v>3.1135834361451111E-5</v>
      </c>
      <c r="U579" s="13">
        <f t="shared" ref="U579:U642" ca="1" si="330">I579-AVERAGE(OFFSET(I$67,$J$2,0,$J$3))</f>
        <v>0.15857442823716547</v>
      </c>
      <c r="V579" s="13">
        <f t="shared" ref="V579:V642" ca="1" si="331">J579-AVERAGE(OFFSET(J$67,$J$2,0,$J$3))</f>
        <v>1.9045642909960558</v>
      </c>
      <c r="X579" s="3">
        <f t="shared" ref="X579:X642" ca="1" si="332">O579</f>
        <v>-4.4207692380427587E-5</v>
      </c>
      <c r="Y579" s="3">
        <f t="shared" ref="Y579:Y642" ca="1" si="333">P579</f>
        <v>2.1074210392604626E-5</v>
      </c>
      <c r="Z579" s="3">
        <f t="shared" ref="Z579:Z642" ca="1" si="334">IF($T579&gt;0,Q579-($B$14/$B$18*$T579), Q579)</f>
        <v>1.1274340840620962E-2</v>
      </c>
      <c r="AA579" s="3">
        <f t="shared" ref="AA579:AA642" ca="1" si="335">IF($T579&gt;0,R579-($B$15/$B$18*$T579), R579)</f>
        <v>6.9439505253656624E-4</v>
      </c>
      <c r="AB579" s="3">
        <f t="shared" ref="AB579:AB642" ca="1" si="336">IF($T579&gt;0,S579-($B$17/$B$18*$T579), S579)</f>
        <v>0.21899633555632361</v>
      </c>
      <c r="AC579" s="3">
        <f t="shared" ref="AC579:AC642" ca="1" si="337">T579</f>
        <v>3.1135834361451111E-5</v>
      </c>
      <c r="AD579" s="3">
        <f t="shared" ref="AD579:AD642" ca="1" si="338">IF($T579&gt;0,U579-($B$19/$B$18*$T579), U579)</f>
        <v>0.15851250653962926</v>
      </c>
      <c r="AE579" s="3">
        <f t="shared" ref="AE579:AE642" ca="1" si="339">IF($T579&gt;0,V579-($B$20/$B$18*$T579), V579)</f>
        <v>1.9045391646116847</v>
      </c>
      <c r="AG579" s="3">
        <f t="shared" ref="AG579:AG642" ca="1" si="340">X579</f>
        <v>-4.4207692380427587E-5</v>
      </c>
      <c r="AH579" s="3">
        <f t="shared" ref="AH579:AH642" ca="1" si="341">Y579</f>
        <v>2.1074210392604626E-5</v>
      </c>
      <c r="AI579" s="3">
        <f t="shared" ref="AI579:AI642" ca="1" si="342">IF($Y579&gt;0,Z579-($B$25/$B$23*$Y579),Z579)</f>
        <v>1.1257365675932725E-2</v>
      </c>
      <c r="AJ579" s="3">
        <f t="shared" ref="AJ579:AJ642" ca="1" si="343">IF($Y579&gt;0,AA579-($B$26/$B$23*$Y579),AA579)</f>
        <v>6.8502132095151847E-4</v>
      </c>
      <c r="AK579" s="3">
        <f t="shared" ref="AK579:AK642" ca="1" si="344">AB579</f>
        <v>0.21899633555632361</v>
      </c>
      <c r="AL579" s="3">
        <f t="shared" ref="AL579:AL642" ca="1" si="345">AC579</f>
        <v>3.1135834361451111E-5</v>
      </c>
      <c r="AM579" s="3">
        <f t="shared" ref="AM579:AM642" ca="1" si="346">AD579</f>
        <v>0.15851250653962926</v>
      </c>
      <c r="AN579" s="3">
        <f t="shared" ref="AN579:AN642" ca="1" si="347">AE579</f>
        <v>1.9045391646116847</v>
      </c>
      <c r="AP579" s="3">
        <f t="shared" ref="AP579:AP642" ca="1" si="348">IF(AND(S579&gt;0,V579&gt;0),V579/S579, #N/A)</f>
        <v>8.6951212802275197</v>
      </c>
      <c r="AQ579" s="3">
        <f t="shared" ca="1" si="320"/>
        <v>0.40057913961263897</v>
      </c>
      <c r="AR579" s="3">
        <f t="shared" ref="AR579:AR642" ca="1" si="349">AQ579*R579</f>
        <v>2.804698413690147E-4</v>
      </c>
      <c r="AS579" s="3">
        <f t="shared" ref="AS579:AS642" ca="1" si="350">U579-AR579</f>
        <v>0.15829395839579646</v>
      </c>
      <c r="AT579" s="3">
        <f t="shared" ref="AT579:AT642" ca="1" si="351">(AS579/S579)/((AP579/$B$10)^$B$12)</f>
        <v>0.70916264637496551</v>
      </c>
      <c r="AU579" s="3">
        <f t="shared" ref="AU579:AU642" ca="1" si="352">(Q579/S579)/((AP579/$B$10)^$B$13)</f>
        <v>5.348584365067887E-2</v>
      </c>
      <c r="AV579" s="10">
        <f t="shared" ca="1" si="312"/>
        <v>0.70916264637496551</v>
      </c>
      <c r="AW579" s="10">
        <f t="shared" ca="1" si="313"/>
        <v>0.70916264637496551</v>
      </c>
      <c r="AX579" s="10"/>
      <c r="AY579" s="3">
        <f t="shared" ca="1" si="319"/>
        <v>8.6966713839001972</v>
      </c>
      <c r="AZ579" s="3">
        <f t="shared" ca="1" si="321"/>
        <v>0.40065141820354783</v>
      </c>
      <c r="BA579" s="3">
        <f t="shared" ref="BA579:BA642" ca="1" si="353">AZ579*AJ579</f>
        <v>2.7445476373889356E-4</v>
      </c>
      <c r="BB579" s="3">
        <f t="shared" ca="1" si="322"/>
        <v>0.15823805177589037</v>
      </c>
      <c r="BC579" s="3">
        <f t="shared" ca="1" si="323"/>
        <v>0.70898426907818168</v>
      </c>
      <c r="BD579" s="3">
        <f t="shared" ref="BD579:BD642" ca="1" si="354">(AI579/AK579)/((AY579/$B$10)^$B$13)</f>
        <v>5.3424153499931341E-2</v>
      </c>
      <c r="BE579" s="3">
        <f t="shared" ca="1" si="317"/>
        <v>0.70898426907818168</v>
      </c>
      <c r="BF579" s="3">
        <f t="shared" ca="1" si="318"/>
        <v>0.70898426907818168</v>
      </c>
    </row>
    <row r="580" spans="1:58" ht="15" x14ac:dyDescent="0.25">
      <c r="A580" s="72">
        <v>514</v>
      </c>
      <c r="B580" s="72">
        <v>1498730390.2939999</v>
      </c>
      <c r="C580" s="73">
        <v>3.03269126064786E-4</v>
      </c>
      <c r="D580" s="73">
        <v>1.1646263296764801E-4</v>
      </c>
      <c r="E580" s="73">
        <v>1.1708015040599699E-2</v>
      </c>
      <c r="F580" s="73">
        <v>7.7732297218837505E-4</v>
      </c>
      <c r="G580" s="73">
        <v>0.213532686369592</v>
      </c>
      <c r="H580" s="73">
        <v>-3.7604944539125897E-5</v>
      </c>
      <c r="I580" s="73">
        <v>0.15424720065372</v>
      </c>
      <c r="J580" s="73">
        <v>1.8537190556088301</v>
      </c>
      <c r="K580" s="73"/>
      <c r="L580" s="73"/>
      <c r="M580" s="73"/>
      <c r="N580" s="19"/>
      <c r="O580" s="13">
        <f t="shared" ca="1" si="324"/>
        <v>3.8581896793224413E-5</v>
      </c>
      <c r="P580" s="13">
        <f t="shared" ca="1" si="325"/>
        <v>1.0517515758280783E-4</v>
      </c>
      <c r="Q580" s="13">
        <f t="shared" ca="1" si="326"/>
        <v>1.0867275422627014E-2</v>
      </c>
      <c r="R580" s="13">
        <f t="shared" ca="1" si="327"/>
        <v>7.6754669329769391E-4</v>
      </c>
      <c r="S580" s="13">
        <f t="shared" ca="1" si="328"/>
        <v>0.21239760773635064</v>
      </c>
      <c r="T580" s="13">
        <f t="shared" ca="1" si="329"/>
        <v>-3.7954766050149987E-5</v>
      </c>
      <c r="U580" s="13">
        <f t="shared" ca="1" si="330"/>
        <v>0.15359335665893148</v>
      </c>
      <c r="V580" s="13">
        <f t="shared" ca="1" si="331"/>
        <v>1.846580274686376</v>
      </c>
      <c r="X580" s="3">
        <f t="shared" ca="1" si="332"/>
        <v>3.8581896793224413E-5</v>
      </c>
      <c r="Y580" s="3">
        <f t="shared" ca="1" si="333"/>
        <v>1.0517515758280783E-4</v>
      </c>
      <c r="Z580" s="3">
        <f t="shared" ca="1" si="334"/>
        <v>1.0867275422627014E-2</v>
      </c>
      <c r="AA580" s="3">
        <f t="shared" ca="1" si="335"/>
        <v>7.6754669329769391E-4</v>
      </c>
      <c r="AB580" s="3">
        <f t="shared" ca="1" si="336"/>
        <v>0.21239760773635064</v>
      </c>
      <c r="AC580" s="3">
        <f t="shared" ca="1" si="337"/>
        <v>-3.7954766050149987E-5</v>
      </c>
      <c r="AD580" s="3">
        <f t="shared" ca="1" si="338"/>
        <v>0.15359335665893148</v>
      </c>
      <c r="AE580" s="3">
        <f t="shared" ca="1" si="339"/>
        <v>1.846580274686376</v>
      </c>
      <c r="AG580" s="3">
        <f t="shared" ca="1" si="340"/>
        <v>3.8581896793224413E-5</v>
      </c>
      <c r="AH580" s="3">
        <f t="shared" ca="1" si="341"/>
        <v>1.0517515758280783E-4</v>
      </c>
      <c r="AI580" s="3">
        <f t="shared" ca="1" si="342"/>
        <v>1.0782557391070017E-2</v>
      </c>
      <c r="AJ580" s="3">
        <f t="shared" ca="1" si="343"/>
        <v>7.2076516847518817E-4</v>
      </c>
      <c r="AK580" s="3">
        <f t="shared" ca="1" si="344"/>
        <v>0.21239760773635064</v>
      </c>
      <c r="AL580" s="3">
        <f t="shared" ca="1" si="345"/>
        <v>-3.7954766050149987E-5</v>
      </c>
      <c r="AM580" s="3">
        <f t="shared" ca="1" si="346"/>
        <v>0.15359335665893148</v>
      </c>
      <c r="AN580" s="3">
        <f t="shared" ca="1" si="347"/>
        <v>1.846580274686376</v>
      </c>
      <c r="AP580" s="3">
        <f t="shared" ca="1" si="348"/>
        <v>8.6939786863255915</v>
      </c>
      <c r="AQ580" s="3">
        <f t="shared" ca="1" si="320"/>
        <v>0.40052586258118983</v>
      </c>
      <c r="AR580" s="3">
        <f t="shared" ca="1" si="349"/>
        <v>3.0742230140439879E-4</v>
      </c>
      <c r="AS580" s="3">
        <f t="shared" ca="1" si="350"/>
        <v>0.15328593435752708</v>
      </c>
      <c r="AT580" s="3">
        <f t="shared" ca="1" si="351"/>
        <v>0.70824404565659715</v>
      </c>
      <c r="AU580" s="3">
        <f t="shared" ca="1" si="352"/>
        <v>5.3158309481915564E-2</v>
      </c>
      <c r="AV580" s="10">
        <f t="shared" ref="AV580:AV643" ca="1" si="355">IF(AND(AT580&lt;$M$3,AT580&gt;$M$4),AT580,"rejected")</f>
        <v>0.70824404565659715</v>
      </c>
      <c r="AW580" s="10">
        <f t="shared" ref="AW580:AW643" ca="1" si="356">IF(AND(AT580&lt;$M$3,AT580&gt;$M$4),AT580,#N/A)</f>
        <v>0.70824404565659715</v>
      </c>
      <c r="AX580" s="10"/>
      <c r="AY580" s="3">
        <f t="shared" ca="1" si="319"/>
        <v>8.6939786863255915</v>
      </c>
      <c r="AZ580" s="3">
        <f t="shared" ca="1" si="321"/>
        <v>0.40052586258118983</v>
      </c>
      <c r="BA580" s="3">
        <f t="shared" ca="1" si="353"/>
        <v>2.8868509082200135E-4</v>
      </c>
      <c r="BB580" s="3">
        <f t="shared" ca="1" si="322"/>
        <v>0.15330467156810948</v>
      </c>
      <c r="BC580" s="3">
        <f t="shared" ca="1" si="323"/>
        <v>0.70833061927395358</v>
      </c>
      <c r="BD580" s="3">
        <f t="shared" ca="1" si="354"/>
        <v>5.27439031873232E-2</v>
      </c>
      <c r="BE580" s="3">
        <f t="shared" ref="BE580:BE643" ca="1" si="357">IF(AND(BC580&lt;$P$3,BC580&gt;$P$4),BC580,"rejected")</f>
        <v>0.70833061927395358</v>
      </c>
      <c r="BF580" s="3">
        <f t="shared" ref="BF580:BF643" ca="1" si="358">IF(AND(BC580&lt;$P$3,BC580&gt;$P$4),BC580,#N/A)</f>
        <v>0.70833061927395358</v>
      </c>
    </row>
    <row r="581" spans="1:58" ht="15" x14ac:dyDescent="0.25">
      <c r="A581" s="72">
        <v>515</v>
      </c>
      <c r="B581" s="72">
        <v>1498730390.8210001</v>
      </c>
      <c r="C581" s="73">
        <v>2.9446645858298399E-4</v>
      </c>
      <c r="D581" s="73">
        <v>1.88866383654593E-6</v>
      </c>
      <c r="E581" s="73">
        <v>1.10812518110245E-2</v>
      </c>
      <c r="F581" s="73">
        <v>8.6566956861197002E-4</v>
      </c>
      <c r="G581" s="73">
        <v>0.201543470676533</v>
      </c>
      <c r="H581" s="73">
        <v>1.91521122878158E-5</v>
      </c>
      <c r="I581" s="73">
        <v>0.14577568187908199</v>
      </c>
      <c r="J581" s="73">
        <v>1.75057136460725</v>
      </c>
      <c r="K581" s="73"/>
      <c r="L581" s="73"/>
      <c r="M581" s="73"/>
      <c r="N581" s="19"/>
      <c r="O581" s="13">
        <f t="shared" ca="1" si="324"/>
        <v>2.9779229311422404E-5</v>
      </c>
      <c r="P581" s="13">
        <f t="shared" ca="1" si="325"/>
        <v>-9.3988115482942428E-6</v>
      </c>
      <c r="Q581" s="13">
        <f t="shared" ca="1" si="326"/>
        <v>1.0240512193051814E-2</v>
      </c>
      <c r="R581" s="13">
        <f t="shared" ca="1" si="327"/>
        <v>8.5589328972128888E-4</v>
      </c>
      <c r="S581" s="13">
        <f t="shared" ca="1" si="328"/>
        <v>0.20040839204329164</v>
      </c>
      <c r="T581" s="13">
        <f t="shared" ca="1" si="329"/>
        <v>1.8802290776791714E-5</v>
      </c>
      <c r="U581" s="13">
        <f t="shared" ca="1" si="330"/>
        <v>0.14512183788429348</v>
      </c>
      <c r="V581" s="13">
        <f t="shared" ca="1" si="331"/>
        <v>1.7434325836847959</v>
      </c>
      <c r="X581" s="3">
        <f t="shared" ca="1" si="332"/>
        <v>2.9779229311422404E-5</v>
      </c>
      <c r="Y581" s="3">
        <f t="shared" ca="1" si="333"/>
        <v>-9.3988115482942428E-6</v>
      </c>
      <c r="Z581" s="3">
        <f t="shared" ca="1" si="334"/>
        <v>1.0240368341457471E-2</v>
      </c>
      <c r="AA581" s="3">
        <f t="shared" ca="1" si="335"/>
        <v>8.5241142726731178E-4</v>
      </c>
      <c r="AB581" s="3">
        <f t="shared" ca="1" si="336"/>
        <v>0.2003830708933329</v>
      </c>
      <c r="AC581" s="3">
        <f t="shared" ca="1" si="337"/>
        <v>1.8802290776791714E-5</v>
      </c>
      <c r="AD581" s="3">
        <f t="shared" ca="1" si="338"/>
        <v>0.1450844446431504</v>
      </c>
      <c r="AE581" s="3">
        <f t="shared" ca="1" si="339"/>
        <v>1.7434174103774218</v>
      </c>
      <c r="AG581" s="3">
        <f t="shared" ca="1" si="340"/>
        <v>2.9779229311422404E-5</v>
      </c>
      <c r="AH581" s="3">
        <f t="shared" ca="1" si="341"/>
        <v>-9.3988115482942428E-6</v>
      </c>
      <c r="AI581" s="3">
        <f t="shared" ca="1" si="342"/>
        <v>1.0240368341457471E-2</v>
      </c>
      <c r="AJ581" s="3">
        <f t="shared" ca="1" si="343"/>
        <v>8.5241142726731178E-4</v>
      </c>
      <c r="AK581" s="3">
        <f t="shared" ca="1" si="344"/>
        <v>0.2003830708933329</v>
      </c>
      <c r="AL581" s="3">
        <f t="shared" ca="1" si="345"/>
        <v>1.8802290776791714E-5</v>
      </c>
      <c r="AM581" s="3">
        <f t="shared" ca="1" si="346"/>
        <v>0.1450844446431504</v>
      </c>
      <c r="AN581" s="3">
        <f t="shared" ca="1" si="347"/>
        <v>1.7434174103774218</v>
      </c>
      <c r="AP581" s="3">
        <f t="shared" ca="1" si="348"/>
        <v>8.6993990915718964</v>
      </c>
      <c r="AQ581" s="3">
        <f t="shared" ca="1" si="320"/>
        <v>0.40077860676421478</v>
      </c>
      <c r="AR581" s="3">
        <f t="shared" ca="1" si="349"/>
        <v>3.4302372019333859E-4</v>
      </c>
      <c r="AS581" s="3">
        <f t="shared" ca="1" si="350"/>
        <v>0.14477881416410013</v>
      </c>
      <c r="AT581" s="3">
        <f t="shared" ca="1" si="351"/>
        <v>0.70873363600496597</v>
      </c>
      <c r="AU581" s="3">
        <f t="shared" ca="1" si="352"/>
        <v>5.3123032780672264E-2</v>
      </c>
      <c r="AV581" s="10">
        <f t="shared" ca="1" si="355"/>
        <v>0.70873363600496597</v>
      </c>
      <c r="AW581" s="10">
        <f t="shared" ca="1" si="356"/>
        <v>0.70873363600496597</v>
      </c>
      <c r="AX581" s="10"/>
      <c r="AY581" s="3">
        <f t="shared" ref="AY581:AY644" ca="1" si="359">IF(AND(AN581&gt;0, AK581&gt;0),AN581/AK581, #N/A)</f>
        <v>8.7004226584863087</v>
      </c>
      <c r="AZ581" s="3">
        <f t="shared" ca="1" si="321"/>
        <v>0.40082633414512298</v>
      </c>
      <c r="BA581" s="3">
        <f t="shared" ca="1" si="353"/>
        <v>3.4166894757496868E-4</v>
      </c>
      <c r="BB581" s="3">
        <f t="shared" ca="1" si="322"/>
        <v>0.14474277569557542</v>
      </c>
      <c r="BC581" s="3">
        <f t="shared" ca="1" si="323"/>
        <v>0.70860476793429406</v>
      </c>
      <c r="BD581" s="3">
        <f t="shared" ca="1" si="354"/>
        <v>5.3135395756675953E-2</v>
      </c>
      <c r="BE581" s="3">
        <f t="shared" ca="1" si="357"/>
        <v>0.70860476793429406</v>
      </c>
      <c r="BF581" s="3">
        <f t="shared" ca="1" si="358"/>
        <v>0.70860476793429406</v>
      </c>
    </row>
    <row r="582" spans="1:58" ht="15" x14ac:dyDescent="0.25">
      <c r="A582" s="72">
        <v>516</v>
      </c>
      <c r="B582" s="72">
        <v>1498730391.348</v>
      </c>
      <c r="C582" s="73">
        <v>3.4847323550007601E-4</v>
      </c>
      <c r="D582" s="73">
        <v>2.33850394356122E-5</v>
      </c>
      <c r="E582" s="73">
        <v>1.05709951553375E-2</v>
      </c>
      <c r="F582" s="73">
        <v>6.5874602124147905E-4</v>
      </c>
      <c r="G582" s="73">
        <v>0.19162388043554299</v>
      </c>
      <c r="H582" s="73">
        <v>2.9264559710593001E-5</v>
      </c>
      <c r="I582" s="73">
        <v>0.138598993812586</v>
      </c>
      <c r="J582" s="73">
        <v>1.66341892265777</v>
      </c>
      <c r="K582" s="73"/>
      <c r="L582" s="73"/>
      <c r="M582" s="73"/>
      <c r="N582" s="19"/>
      <c r="O582" s="13">
        <f t="shared" ca="1" si="324"/>
        <v>8.3786006228514422E-5</v>
      </c>
      <c r="P582" s="13">
        <f t="shared" ca="1" si="325"/>
        <v>1.2097564050772026E-5</v>
      </c>
      <c r="Q582" s="13">
        <f t="shared" ca="1" si="326"/>
        <v>9.7302555373648143E-3</v>
      </c>
      <c r="R582" s="13">
        <f t="shared" ca="1" si="327"/>
        <v>6.4896974235079791E-4</v>
      </c>
      <c r="S582" s="13">
        <f t="shared" ca="1" si="328"/>
        <v>0.19048880180230163</v>
      </c>
      <c r="T582" s="13">
        <f t="shared" ca="1" si="329"/>
        <v>2.8914738199568914E-5</v>
      </c>
      <c r="U582" s="13">
        <f t="shared" ca="1" si="330"/>
        <v>0.13794514981779749</v>
      </c>
      <c r="V582" s="13">
        <f t="shared" ca="1" si="331"/>
        <v>1.6562801417353159</v>
      </c>
      <c r="X582" s="3">
        <f t="shared" ca="1" si="332"/>
        <v>8.3786006228514422E-5</v>
      </c>
      <c r="Y582" s="3">
        <f t="shared" ca="1" si="333"/>
        <v>1.2097564050772026E-5</v>
      </c>
      <c r="Z582" s="3">
        <f t="shared" ca="1" si="334"/>
        <v>9.7300343179804651E-3</v>
      </c>
      <c r="AA582" s="3">
        <f t="shared" ca="1" si="335"/>
        <v>6.4361522770687348E-4</v>
      </c>
      <c r="AB582" s="3">
        <f t="shared" ca="1" si="336"/>
        <v>0.19044986216294277</v>
      </c>
      <c r="AC582" s="3">
        <f t="shared" ca="1" si="337"/>
        <v>2.8914738199568914E-5</v>
      </c>
      <c r="AD582" s="3">
        <f t="shared" ca="1" si="338"/>
        <v>0.1378876453471497</v>
      </c>
      <c r="AE582" s="3">
        <f t="shared" ca="1" si="339"/>
        <v>1.656256807758858</v>
      </c>
      <c r="AG582" s="3">
        <f t="shared" ca="1" si="340"/>
        <v>8.3786006228514422E-5</v>
      </c>
      <c r="AH582" s="3">
        <f t="shared" ca="1" si="341"/>
        <v>1.2097564050772026E-5</v>
      </c>
      <c r="AI582" s="3">
        <f t="shared" ca="1" si="342"/>
        <v>9.7202897943061434E-3</v>
      </c>
      <c r="AJ582" s="3">
        <f t="shared" ca="1" si="343"/>
        <v>6.3823427553204586E-4</v>
      </c>
      <c r="AK582" s="3">
        <f t="shared" ca="1" si="344"/>
        <v>0.19044986216294277</v>
      </c>
      <c r="AL582" s="3">
        <f t="shared" ca="1" si="345"/>
        <v>2.8914738199568914E-5</v>
      </c>
      <c r="AM582" s="3">
        <f t="shared" ca="1" si="346"/>
        <v>0.1378876453471497</v>
      </c>
      <c r="AN582" s="3">
        <f t="shared" ca="1" si="347"/>
        <v>1.656256807758858</v>
      </c>
      <c r="AP582" s="3">
        <f t="shared" ca="1" si="348"/>
        <v>8.6948950597856278</v>
      </c>
      <c r="AQ582" s="3">
        <f t="shared" ca="1" si="320"/>
        <v>0.40056859136686235</v>
      </c>
      <c r="AR582" s="3">
        <f t="shared" ca="1" si="349"/>
        <v>2.5995689553317473E-4</v>
      </c>
      <c r="AS582" s="3">
        <f t="shared" ca="1" si="350"/>
        <v>0.1376851929222643</v>
      </c>
      <c r="AT582" s="3">
        <f t="shared" ca="1" si="351"/>
        <v>0.70929187265951155</v>
      </c>
      <c r="AU582" s="3">
        <f t="shared" ca="1" si="352"/>
        <v>5.3076434642750463E-2</v>
      </c>
      <c r="AV582" s="10">
        <f t="shared" ca="1" si="355"/>
        <v>0.70929187265951155</v>
      </c>
      <c r="AW582" s="10">
        <f t="shared" ca="1" si="356"/>
        <v>0.70929187265951155</v>
      </c>
      <c r="AX582" s="10"/>
      <c r="AY582" s="3">
        <f t="shared" ca="1" si="359"/>
        <v>8.6965503096128156</v>
      </c>
      <c r="AZ582" s="3">
        <f t="shared" ca="1" si="321"/>
        <v>0.40064577271817636</v>
      </c>
      <c r="BA582" s="3">
        <f t="shared" ca="1" si="353"/>
        <v>2.5570586449576198E-4</v>
      </c>
      <c r="BB582" s="3">
        <f t="shared" ca="1" si="322"/>
        <v>0.13763193948265393</v>
      </c>
      <c r="BC582" s="3">
        <f t="shared" ca="1" si="323"/>
        <v>0.70909452458792099</v>
      </c>
      <c r="BD582" s="3">
        <f t="shared" ca="1" si="354"/>
        <v>5.3043245289678083E-2</v>
      </c>
      <c r="BE582" s="3">
        <f t="shared" ca="1" si="357"/>
        <v>0.70909452458792099</v>
      </c>
      <c r="BF582" s="3">
        <f t="shared" ca="1" si="358"/>
        <v>0.70909452458792099</v>
      </c>
    </row>
    <row r="583" spans="1:58" ht="15" x14ac:dyDescent="0.25">
      <c r="A583" s="72">
        <v>517</v>
      </c>
      <c r="B583" s="72">
        <v>1498730391.875</v>
      </c>
      <c r="C583" s="73">
        <v>2.8257108526735401E-4</v>
      </c>
      <c r="D583" s="73">
        <v>-2.5040204466229901E-5</v>
      </c>
      <c r="E583" s="73">
        <v>1.06256721069358E-2</v>
      </c>
      <c r="F583" s="73">
        <v>5.0161753005700696E-4</v>
      </c>
      <c r="G583" s="73">
        <v>0.193500246215112</v>
      </c>
      <c r="H583" s="73">
        <v>-2.2444565881720101E-5</v>
      </c>
      <c r="I583" s="73">
        <v>0.13988905701615201</v>
      </c>
      <c r="J583" s="73">
        <v>1.68018130426274</v>
      </c>
      <c r="K583" s="73"/>
      <c r="L583" s="73"/>
      <c r="M583" s="73"/>
      <c r="N583" s="19"/>
      <c r="O583" s="13">
        <f t="shared" ca="1" si="324"/>
        <v>1.7883855995792428E-5</v>
      </c>
      <c r="P583" s="13">
        <f t="shared" ca="1" si="325"/>
        <v>-3.6327679851070073E-5</v>
      </c>
      <c r="Q583" s="13">
        <f t="shared" ca="1" si="326"/>
        <v>9.7849324889631144E-3</v>
      </c>
      <c r="R583" s="13">
        <f t="shared" ca="1" si="327"/>
        <v>4.9184125116632582E-4</v>
      </c>
      <c r="S583" s="13">
        <f t="shared" ca="1" si="328"/>
        <v>0.19236516758187064</v>
      </c>
      <c r="T583" s="13">
        <f t="shared" ca="1" si="329"/>
        <v>-2.2794387392744188E-5</v>
      </c>
      <c r="U583" s="13">
        <f t="shared" ca="1" si="330"/>
        <v>0.13923521302136349</v>
      </c>
      <c r="V583" s="13">
        <f t="shared" ca="1" si="331"/>
        <v>1.6730425233402859</v>
      </c>
      <c r="X583" s="3">
        <f t="shared" ca="1" si="332"/>
        <v>1.7883855995792428E-5</v>
      </c>
      <c r="Y583" s="3">
        <f t="shared" ca="1" si="333"/>
        <v>-3.6327679851070073E-5</v>
      </c>
      <c r="Z583" s="3">
        <f t="shared" ca="1" si="334"/>
        <v>9.7849324889631144E-3</v>
      </c>
      <c r="AA583" s="3">
        <f t="shared" ca="1" si="335"/>
        <v>4.9184125116632582E-4</v>
      </c>
      <c r="AB583" s="3">
        <f t="shared" ca="1" si="336"/>
        <v>0.19236516758187064</v>
      </c>
      <c r="AC583" s="3">
        <f t="shared" ca="1" si="337"/>
        <v>-2.2794387392744188E-5</v>
      </c>
      <c r="AD583" s="3">
        <f t="shared" ca="1" si="338"/>
        <v>0.13923521302136349</v>
      </c>
      <c r="AE583" s="3">
        <f t="shared" ca="1" si="339"/>
        <v>1.6730425233402859</v>
      </c>
      <c r="AG583" s="3">
        <f t="shared" ca="1" si="340"/>
        <v>1.7883855995792428E-5</v>
      </c>
      <c r="AH583" s="3">
        <f t="shared" ca="1" si="341"/>
        <v>-3.6327679851070073E-5</v>
      </c>
      <c r="AI583" s="3">
        <f t="shared" ca="1" si="342"/>
        <v>9.7849324889631144E-3</v>
      </c>
      <c r="AJ583" s="3">
        <f t="shared" ca="1" si="343"/>
        <v>4.9184125116632582E-4</v>
      </c>
      <c r="AK583" s="3">
        <f t="shared" ca="1" si="344"/>
        <v>0.19236516758187064</v>
      </c>
      <c r="AL583" s="3">
        <f t="shared" ca="1" si="345"/>
        <v>-2.2794387392744188E-5</v>
      </c>
      <c r="AM583" s="3">
        <f t="shared" ca="1" si="346"/>
        <v>0.13923521302136349</v>
      </c>
      <c r="AN583" s="3">
        <f t="shared" ca="1" si="347"/>
        <v>1.6730425233402859</v>
      </c>
      <c r="AP583" s="3">
        <f t="shared" ca="1" si="348"/>
        <v>8.6972217702991301</v>
      </c>
      <c r="AQ583" s="3">
        <f t="shared" ca="1" si="320"/>
        <v>0.4006770817848565</v>
      </c>
      <c r="AR583" s="3">
        <f t="shared" ca="1" si="349"/>
        <v>1.970695172187361E-4</v>
      </c>
      <c r="AS583" s="3">
        <f t="shared" ca="1" si="350"/>
        <v>0.13903814350414476</v>
      </c>
      <c r="AT583" s="3">
        <f t="shared" ca="1" si="351"/>
        <v>0.70917955037494729</v>
      </c>
      <c r="AU583" s="3">
        <f t="shared" ca="1" si="352"/>
        <v>5.2868531277157911E-2</v>
      </c>
      <c r="AV583" s="10">
        <f t="shared" ca="1" si="355"/>
        <v>0.70917955037494729</v>
      </c>
      <c r="AW583" s="10">
        <f t="shared" ca="1" si="356"/>
        <v>0.70917955037494729</v>
      </c>
      <c r="AX583" s="10"/>
      <c r="AY583" s="3">
        <f t="shared" ca="1" si="359"/>
        <v>8.6972217702991301</v>
      </c>
      <c r="AZ583" s="3">
        <f t="shared" ca="1" si="321"/>
        <v>0.4006770817848565</v>
      </c>
      <c r="BA583" s="3">
        <f t="shared" ca="1" si="353"/>
        <v>1.970695172187361E-4</v>
      </c>
      <c r="BB583" s="3">
        <f t="shared" ca="1" si="322"/>
        <v>0.13903814350414476</v>
      </c>
      <c r="BC583" s="3">
        <f t="shared" ca="1" si="323"/>
        <v>0.70917955037494729</v>
      </c>
      <c r="BD583" s="3">
        <f t="shared" ca="1" si="354"/>
        <v>5.2868531277157911E-2</v>
      </c>
      <c r="BE583" s="3">
        <f t="shared" ca="1" si="357"/>
        <v>0.70917955037494729</v>
      </c>
      <c r="BF583" s="3">
        <f t="shared" ca="1" si="358"/>
        <v>0.70917955037494729</v>
      </c>
    </row>
    <row r="584" spans="1:58" ht="15" x14ac:dyDescent="0.25">
      <c r="A584" s="72">
        <v>518</v>
      </c>
      <c r="B584" s="72">
        <v>1498730392.402</v>
      </c>
      <c r="C584" s="73">
        <v>2.77337165899029E-4</v>
      </c>
      <c r="D584" s="73">
        <v>7.9372291636713204E-5</v>
      </c>
      <c r="E584" s="73">
        <v>1.1275615104226901E-2</v>
      </c>
      <c r="F584" s="73">
        <v>6.5422227975217996E-4</v>
      </c>
      <c r="G584" s="73">
        <v>0.20698495211527501</v>
      </c>
      <c r="H584" s="73">
        <v>5.3179401282339599E-5</v>
      </c>
      <c r="I584" s="73">
        <v>0.14951049213086301</v>
      </c>
      <c r="J584" s="73">
        <v>1.7949206357854699</v>
      </c>
      <c r="K584" s="73"/>
      <c r="L584" s="73"/>
      <c r="M584" s="73"/>
      <c r="N584" s="19"/>
      <c r="O584" s="13">
        <f t="shared" ca="1" si="324"/>
        <v>1.2649936627467419E-5</v>
      </c>
      <c r="P584" s="13">
        <f t="shared" ca="1" si="325"/>
        <v>6.8084816251873026E-5</v>
      </c>
      <c r="Q584" s="13">
        <f t="shared" ca="1" si="326"/>
        <v>1.0434875486254215E-2</v>
      </c>
      <c r="R584" s="13">
        <f t="shared" ca="1" si="327"/>
        <v>6.4444600086149882E-4</v>
      </c>
      <c r="S584" s="13">
        <f t="shared" ca="1" si="328"/>
        <v>0.20584987348203365</v>
      </c>
      <c r="T584" s="13">
        <f t="shared" ca="1" si="329"/>
        <v>5.2829579771315509E-5</v>
      </c>
      <c r="U584" s="13">
        <f t="shared" ca="1" si="330"/>
        <v>0.14885664813607449</v>
      </c>
      <c r="V584" s="13">
        <f t="shared" ca="1" si="331"/>
        <v>1.7877818548630158</v>
      </c>
      <c r="X584" s="3">
        <f t="shared" ca="1" si="332"/>
        <v>1.2649936627467419E-5</v>
      </c>
      <c r="Y584" s="3">
        <f t="shared" ca="1" si="333"/>
        <v>6.8084816251873026E-5</v>
      </c>
      <c r="Z584" s="3">
        <f t="shared" ca="1" si="334"/>
        <v>1.043447130043618E-2</v>
      </c>
      <c r="AA584" s="3">
        <f t="shared" ca="1" si="335"/>
        <v>6.346628668567753E-4</v>
      </c>
      <c r="AB584" s="3">
        <f t="shared" ca="1" si="336"/>
        <v>0.20577872759201807</v>
      </c>
      <c r="AC584" s="3">
        <f t="shared" ca="1" si="337"/>
        <v>5.2829579771315509E-5</v>
      </c>
      <c r="AD584" s="3">
        <f t="shared" ca="1" si="338"/>
        <v>0.14875158278848855</v>
      </c>
      <c r="AE584" s="3">
        <f t="shared" ca="1" si="339"/>
        <v>1.7877392217891086</v>
      </c>
      <c r="AG584" s="3">
        <f t="shared" ca="1" si="340"/>
        <v>1.2649936627467419E-5</v>
      </c>
      <c r="AH584" s="3">
        <f t="shared" ca="1" si="341"/>
        <v>6.8084816251873026E-5</v>
      </c>
      <c r="AI584" s="3">
        <f t="shared" ca="1" si="342"/>
        <v>1.0379629342084588E-2</v>
      </c>
      <c r="AJ584" s="3">
        <f t="shared" ca="1" si="343"/>
        <v>6.0437898999150894E-4</v>
      </c>
      <c r="AK584" s="3">
        <f t="shared" ca="1" si="344"/>
        <v>0.20577872759201807</v>
      </c>
      <c r="AL584" s="3">
        <f t="shared" ca="1" si="345"/>
        <v>5.2829579771315509E-5</v>
      </c>
      <c r="AM584" s="3">
        <f t="shared" ca="1" si="346"/>
        <v>0.14875158278848855</v>
      </c>
      <c r="AN584" s="3">
        <f t="shared" ca="1" si="347"/>
        <v>1.7877392217891086</v>
      </c>
      <c r="AP584" s="3">
        <f t="shared" ca="1" si="348"/>
        <v>8.684881970641829</v>
      </c>
      <c r="AQ584" s="3">
        <f t="shared" ca="1" si="320"/>
        <v>0.40010170265506761</v>
      </c>
      <c r="AR584" s="3">
        <f t="shared" ca="1" si="349"/>
        <v>2.5784394221393486E-4</v>
      </c>
      <c r="AS584" s="3">
        <f t="shared" ca="1" si="350"/>
        <v>0.14859880419386057</v>
      </c>
      <c r="AT584" s="3">
        <f t="shared" ca="1" si="351"/>
        <v>0.7088003389665265</v>
      </c>
      <c r="AU584" s="3">
        <f t="shared" ca="1" si="352"/>
        <v>5.2610393920809115E-2</v>
      </c>
      <c r="AV584" s="10">
        <f t="shared" ca="1" si="355"/>
        <v>0.7088003389665265</v>
      </c>
      <c r="AW584" s="10">
        <f t="shared" ca="1" si="356"/>
        <v>0.7088003389665265</v>
      </c>
      <c r="AX584" s="10"/>
      <c r="AY584" s="3">
        <f t="shared" ca="1" si="359"/>
        <v>8.6876775005311728</v>
      </c>
      <c r="AZ584" s="3">
        <f t="shared" ca="1" si="321"/>
        <v>0.40023205151697749</v>
      </c>
      <c r="BA584" s="3">
        <f t="shared" ca="1" si="353"/>
        <v>2.4189184305806042E-4</v>
      </c>
      <c r="BB584" s="3">
        <f t="shared" ca="1" si="322"/>
        <v>0.14850969094543048</v>
      </c>
      <c r="BC584" s="3">
        <f t="shared" ca="1" si="323"/>
        <v>0.70850535305891893</v>
      </c>
      <c r="BD584" s="3">
        <f t="shared" ca="1" si="354"/>
        <v>5.2367190461289397E-2</v>
      </c>
      <c r="BE584" s="3">
        <f t="shared" ca="1" si="357"/>
        <v>0.70850535305891893</v>
      </c>
      <c r="BF584" s="3">
        <f t="shared" ca="1" si="358"/>
        <v>0.70850535305891893</v>
      </c>
    </row>
    <row r="585" spans="1:58" ht="15" x14ac:dyDescent="0.25">
      <c r="A585" s="72">
        <v>519</v>
      </c>
      <c r="B585" s="72">
        <v>1498730392.9289999</v>
      </c>
      <c r="C585" s="73">
        <v>3.1968511865497501E-4</v>
      </c>
      <c r="D585" s="73">
        <v>-8.9774587008769295E-6</v>
      </c>
      <c r="E585" s="73">
        <v>1.18054929935045E-2</v>
      </c>
      <c r="F585" s="73">
        <v>5.9565358164263903E-4</v>
      </c>
      <c r="G585" s="73">
        <v>0.217218670158004</v>
      </c>
      <c r="H585" s="73">
        <v>-5.0331260974789301E-5</v>
      </c>
      <c r="I585" s="73">
        <v>0.15710288420302501</v>
      </c>
      <c r="J585" s="73">
        <v>1.88508559201951</v>
      </c>
      <c r="K585" s="73"/>
      <c r="L585" s="73"/>
      <c r="M585" s="73"/>
      <c r="N585" s="19"/>
      <c r="O585" s="13">
        <f t="shared" ca="1" si="324"/>
        <v>5.4997889383413422E-5</v>
      </c>
      <c r="P585" s="13">
        <f t="shared" ca="1" si="325"/>
        <v>-2.0264934085717101E-5</v>
      </c>
      <c r="Q585" s="13">
        <f t="shared" ca="1" si="326"/>
        <v>1.0964753375531815E-2</v>
      </c>
      <c r="R585" s="13">
        <f t="shared" ca="1" si="327"/>
        <v>5.8587730275195789E-4</v>
      </c>
      <c r="S585" s="13">
        <f t="shared" ca="1" si="328"/>
        <v>0.21608359152476264</v>
      </c>
      <c r="T585" s="13">
        <f t="shared" ca="1" si="329"/>
        <v>-5.0681082485813391E-5</v>
      </c>
      <c r="U585" s="13">
        <f t="shared" ca="1" si="330"/>
        <v>0.1564490402082365</v>
      </c>
      <c r="V585" s="13">
        <f t="shared" ca="1" si="331"/>
        <v>1.8779468110970559</v>
      </c>
      <c r="X585" s="3">
        <f t="shared" ca="1" si="332"/>
        <v>5.4997889383413422E-5</v>
      </c>
      <c r="Y585" s="3">
        <f t="shared" ca="1" si="333"/>
        <v>-2.0264934085717101E-5</v>
      </c>
      <c r="Z585" s="3">
        <f t="shared" ca="1" si="334"/>
        <v>1.0964753375531815E-2</v>
      </c>
      <c r="AA585" s="3">
        <f t="shared" ca="1" si="335"/>
        <v>5.8587730275195789E-4</v>
      </c>
      <c r="AB585" s="3">
        <f t="shared" ca="1" si="336"/>
        <v>0.21608359152476264</v>
      </c>
      <c r="AC585" s="3">
        <f t="shared" ca="1" si="337"/>
        <v>-5.0681082485813391E-5</v>
      </c>
      <c r="AD585" s="3">
        <f t="shared" ca="1" si="338"/>
        <v>0.1564490402082365</v>
      </c>
      <c r="AE585" s="3">
        <f t="shared" ca="1" si="339"/>
        <v>1.8779468110970559</v>
      </c>
      <c r="AG585" s="3">
        <f t="shared" ca="1" si="340"/>
        <v>5.4997889383413422E-5</v>
      </c>
      <c r="AH585" s="3">
        <f t="shared" ca="1" si="341"/>
        <v>-2.0264934085717101E-5</v>
      </c>
      <c r="AI585" s="3">
        <f t="shared" ca="1" si="342"/>
        <v>1.0964753375531815E-2</v>
      </c>
      <c r="AJ585" s="3">
        <f t="shared" ca="1" si="343"/>
        <v>5.8587730275195789E-4</v>
      </c>
      <c r="AK585" s="3">
        <f t="shared" ca="1" si="344"/>
        <v>0.21608359152476264</v>
      </c>
      <c r="AL585" s="3">
        <f t="shared" ca="1" si="345"/>
        <v>-5.0681082485813391E-5</v>
      </c>
      <c r="AM585" s="3">
        <f t="shared" ca="1" si="346"/>
        <v>0.1564490402082365</v>
      </c>
      <c r="AN585" s="3">
        <f t="shared" ca="1" si="347"/>
        <v>1.8779468110970559</v>
      </c>
      <c r="AP585" s="3">
        <f t="shared" ca="1" si="348"/>
        <v>8.6908348655517784</v>
      </c>
      <c r="AQ585" s="3">
        <f t="shared" ca="1" si="320"/>
        <v>0.40037927249601513</v>
      </c>
      <c r="AR585" s="3">
        <f t="shared" ca="1" si="349"/>
        <v>2.3457312824775651E-4</v>
      </c>
      <c r="AS585" s="3">
        <f t="shared" ca="1" si="350"/>
        <v>0.15621446707998873</v>
      </c>
      <c r="AT585" s="3">
        <f t="shared" ca="1" si="351"/>
        <v>0.70959216309203366</v>
      </c>
      <c r="AU585" s="3">
        <f t="shared" ca="1" si="352"/>
        <v>5.2700709370287466E-2</v>
      </c>
      <c r="AV585" s="10" t="str">
        <f t="shared" ca="1" si="355"/>
        <v>rejected</v>
      </c>
      <c r="AW585" s="10" t="e">
        <f t="shared" ca="1" si="356"/>
        <v>#N/A</v>
      </c>
      <c r="AX585" s="10"/>
      <c r="AY585" s="3">
        <f t="shared" ca="1" si="359"/>
        <v>8.6908348655517784</v>
      </c>
      <c r="AZ585" s="3">
        <f t="shared" ca="1" si="321"/>
        <v>0.40037927249601513</v>
      </c>
      <c r="BA585" s="3">
        <f t="shared" ca="1" si="353"/>
        <v>2.3457312824775651E-4</v>
      </c>
      <c r="BB585" s="3">
        <f t="shared" ca="1" si="322"/>
        <v>0.15621446707998873</v>
      </c>
      <c r="BC585" s="3">
        <f t="shared" ca="1" si="323"/>
        <v>0.70959216309203366</v>
      </c>
      <c r="BD585" s="3">
        <f t="shared" ca="1" si="354"/>
        <v>5.2700709370287466E-2</v>
      </c>
      <c r="BE585" s="3" t="str">
        <f t="shared" ca="1" si="357"/>
        <v>rejected</v>
      </c>
      <c r="BF585" s="3" t="e">
        <f t="shared" ca="1" si="358"/>
        <v>#N/A</v>
      </c>
    </row>
    <row r="586" spans="1:58" ht="15" x14ac:dyDescent="0.25">
      <c r="A586" s="72">
        <v>520</v>
      </c>
      <c r="B586" s="72">
        <v>1498730393.4560001</v>
      </c>
      <c r="C586" s="73">
        <v>3.5917977166593698E-4</v>
      </c>
      <c r="D586" s="73">
        <v>6.0473287883610703E-5</v>
      </c>
      <c r="E586" s="73">
        <v>1.20129958840497E-2</v>
      </c>
      <c r="F586" s="73">
        <v>5.9136820196804298E-4</v>
      </c>
      <c r="G586" s="73">
        <v>0.22062318106988499</v>
      </c>
      <c r="H586" s="73">
        <v>-1.01398133101262E-5</v>
      </c>
      <c r="I586" s="73">
        <v>0.15950117345842399</v>
      </c>
      <c r="J586" s="73">
        <v>1.9151370616985299</v>
      </c>
      <c r="K586" s="73"/>
      <c r="L586" s="73"/>
      <c r="M586" s="73"/>
      <c r="N586" s="19"/>
      <c r="O586" s="13">
        <f t="shared" ca="1" si="324"/>
        <v>9.4492542394375401E-5</v>
      </c>
      <c r="P586" s="13">
        <f t="shared" ca="1" si="325"/>
        <v>4.9185812498770532E-5</v>
      </c>
      <c r="Q586" s="13">
        <f t="shared" ca="1" si="326"/>
        <v>1.1172256266077015E-2</v>
      </c>
      <c r="R586" s="13">
        <f t="shared" ca="1" si="327"/>
        <v>5.8159192307736184E-4</v>
      </c>
      <c r="S586" s="13">
        <f t="shared" ca="1" si="328"/>
        <v>0.21948810243664363</v>
      </c>
      <c r="T586" s="13">
        <f t="shared" ca="1" si="329"/>
        <v>-1.0489634821150287E-5</v>
      </c>
      <c r="U586" s="13">
        <f t="shared" ca="1" si="330"/>
        <v>0.15884732946363547</v>
      </c>
      <c r="V586" s="13">
        <f t="shared" ca="1" si="331"/>
        <v>1.9079982807760758</v>
      </c>
      <c r="X586" s="3">
        <f t="shared" ca="1" si="332"/>
        <v>9.4492542394375401E-5</v>
      </c>
      <c r="Y586" s="3">
        <f t="shared" ca="1" si="333"/>
        <v>4.9185812498770532E-5</v>
      </c>
      <c r="Z586" s="3">
        <f t="shared" ca="1" si="334"/>
        <v>1.1172256266077015E-2</v>
      </c>
      <c r="AA586" s="3">
        <f t="shared" ca="1" si="335"/>
        <v>5.8159192307736184E-4</v>
      </c>
      <c r="AB586" s="3">
        <f t="shared" ca="1" si="336"/>
        <v>0.21948810243664363</v>
      </c>
      <c r="AC586" s="3">
        <f t="shared" ca="1" si="337"/>
        <v>-1.0489634821150287E-5</v>
      </c>
      <c r="AD586" s="3">
        <f t="shared" ca="1" si="338"/>
        <v>0.15884732946363547</v>
      </c>
      <c r="AE586" s="3">
        <f t="shared" ca="1" si="339"/>
        <v>1.9079982807760758</v>
      </c>
      <c r="AG586" s="3">
        <f t="shared" ca="1" si="340"/>
        <v>9.4492542394375401E-5</v>
      </c>
      <c r="AH586" s="3">
        <f t="shared" ca="1" si="341"/>
        <v>4.9185812498770532E-5</v>
      </c>
      <c r="AI586" s="3">
        <f t="shared" ca="1" si="342"/>
        <v>1.1132637355003394E-2</v>
      </c>
      <c r="AJ586" s="3">
        <f t="shared" ca="1" si="343"/>
        <v>5.5971425385195844E-4</v>
      </c>
      <c r="AK586" s="3">
        <f t="shared" ca="1" si="344"/>
        <v>0.21948810243664363</v>
      </c>
      <c r="AL586" s="3">
        <f t="shared" ca="1" si="345"/>
        <v>-1.0489634821150287E-5</v>
      </c>
      <c r="AM586" s="3">
        <f t="shared" ca="1" si="346"/>
        <v>0.15884732946363547</v>
      </c>
      <c r="AN586" s="3">
        <f t="shared" ca="1" si="347"/>
        <v>1.9079982807760758</v>
      </c>
      <c r="AP586" s="3">
        <f t="shared" ca="1" si="348"/>
        <v>8.6929462672211546</v>
      </c>
      <c r="AQ586" s="3">
        <f t="shared" ca="1" si="320"/>
        <v>0.40047772286894967</v>
      </c>
      <c r="AR586" s="3">
        <f t="shared" ca="1" si="349"/>
        <v>2.3291460899299522E-4</v>
      </c>
      <c r="AS586" s="3">
        <f t="shared" ca="1" si="350"/>
        <v>0.15861441485464248</v>
      </c>
      <c r="AT586" s="3">
        <f t="shared" ca="1" si="351"/>
        <v>0.70923129436656707</v>
      </c>
      <c r="AU586" s="3">
        <f t="shared" ca="1" si="352"/>
        <v>5.2878269988118308E-2</v>
      </c>
      <c r="AV586" s="10">
        <f t="shared" ca="1" si="355"/>
        <v>0.70923129436656707</v>
      </c>
      <c r="AW586" s="10">
        <f t="shared" ca="1" si="356"/>
        <v>0.70923129436656707</v>
      </c>
      <c r="AX586" s="10"/>
      <c r="AY586" s="3">
        <f t="shared" ca="1" si="359"/>
        <v>8.6929462672211546</v>
      </c>
      <c r="AZ586" s="3">
        <f t="shared" ca="1" si="321"/>
        <v>0.40047772286894967</v>
      </c>
      <c r="BA586" s="3">
        <f t="shared" ca="1" si="353"/>
        <v>2.2415308983992556E-4</v>
      </c>
      <c r="BB586" s="3">
        <f t="shared" ca="1" si="322"/>
        <v>0.15862317637379555</v>
      </c>
      <c r="BC586" s="3">
        <f t="shared" ca="1" si="323"/>
        <v>0.70927047077796224</v>
      </c>
      <c r="BD586" s="3">
        <f t="shared" ca="1" si="354"/>
        <v>5.2690753749097971E-2</v>
      </c>
      <c r="BE586" s="3">
        <f t="shared" ca="1" si="357"/>
        <v>0.70927047077796224</v>
      </c>
      <c r="BF586" s="3">
        <f t="shared" ca="1" si="358"/>
        <v>0.70927047077796224</v>
      </c>
    </row>
    <row r="587" spans="1:58" ht="15" x14ac:dyDescent="0.25">
      <c r="A587" s="72">
        <v>521</v>
      </c>
      <c r="B587" s="72">
        <v>1498730393.983</v>
      </c>
      <c r="C587" s="73">
        <v>3.4799739211258801E-4</v>
      </c>
      <c r="D587" s="73">
        <v>-3.9449211014029703E-5</v>
      </c>
      <c r="E587" s="73">
        <v>1.21210972079054E-2</v>
      </c>
      <c r="F587" s="73">
        <v>6.7565071021969195E-4</v>
      </c>
      <c r="G587" s="73">
        <v>0.22216436540895201</v>
      </c>
      <c r="H587" s="73">
        <v>-3.2008626035132801E-5</v>
      </c>
      <c r="I587" s="73">
        <v>0.16040615670809799</v>
      </c>
      <c r="J587" s="73">
        <v>1.9277756260698899</v>
      </c>
      <c r="K587" s="73"/>
      <c r="L587" s="73"/>
      <c r="M587" s="73"/>
      <c r="N587" s="19"/>
      <c r="O587" s="13">
        <f t="shared" ca="1" si="324"/>
        <v>8.331016284102643E-5</v>
      </c>
      <c r="P587" s="13">
        <f t="shared" ca="1" si="325"/>
        <v>-5.0736686398869875E-5</v>
      </c>
      <c r="Q587" s="13">
        <f t="shared" ca="1" si="326"/>
        <v>1.1280357589932715E-2</v>
      </c>
      <c r="R587" s="13">
        <f t="shared" ca="1" si="327"/>
        <v>6.6587443132901081E-4</v>
      </c>
      <c r="S587" s="13">
        <f t="shared" ca="1" si="328"/>
        <v>0.22102928677571065</v>
      </c>
      <c r="T587" s="13">
        <f t="shared" ca="1" si="329"/>
        <v>-3.235844754615689E-5</v>
      </c>
      <c r="U587" s="13">
        <f t="shared" ca="1" si="330"/>
        <v>0.15975231271330947</v>
      </c>
      <c r="V587" s="13">
        <f t="shared" ca="1" si="331"/>
        <v>1.9206368451474358</v>
      </c>
      <c r="X587" s="3">
        <f t="shared" ca="1" si="332"/>
        <v>8.331016284102643E-5</v>
      </c>
      <c r="Y587" s="3">
        <f t="shared" ca="1" si="333"/>
        <v>-5.0736686398869875E-5</v>
      </c>
      <c r="Z587" s="3">
        <f t="shared" ca="1" si="334"/>
        <v>1.1280357589932715E-2</v>
      </c>
      <c r="AA587" s="3">
        <f t="shared" ca="1" si="335"/>
        <v>6.6587443132901081E-4</v>
      </c>
      <c r="AB587" s="3">
        <f t="shared" ca="1" si="336"/>
        <v>0.22102928677571065</v>
      </c>
      <c r="AC587" s="3">
        <f t="shared" ca="1" si="337"/>
        <v>-3.235844754615689E-5</v>
      </c>
      <c r="AD587" s="3">
        <f t="shared" ca="1" si="338"/>
        <v>0.15975231271330947</v>
      </c>
      <c r="AE587" s="3">
        <f t="shared" ca="1" si="339"/>
        <v>1.9206368451474358</v>
      </c>
      <c r="AG587" s="3">
        <f t="shared" ca="1" si="340"/>
        <v>8.331016284102643E-5</v>
      </c>
      <c r="AH587" s="3">
        <f t="shared" ca="1" si="341"/>
        <v>-5.0736686398869875E-5</v>
      </c>
      <c r="AI587" s="3">
        <f t="shared" ca="1" si="342"/>
        <v>1.1280357589932715E-2</v>
      </c>
      <c r="AJ587" s="3">
        <f t="shared" ca="1" si="343"/>
        <v>6.6587443132901081E-4</v>
      </c>
      <c r="AK587" s="3">
        <f t="shared" ca="1" si="344"/>
        <v>0.22102928677571065</v>
      </c>
      <c r="AL587" s="3">
        <f t="shared" ca="1" si="345"/>
        <v>-3.235844754615689E-5</v>
      </c>
      <c r="AM587" s="3">
        <f t="shared" ca="1" si="346"/>
        <v>0.15975231271330947</v>
      </c>
      <c r="AN587" s="3">
        <f t="shared" ca="1" si="347"/>
        <v>1.9206368451474358</v>
      </c>
      <c r="AP587" s="3">
        <f t="shared" ca="1" si="348"/>
        <v>8.6895129291006619</v>
      </c>
      <c r="AQ587" s="3">
        <f t="shared" ca="1" si="320"/>
        <v>0.40031763343097632</v>
      </c>
      <c r="AR587" s="3">
        <f t="shared" ca="1" si="349"/>
        <v>2.6656127651182674E-4</v>
      </c>
      <c r="AS587" s="3">
        <f t="shared" ca="1" si="350"/>
        <v>0.15948575143679763</v>
      </c>
      <c r="AT587" s="3">
        <f t="shared" ca="1" si="351"/>
        <v>0.70829582950086911</v>
      </c>
      <c r="AU587" s="3">
        <f t="shared" ca="1" si="352"/>
        <v>5.2996211842686394E-2</v>
      </c>
      <c r="AV587" s="10">
        <f t="shared" ca="1" si="355"/>
        <v>0.70829582950086911</v>
      </c>
      <c r="AW587" s="10">
        <f t="shared" ca="1" si="356"/>
        <v>0.70829582950086911</v>
      </c>
      <c r="AX587" s="10"/>
      <c r="AY587" s="3">
        <f t="shared" ca="1" si="359"/>
        <v>8.6895129291006619</v>
      </c>
      <c r="AZ587" s="3">
        <f t="shared" ca="1" si="321"/>
        <v>0.40031763343097632</v>
      </c>
      <c r="BA587" s="3">
        <f t="shared" ca="1" si="353"/>
        <v>2.6656127651182674E-4</v>
      </c>
      <c r="BB587" s="3">
        <f t="shared" ca="1" si="322"/>
        <v>0.15948575143679763</v>
      </c>
      <c r="BC587" s="3">
        <f t="shared" ca="1" si="323"/>
        <v>0.70829582950086911</v>
      </c>
      <c r="BD587" s="3">
        <f t="shared" ca="1" si="354"/>
        <v>5.2996211842686394E-2</v>
      </c>
      <c r="BE587" s="3">
        <f t="shared" ca="1" si="357"/>
        <v>0.70829582950086911</v>
      </c>
      <c r="BF587" s="3">
        <f t="shared" ca="1" si="358"/>
        <v>0.70829582950086911</v>
      </c>
    </row>
    <row r="588" spans="1:58" ht="15" x14ac:dyDescent="0.25">
      <c r="A588" s="72">
        <v>522</v>
      </c>
      <c r="B588" s="72">
        <v>1498730394.51</v>
      </c>
      <c r="C588" s="73">
        <v>2.7472021650230198E-4</v>
      </c>
      <c r="D588" s="73">
        <v>-9.14143816104181E-5</v>
      </c>
      <c r="E588" s="73">
        <v>1.2069813847154101E-2</v>
      </c>
      <c r="F588" s="73">
        <v>7.5255875140903901E-4</v>
      </c>
      <c r="G588" s="73">
        <v>0.22054202794774799</v>
      </c>
      <c r="H588" s="73">
        <v>-5.2977934340703503E-6</v>
      </c>
      <c r="I588" s="73">
        <v>0.15960696374206501</v>
      </c>
      <c r="J588" s="73">
        <v>1.91545620155152</v>
      </c>
      <c r="K588" s="73"/>
      <c r="L588" s="73"/>
      <c r="M588" s="73"/>
      <c r="N588" s="19"/>
      <c r="O588" s="13">
        <f t="shared" ca="1" si="324"/>
        <v>1.0032987230740396E-5</v>
      </c>
      <c r="P588" s="13">
        <f t="shared" ca="1" si="325"/>
        <v>-1.0270185699525828E-4</v>
      </c>
      <c r="Q588" s="13">
        <f t="shared" ca="1" si="326"/>
        <v>1.1229074229181416E-2</v>
      </c>
      <c r="R588" s="13">
        <f t="shared" ca="1" si="327"/>
        <v>7.4278247251835787E-4</v>
      </c>
      <c r="S588" s="13">
        <f t="shared" ca="1" si="328"/>
        <v>0.21940694931450663</v>
      </c>
      <c r="T588" s="13">
        <f t="shared" ca="1" si="329"/>
        <v>-5.6476149450944368E-6</v>
      </c>
      <c r="U588" s="13">
        <f t="shared" ca="1" si="330"/>
        <v>0.15895311974727649</v>
      </c>
      <c r="V588" s="13">
        <f t="shared" ca="1" si="331"/>
        <v>1.9083174206290658</v>
      </c>
      <c r="X588" s="3">
        <f t="shared" ca="1" si="332"/>
        <v>1.0032987230740396E-5</v>
      </c>
      <c r="Y588" s="3">
        <f t="shared" ca="1" si="333"/>
        <v>-1.0270185699525828E-4</v>
      </c>
      <c r="Z588" s="3">
        <f t="shared" ca="1" si="334"/>
        <v>1.1229074229181416E-2</v>
      </c>
      <c r="AA588" s="3">
        <f t="shared" ca="1" si="335"/>
        <v>7.4278247251835787E-4</v>
      </c>
      <c r="AB588" s="3">
        <f t="shared" ca="1" si="336"/>
        <v>0.21940694931450663</v>
      </c>
      <c r="AC588" s="3">
        <f t="shared" ca="1" si="337"/>
        <v>-5.6476149450944368E-6</v>
      </c>
      <c r="AD588" s="3">
        <f t="shared" ca="1" si="338"/>
        <v>0.15895311974727649</v>
      </c>
      <c r="AE588" s="3">
        <f t="shared" ca="1" si="339"/>
        <v>1.9083174206290658</v>
      </c>
      <c r="AG588" s="3">
        <f t="shared" ca="1" si="340"/>
        <v>1.0032987230740396E-5</v>
      </c>
      <c r="AH588" s="3">
        <f t="shared" ca="1" si="341"/>
        <v>-1.0270185699525828E-4</v>
      </c>
      <c r="AI588" s="3">
        <f t="shared" ca="1" si="342"/>
        <v>1.1229074229181416E-2</v>
      </c>
      <c r="AJ588" s="3">
        <f t="shared" ca="1" si="343"/>
        <v>7.4278247251835787E-4</v>
      </c>
      <c r="AK588" s="3">
        <f t="shared" ca="1" si="344"/>
        <v>0.21940694931450663</v>
      </c>
      <c r="AL588" s="3">
        <f t="shared" ca="1" si="345"/>
        <v>-5.6476149450944368E-6</v>
      </c>
      <c r="AM588" s="3">
        <f t="shared" ca="1" si="346"/>
        <v>0.15895311974727649</v>
      </c>
      <c r="AN588" s="3">
        <f t="shared" ca="1" si="347"/>
        <v>1.9083174206290658</v>
      </c>
      <c r="AP588" s="3">
        <f t="shared" ca="1" si="348"/>
        <v>8.697616126522993</v>
      </c>
      <c r="AQ588" s="3">
        <f t="shared" ref="AQ588:AQ651" ca="1" si="360">$B$8*((AP588/$B$10)^$B$11)</f>
        <v>0.40069546995669786</v>
      </c>
      <c r="AR588" s="3">
        <f t="shared" ca="1" si="349"/>
        <v>2.9762957190134143E-4</v>
      </c>
      <c r="AS588" s="3">
        <f t="shared" ca="1" si="350"/>
        <v>0.15865549017537514</v>
      </c>
      <c r="AT588" s="3">
        <f t="shared" ca="1" si="351"/>
        <v>0.70948544197509078</v>
      </c>
      <c r="AU588" s="3">
        <f t="shared" ca="1" si="352"/>
        <v>5.3196072650637027E-2</v>
      </c>
      <c r="AV588" s="10">
        <f t="shared" ca="1" si="355"/>
        <v>0.70948544197509078</v>
      </c>
      <c r="AW588" s="10">
        <f t="shared" ca="1" si="356"/>
        <v>0.70948544197509078</v>
      </c>
      <c r="AX588" s="10"/>
      <c r="AY588" s="3">
        <f t="shared" ca="1" si="359"/>
        <v>8.697616126522993</v>
      </c>
      <c r="AZ588" s="3">
        <f t="shared" ref="AZ588:AZ651" ca="1" si="361">$B$8*((AY588/$B$10)^$B$11)</f>
        <v>0.40069546995669786</v>
      </c>
      <c r="BA588" s="3">
        <f t="shared" ca="1" si="353"/>
        <v>2.9762957190134143E-4</v>
      </c>
      <c r="BB588" s="3">
        <f t="shared" ref="BB588:BB651" ca="1" si="362">AM588-BA588</f>
        <v>0.15865549017537514</v>
      </c>
      <c r="BC588" s="3">
        <f t="shared" ref="BC588:BC651" ca="1" si="363">(BB588/AK588)/((AY588/$B$10)^$B$12)</f>
        <v>0.70948544197509078</v>
      </c>
      <c r="BD588" s="3">
        <f t="shared" ca="1" si="354"/>
        <v>5.3196072650637027E-2</v>
      </c>
      <c r="BE588" s="3">
        <f t="shared" ca="1" si="357"/>
        <v>0.70948544197509078</v>
      </c>
      <c r="BF588" s="3">
        <f t="shared" ca="1" si="358"/>
        <v>0.70948544197509078</v>
      </c>
    </row>
    <row r="589" spans="1:58" ht="15" x14ac:dyDescent="0.25">
      <c r="A589" s="72">
        <v>523</v>
      </c>
      <c r="B589" s="72">
        <v>1498730395.0369999</v>
      </c>
      <c r="C589" s="73">
        <v>3.4823531377802902E-4</v>
      </c>
      <c r="D589" s="73">
        <v>8.5514545364799796E-5</v>
      </c>
      <c r="E589" s="73">
        <v>1.15070716403831E-2</v>
      </c>
      <c r="F589" s="73">
        <v>6.8707939441789499E-4</v>
      </c>
      <c r="G589" s="73">
        <v>0.20774295153769201</v>
      </c>
      <c r="H589" s="73">
        <v>2.3924680970805301E-5</v>
      </c>
      <c r="I589" s="73">
        <v>0.15032005464136899</v>
      </c>
      <c r="J589" s="73">
        <v>1.8063425725532101</v>
      </c>
      <c r="K589" s="73"/>
      <c r="L589" s="73"/>
      <c r="M589" s="73"/>
      <c r="N589" s="19"/>
      <c r="O589" s="13">
        <f t="shared" ca="1" si="324"/>
        <v>8.3548084506467437E-5</v>
      </c>
      <c r="P589" s="13">
        <f t="shared" ca="1" si="325"/>
        <v>7.4227069979959618E-5</v>
      </c>
      <c r="Q589" s="13">
        <f t="shared" ca="1" si="326"/>
        <v>1.0666332022410414E-2</v>
      </c>
      <c r="R589" s="13">
        <f t="shared" ca="1" si="327"/>
        <v>6.7730311552721386E-4</v>
      </c>
      <c r="S589" s="13">
        <f t="shared" ca="1" si="328"/>
        <v>0.20660787290445065</v>
      </c>
      <c r="T589" s="13">
        <f t="shared" ca="1" si="329"/>
        <v>2.3574859459781215E-5</v>
      </c>
      <c r="U589" s="13">
        <f t="shared" ca="1" si="330"/>
        <v>0.14966621064658048</v>
      </c>
      <c r="V589" s="13">
        <f t="shared" ca="1" si="331"/>
        <v>1.7992037916307559</v>
      </c>
      <c r="X589" s="3">
        <f t="shared" ca="1" si="332"/>
        <v>8.3548084506467437E-5</v>
      </c>
      <c r="Y589" s="3">
        <f t="shared" ca="1" si="333"/>
        <v>7.4227069979959618E-5</v>
      </c>
      <c r="Z589" s="3">
        <f t="shared" ca="1" si="334"/>
        <v>1.0666151657094296E-2</v>
      </c>
      <c r="AA589" s="3">
        <f t="shared" ca="1" si="335"/>
        <v>6.7293745503481698E-4</v>
      </c>
      <c r="AB589" s="3">
        <f t="shared" ca="1" si="336"/>
        <v>0.20657612450960219</v>
      </c>
      <c r="AC589" s="3">
        <f t="shared" ca="1" si="337"/>
        <v>2.3574859459781215E-5</v>
      </c>
      <c r="AD589" s="3">
        <f t="shared" ca="1" si="338"/>
        <v>0.14961932591241917</v>
      </c>
      <c r="AE589" s="3">
        <f t="shared" ca="1" si="339"/>
        <v>1.7991847668963163</v>
      </c>
      <c r="AG589" s="3">
        <f t="shared" ca="1" si="340"/>
        <v>8.3548084506467437E-5</v>
      </c>
      <c r="AH589" s="3">
        <f t="shared" ca="1" si="341"/>
        <v>7.4227069979959618E-5</v>
      </c>
      <c r="AI589" s="3">
        <f t="shared" ca="1" si="342"/>
        <v>1.0606362145944816E-2</v>
      </c>
      <c r="AJ589" s="3">
        <f t="shared" ca="1" si="343"/>
        <v>6.3992152621117457E-4</v>
      </c>
      <c r="AK589" s="3">
        <f t="shared" ca="1" si="344"/>
        <v>0.20657612450960219</v>
      </c>
      <c r="AL589" s="3">
        <f t="shared" ca="1" si="345"/>
        <v>2.3574859459781215E-5</v>
      </c>
      <c r="AM589" s="3">
        <f t="shared" ca="1" si="346"/>
        <v>0.14961932591241917</v>
      </c>
      <c r="AN589" s="3">
        <f t="shared" ca="1" si="347"/>
        <v>1.7991847668963163</v>
      </c>
      <c r="AP589" s="3">
        <f t="shared" ca="1" si="348"/>
        <v>8.7083021878010847</v>
      </c>
      <c r="AQ589" s="3">
        <f t="shared" ca="1" si="360"/>
        <v>0.40119374698823462</v>
      </c>
      <c r="AR589" s="3">
        <f t="shared" ca="1" si="349"/>
        <v>2.717297747651681E-4</v>
      </c>
      <c r="AS589" s="3">
        <f t="shared" ca="1" si="350"/>
        <v>0.14939448087181531</v>
      </c>
      <c r="AT589" s="3">
        <f t="shared" ca="1" si="351"/>
        <v>0.70901905248335284</v>
      </c>
      <c r="AU589" s="3">
        <f t="shared" ca="1" si="352"/>
        <v>5.3727901972697466E-2</v>
      </c>
      <c r="AV589" s="10">
        <f t="shared" ca="1" si="355"/>
        <v>0.70901905248335284</v>
      </c>
      <c r="AW589" s="10">
        <f t="shared" ca="1" si="356"/>
        <v>0.70901905248335284</v>
      </c>
      <c r="AX589" s="10"/>
      <c r="AY589" s="3">
        <f t="shared" ca="1" si="359"/>
        <v>8.7095484590363963</v>
      </c>
      <c r="AZ589" s="3">
        <f t="shared" ca="1" si="361"/>
        <v>0.40125185946555392</v>
      </c>
      <c r="BA589" s="3">
        <f t="shared" ca="1" si="353"/>
        <v>2.56769702304269E-4</v>
      </c>
      <c r="BB589" s="3">
        <f t="shared" ca="1" si="362"/>
        <v>0.14936255621011491</v>
      </c>
      <c r="BC589" s="3">
        <f t="shared" ca="1" si="363"/>
        <v>0.70892539345831618</v>
      </c>
      <c r="BD589" s="3">
        <f t="shared" ca="1" si="354"/>
        <v>5.3441860635956538E-2</v>
      </c>
      <c r="BE589" s="3">
        <f t="shared" ca="1" si="357"/>
        <v>0.70892539345831618</v>
      </c>
      <c r="BF589" s="3">
        <f t="shared" ca="1" si="358"/>
        <v>0.70892539345831618</v>
      </c>
    </row>
    <row r="590" spans="1:58" ht="15" x14ac:dyDescent="0.25">
      <c r="A590" s="72">
        <v>524</v>
      </c>
      <c r="B590" s="72">
        <v>1498730395.5639999</v>
      </c>
      <c r="C590" s="73">
        <v>2.1143971006373801E-4</v>
      </c>
      <c r="D590" s="73">
        <v>1.3936025761658499E-5</v>
      </c>
      <c r="E590" s="73">
        <v>1.0476582011621801E-2</v>
      </c>
      <c r="F590" s="73">
        <v>5.8827321696944604E-4</v>
      </c>
      <c r="G590" s="73">
        <v>0.18935587842304699</v>
      </c>
      <c r="H590" s="73">
        <v>-4.5891853299982204E-6</v>
      </c>
      <c r="I590" s="73">
        <v>0.13707039112361799</v>
      </c>
      <c r="J590" s="73">
        <v>1.6458177694729099</v>
      </c>
      <c r="K590" s="73"/>
      <c r="L590" s="73"/>
      <c r="M590" s="73"/>
      <c r="N590" s="19"/>
      <c r="O590" s="13">
        <f t="shared" ca="1" si="324"/>
        <v>-5.3247519207823572E-5</v>
      </c>
      <c r="P590" s="13">
        <f t="shared" ca="1" si="325"/>
        <v>2.6485503768183261E-6</v>
      </c>
      <c r="Q590" s="13">
        <f t="shared" ca="1" si="326"/>
        <v>9.6358423936491154E-3</v>
      </c>
      <c r="R590" s="13">
        <f t="shared" ca="1" si="327"/>
        <v>5.7849693807876491E-4</v>
      </c>
      <c r="S590" s="13">
        <f t="shared" ca="1" si="328"/>
        <v>0.18822079978980563</v>
      </c>
      <c r="T590" s="13">
        <f t="shared" ca="1" si="329"/>
        <v>-4.9390068410223068E-6</v>
      </c>
      <c r="U590" s="13">
        <f t="shared" ca="1" si="330"/>
        <v>0.13641654712882947</v>
      </c>
      <c r="V590" s="13">
        <f t="shared" ca="1" si="331"/>
        <v>1.6386789885504558</v>
      </c>
      <c r="X590" s="3">
        <f t="shared" ca="1" si="332"/>
        <v>-5.3247519207823572E-5</v>
      </c>
      <c r="Y590" s="3">
        <f t="shared" ca="1" si="333"/>
        <v>2.6485503768183261E-6</v>
      </c>
      <c r="Z590" s="3">
        <f t="shared" ca="1" si="334"/>
        <v>9.6358423936491154E-3</v>
      </c>
      <c r="AA590" s="3">
        <f t="shared" ca="1" si="335"/>
        <v>5.7849693807876491E-4</v>
      </c>
      <c r="AB590" s="3">
        <f t="shared" ca="1" si="336"/>
        <v>0.18822079978980563</v>
      </c>
      <c r="AC590" s="3">
        <f t="shared" ca="1" si="337"/>
        <v>-4.9390068410223068E-6</v>
      </c>
      <c r="AD590" s="3">
        <f t="shared" ca="1" si="338"/>
        <v>0.13641654712882947</v>
      </c>
      <c r="AE590" s="3">
        <f t="shared" ca="1" si="339"/>
        <v>1.6386789885504558</v>
      </c>
      <c r="AG590" s="3">
        <f t="shared" ca="1" si="340"/>
        <v>-5.3247519207823572E-5</v>
      </c>
      <c r="AH590" s="3">
        <f t="shared" ca="1" si="341"/>
        <v>2.6485503768183261E-6</v>
      </c>
      <c r="AI590" s="3">
        <f t="shared" ca="1" si="342"/>
        <v>9.6337090003691776E-3</v>
      </c>
      <c r="AJ590" s="3">
        <f t="shared" ca="1" si="343"/>
        <v>5.7731887257314173E-4</v>
      </c>
      <c r="AK590" s="3">
        <f t="shared" ca="1" si="344"/>
        <v>0.18822079978980563</v>
      </c>
      <c r="AL590" s="3">
        <f t="shared" ca="1" si="345"/>
        <v>-4.9390068410223068E-6</v>
      </c>
      <c r="AM590" s="3">
        <f t="shared" ca="1" si="346"/>
        <v>0.13641654712882947</v>
      </c>
      <c r="AN590" s="3">
        <f t="shared" ca="1" si="347"/>
        <v>1.6386789885504558</v>
      </c>
      <c r="AP590" s="3">
        <f t="shared" ca="1" si="348"/>
        <v>8.7061525101393684</v>
      </c>
      <c r="AQ590" s="3">
        <f t="shared" ca="1" si="360"/>
        <v>0.40109350974021124</v>
      </c>
      <c r="AR590" s="3">
        <f t="shared" ca="1" si="349"/>
        <v>2.3203136726797748E-4</v>
      </c>
      <c r="AS590" s="3">
        <f t="shared" ca="1" si="350"/>
        <v>0.13618451576156149</v>
      </c>
      <c r="AT590" s="3">
        <f t="shared" ca="1" si="351"/>
        <v>0.70955216660195419</v>
      </c>
      <c r="AU590" s="3">
        <f t="shared" ca="1" si="352"/>
        <v>5.326525498212701E-2</v>
      </c>
      <c r="AV590" s="10" t="str">
        <f t="shared" ca="1" si="355"/>
        <v>rejected</v>
      </c>
      <c r="AW590" s="10" t="e">
        <f t="shared" ca="1" si="356"/>
        <v>#N/A</v>
      </c>
      <c r="AX590" s="10"/>
      <c r="AY590" s="3">
        <f t="shared" ca="1" si="359"/>
        <v>8.7061525101393684</v>
      </c>
      <c r="AZ590" s="3">
        <f t="shared" ca="1" si="361"/>
        <v>0.40109350974021124</v>
      </c>
      <c r="BA590" s="3">
        <f t="shared" ca="1" si="353"/>
        <v>2.315588528396232E-4</v>
      </c>
      <c r="BB590" s="3">
        <f t="shared" ca="1" si="362"/>
        <v>0.13618498827598985</v>
      </c>
      <c r="BC590" s="3">
        <f t="shared" ca="1" si="363"/>
        <v>0.70955462850912854</v>
      </c>
      <c r="BD590" s="3">
        <f t="shared" ca="1" si="354"/>
        <v>5.3253461956422492E-2</v>
      </c>
      <c r="BE590" s="3" t="str">
        <f t="shared" ca="1" si="357"/>
        <v>rejected</v>
      </c>
      <c r="BF590" s="3" t="e">
        <f t="shared" ca="1" si="358"/>
        <v>#N/A</v>
      </c>
    </row>
    <row r="591" spans="1:58" ht="15" x14ac:dyDescent="0.25">
      <c r="A591" s="72">
        <v>525</v>
      </c>
      <c r="B591" s="72">
        <v>1498730396.092</v>
      </c>
      <c r="C591" s="73">
        <v>2.2428580424937601E-4</v>
      </c>
      <c r="D591" s="73">
        <v>8.7168235557629205E-5</v>
      </c>
      <c r="E591" s="73">
        <v>9.9040301029907907E-3</v>
      </c>
      <c r="F591" s="73">
        <v>5.3661219100235695E-4</v>
      </c>
      <c r="G591" s="73">
        <v>0.17823665493386401</v>
      </c>
      <c r="H591" s="73">
        <v>-3.0119502074179501E-5</v>
      </c>
      <c r="I591" s="73">
        <v>0.12887279864925</v>
      </c>
      <c r="J591" s="73">
        <v>1.5478986551262901</v>
      </c>
      <c r="K591" s="73"/>
      <c r="L591" s="73"/>
      <c r="M591" s="73"/>
      <c r="N591" s="19"/>
      <c r="O591" s="13">
        <f t="shared" ca="1" si="324"/>
        <v>-4.0401425022185573E-5</v>
      </c>
      <c r="P591" s="13">
        <f t="shared" ca="1" si="325"/>
        <v>7.5880760172789027E-5</v>
      </c>
      <c r="Q591" s="13">
        <f t="shared" ca="1" si="326"/>
        <v>9.0632904850181054E-3</v>
      </c>
      <c r="R591" s="13">
        <f t="shared" ca="1" si="327"/>
        <v>5.2683591211167581E-4</v>
      </c>
      <c r="S591" s="13">
        <f t="shared" ca="1" si="328"/>
        <v>0.17710157630062265</v>
      </c>
      <c r="T591" s="13">
        <f t="shared" ca="1" si="329"/>
        <v>-3.0469323585203587E-5</v>
      </c>
      <c r="U591" s="13">
        <f t="shared" ca="1" si="330"/>
        <v>0.12821895465446148</v>
      </c>
      <c r="V591" s="13">
        <f t="shared" ca="1" si="331"/>
        <v>1.540759874203836</v>
      </c>
      <c r="X591" s="3">
        <f t="shared" ca="1" si="332"/>
        <v>-4.0401425022185573E-5</v>
      </c>
      <c r="Y591" s="3">
        <f t="shared" ca="1" si="333"/>
        <v>7.5880760172789027E-5</v>
      </c>
      <c r="Z591" s="3">
        <f t="shared" ca="1" si="334"/>
        <v>9.0632904850181054E-3</v>
      </c>
      <c r="AA591" s="3">
        <f t="shared" ca="1" si="335"/>
        <v>5.2683591211167581E-4</v>
      </c>
      <c r="AB591" s="3">
        <f t="shared" ca="1" si="336"/>
        <v>0.17710157630062265</v>
      </c>
      <c r="AC591" s="3">
        <f t="shared" ca="1" si="337"/>
        <v>-3.0469323585203587E-5</v>
      </c>
      <c r="AD591" s="3">
        <f t="shared" ca="1" si="338"/>
        <v>0.12821895465446148</v>
      </c>
      <c r="AE591" s="3">
        <f t="shared" ca="1" si="339"/>
        <v>1.540759874203836</v>
      </c>
      <c r="AG591" s="3">
        <f t="shared" ca="1" si="340"/>
        <v>-4.0401425022185573E-5</v>
      </c>
      <c r="AH591" s="3">
        <f t="shared" ca="1" si="341"/>
        <v>7.5880760172789027E-5</v>
      </c>
      <c r="AI591" s="3">
        <f t="shared" ca="1" si="342"/>
        <v>9.0021689351898974E-3</v>
      </c>
      <c r="AJ591" s="3">
        <f t="shared" ca="1" si="343"/>
        <v>4.9308442794794593E-4</v>
      </c>
      <c r="AK591" s="3">
        <f t="shared" ca="1" si="344"/>
        <v>0.17710157630062265</v>
      </c>
      <c r="AL591" s="3">
        <f t="shared" ca="1" si="345"/>
        <v>-3.0469323585203587E-5</v>
      </c>
      <c r="AM591" s="3">
        <f t="shared" ca="1" si="346"/>
        <v>0.12821895465446148</v>
      </c>
      <c r="AN591" s="3">
        <f t="shared" ca="1" si="347"/>
        <v>1.540759874203836</v>
      </c>
      <c r="AP591" s="3">
        <f t="shared" ca="1" si="348"/>
        <v>8.6998653901784557</v>
      </c>
      <c r="AQ591" s="3">
        <f t="shared" ca="1" si="360"/>
        <v>0.40080034955626265</v>
      </c>
      <c r="AR591" s="3">
        <f t="shared" ca="1" si="349"/>
        <v>2.1115601773315213E-4</v>
      </c>
      <c r="AS591" s="3">
        <f t="shared" ca="1" si="350"/>
        <v>0.12800779863672834</v>
      </c>
      <c r="AT591" s="3">
        <f t="shared" ca="1" si="351"/>
        <v>0.70908159451603148</v>
      </c>
      <c r="AU591" s="3">
        <f t="shared" ca="1" si="352"/>
        <v>5.3206461572173437E-2</v>
      </c>
      <c r="AV591" s="10">
        <f t="shared" ca="1" si="355"/>
        <v>0.70908159451603148</v>
      </c>
      <c r="AW591" s="10">
        <f t="shared" ca="1" si="356"/>
        <v>0.70908159451603148</v>
      </c>
      <c r="AX591" s="10"/>
      <c r="AY591" s="3">
        <f t="shared" ca="1" si="359"/>
        <v>8.6998653901784557</v>
      </c>
      <c r="AZ591" s="3">
        <f t="shared" ca="1" si="361"/>
        <v>0.40080034955626265</v>
      </c>
      <c r="BA591" s="3">
        <f t="shared" ca="1" si="353"/>
        <v>1.9762841108228652E-4</v>
      </c>
      <c r="BB591" s="3">
        <f t="shared" ca="1" si="362"/>
        <v>0.1280213262433792</v>
      </c>
      <c r="BC591" s="3">
        <f t="shared" ca="1" si="363"/>
        <v>0.70915652883250391</v>
      </c>
      <c r="BD591" s="3">
        <f t="shared" ca="1" si="354"/>
        <v>5.2847644716690102E-2</v>
      </c>
      <c r="BE591" s="3">
        <f t="shared" ca="1" si="357"/>
        <v>0.70915652883250391</v>
      </c>
      <c r="BF591" s="3">
        <f t="shared" ca="1" si="358"/>
        <v>0.70915652883250391</v>
      </c>
    </row>
    <row r="592" spans="1:58" ht="15" x14ac:dyDescent="0.25">
      <c r="A592" s="72">
        <v>526</v>
      </c>
      <c r="B592" s="72">
        <v>1498730396.619</v>
      </c>
      <c r="C592" s="73">
        <v>2.9851091779009602E-4</v>
      </c>
      <c r="D592" s="73">
        <v>-2.0552110505113001E-5</v>
      </c>
      <c r="E592" s="73">
        <v>1.00349805506492E-2</v>
      </c>
      <c r="F592" s="73">
        <v>5.0423613571765503E-4</v>
      </c>
      <c r="G592" s="73">
        <v>0.18227318767237799</v>
      </c>
      <c r="H592" s="73">
        <v>1.6364282376518399E-5</v>
      </c>
      <c r="I592" s="73">
        <v>0.13154554889978101</v>
      </c>
      <c r="J592" s="73">
        <v>1.57920198641965</v>
      </c>
      <c r="K592" s="73"/>
      <c r="L592" s="73"/>
      <c r="M592" s="73"/>
      <c r="N592" s="19"/>
      <c r="O592" s="13">
        <f t="shared" ca="1" si="324"/>
        <v>3.3823688518534441E-5</v>
      </c>
      <c r="P592" s="13">
        <f t="shared" ca="1" si="325"/>
        <v>-3.1839585889953175E-5</v>
      </c>
      <c r="Q592" s="13">
        <f t="shared" ca="1" si="326"/>
        <v>9.1942409326765152E-3</v>
      </c>
      <c r="R592" s="13">
        <f t="shared" ca="1" si="327"/>
        <v>4.9445985682697389E-4</v>
      </c>
      <c r="S592" s="13">
        <f t="shared" ca="1" si="328"/>
        <v>0.18113810903913663</v>
      </c>
      <c r="T592" s="13">
        <f t="shared" ca="1" si="329"/>
        <v>1.6014460865494313E-5</v>
      </c>
      <c r="U592" s="13">
        <f t="shared" ca="1" si="330"/>
        <v>0.1308917049049925</v>
      </c>
      <c r="V592" s="13">
        <f t="shared" ca="1" si="331"/>
        <v>1.5720632054971959</v>
      </c>
      <c r="X592" s="3">
        <f t="shared" ca="1" si="332"/>
        <v>3.3823688518534441E-5</v>
      </c>
      <c r="Y592" s="3">
        <f t="shared" ca="1" si="333"/>
        <v>-3.1839585889953175E-5</v>
      </c>
      <c r="Z592" s="3">
        <f t="shared" ca="1" si="334"/>
        <v>9.194118410067148E-3</v>
      </c>
      <c r="AA592" s="3">
        <f t="shared" ca="1" si="335"/>
        <v>4.9149425275935271E-4</v>
      </c>
      <c r="AB592" s="3">
        <f t="shared" ca="1" si="336"/>
        <v>0.18111654227528337</v>
      </c>
      <c r="AC592" s="3">
        <f t="shared" ca="1" si="337"/>
        <v>1.6014460865494313E-5</v>
      </c>
      <c r="AD592" s="3">
        <f t="shared" ca="1" si="338"/>
        <v>0.1308598559880691</v>
      </c>
      <c r="AE592" s="3">
        <f t="shared" ca="1" si="339"/>
        <v>1.5720502819476121</v>
      </c>
      <c r="AG592" s="3">
        <f t="shared" ca="1" si="340"/>
        <v>3.3823688518534441E-5</v>
      </c>
      <c r="AH592" s="3">
        <f t="shared" ca="1" si="341"/>
        <v>-3.1839585889953175E-5</v>
      </c>
      <c r="AI592" s="3">
        <f t="shared" ca="1" si="342"/>
        <v>9.194118410067148E-3</v>
      </c>
      <c r="AJ592" s="3">
        <f t="shared" ca="1" si="343"/>
        <v>4.9149425275935271E-4</v>
      </c>
      <c r="AK592" s="3">
        <f t="shared" ca="1" si="344"/>
        <v>0.18111654227528337</v>
      </c>
      <c r="AL592" s="3">
        <f t="shared" ca="1" si="345"/>
        <v>1.6014460865494313E-5</v>
      </c>
      <c r="AM592" s="3">
        <f t="shared" ca="1" si="346"/>
        <v>0.1308598559880691</v>
      </c>
      <c r="AN592" s="3">
        <f t="shared" ca="1" si="347"/>
        <v>1.5720502819476121</v>
      </c>
      <c r="AP592" s="3">
        <f t="shared" ca="1" si="348"/>
        <v>8.6788098530803168</v>
      </c>
      <c r="AQ592" s="3">
        <f t="shared" ca="1" si="360"/>
        <v>0.39981857611258098</v>
      </c>
      <c r="AR592" s="3">
        <f t="shared" ca="1" si="349"/>
        <v>1.9769423590139135E-4</v>
      </c>
      <c r="AS592" s="3">
        <f t="shared" ca="1" si="350"/>
        <v>0.13069401066909112</v>
      </c>
      <c r="AT592" s="3">
        <f t="shared" ca="1" si="351"/>
        <v>0.70869281116194949</v>
      </c>
      <c r="AU592" s="3">
        <f t="shared" ca="1" si="352"/>
        <v>5.2641726885993514E-2</v>
      </c>
      <c r="AV592" s="10">
        <f t="shared" ca="1" si="355"/>
        <v>0.70869281116194949</v>
      </c>
      <c r="AW592" s="10">
        <f t="shared" ca="1" si="356"/>
        <v>0.70869281116194949</v>
      </c>
      <c r="AX592" s="10"/>
      <c r="AY592" s="3">
        <f t="shared" ca="1" si="359"/>
        <v>8.6797719424116178</v>
      </c>
      <c r="AZ592" s="3">
        <f t="shared" ca="1" si="361"/>
        <v>0.39986343559542387</v>
      </c>
      <c r="BA592" s="3">
        <f t="shared" ca="1" si="353"/>
        <v>1.9653058048376042E-4</v>
      </c>
      <c r="BB592" s="3">
        <f t="shared" ca="1" si="362"/>
        <v>0.13066332540758532</v>
      </c>
      <c r="BC592" s="3">
        <f t="shared" ca="1" si="363"/>
        <v>0.70857123278166123</v>
      </c>
      <c r="BD592" s="3">
        <f t="shared" ca="1" si="354"/>
        <v>5.2653265619462201E-2</v>
      </c>
      <c r="BE592" s="3">
        <f t="shared" ca="1" si="357"/>
        <v>0.70857123278166123</v>
      </c>
      <c r="BF592" s="3">
        <f t="shared" ca="1" si="358"/>
        <v>0.70857123278166123</v>
      </c>
    </row>
    <row r="593" spans="1:58" ht="15" x14ac:dyDescent="0.25">
      <c r="A593" s="72">
        <v>527</v>
      </c>
      <c r="B593" s="72">
        <v>1498730397.145</v>
      </c>
      <c r="C593" s="73">
        <v>3.8392420557102597E-4</v>
      </c>
      <c r="D593" s="73">
        <v>-7.1809659700429405E-5</v>
      </c>
      <c r="E593" s="73">
        <v>1.03660431406459E-2</v>
      </c>
      <c r="F593" s="73">
        <v>7.3612898213407498E-4</v>
      </c>
      <c r="G593" s="73">
        <v>0.187980923596997</v>
      </c>
      <c r="H593" s="73">
        <v>9.1379484527632094E-5</v>
      </c>
      <c r="I593" s="73">
        <v>0.13584032484988701</v>
      </c>
      <c r="J593" s="73">
        <v>1.62994211594861</v>
      </c>
      <c r="K593" s="73"/>
      <c r="L593" s="73"/>
      <c r="M593" s="73"/>
      <c r="N593" s="19"/>
      <c r="O593" s="13">
        <f t="shared" ca="1" si="324"/>
        <v>1.1923697629946439E-4</v>
      </c>
      <c r="P593" s="13">
        <f t="shared" ca="1" si="325"/>
        <v>-8.3097135085269584E-5</v>
      </c>
      <c r="Q593" s="13">
        <f t="shared" ca="1" si="326"/>
        <v>9.5253035226732143E-3</v>
      </c>
      <c r="R593" s="13">
        <f t="shared" ca="1" si="327"/>
        <v>7.2635270324339384E-4</v>
      </c>
      <c r="S593" s="13">
        <f t="shared" ca="1" si="328"/>
        <v>0.18684584496375564</v>
      </c>
      <c r="T593" s="13">
        <f t="shared" ca="1" si="329"/>
        <v>9.1029663016608004E-5</v>
      </c>
      <c r="U593" s="13">
        <f t="shared" ca="1" si="330"/>
        <v>0.13518648085509849</v>
      </c>
      <c r="V593" s="13">
        <f t="shared" ca="1" si="331"/>
        <v>1.6228033350261559</v>
      </c>
      <c r="X593" s="3">
        <f t="shared" ca="1" si="332"/>
        <v>1.1923697629946439E-4</v>
      </c>
      <c r="Y593" s="3">
        <f t="shared" ca="1" si="333"/>
        <v>-8.3097135085269584E-5</v>
      </c>
      <c r="Z593" s="3">
        <f t="shared" ca="1" si="334"/>
        <v>9.524607077632934E-3</v>
      </c>
      <c r="AA593" s="3">
        <f t="shared" ca="1" si="335"/>
        <v>7.0949556760931793E-4</v>
      </c>
      <c r="AB593" s="3">
        <f t="shared" ca="1" si="336"/>
        <v>0.18672325480836979</v>
      </c>
      <c r="AC593" s="3">
        <f t="shared" ca="1" si="337"/>
        <v>9.1029663016608004E-5</v>
      </c>
      <c r="AD593" s="3">
        <f t="shared" ca="1" si="338"/>
        <v>0.13500544471536632</v>
      </c>
      <c r="AE593" s="3">
        <f t="shared" ca="1" si="339"/>
        <v>1.6227298747721099</v>
      </c>
      <c r="AG593" s="3">
        <f t="shared" ca="1" si="340"/>
        <v>1.1923697629946439E-4</v>
      </c>
      <c r="AH593" s="3">
        <f t="shared" ca="1" si="341"/>
        <v>-8.3097135085269584E-5</v>
      </c>
      <c r="AI593" s="3">
        <f t="shared" ca="1" si="342"/>
        <v>9.524607077632934E-3</v>
      </c>
      <c r="AJ593" s="3">
        <f t="shared" ca="1" si="343"/>
        <v>7.0949556760931793E-4</v>
      </c>
      <c r="AK593" s="3">
        <f t="shared" ca="1" si="344"/>
        <v>0.18672325480836979</v>
      </c>
      <c r="AL593" s="3">
        <f t="shared" ca="1" si="345"/>
        <v>9.1029663016608004E-5</v>
      </c>
      <c r="AM593" s="3">
        <f t="shared" ca="1" si="346"/>
        <v>0.13500544471536632</v>
      </c>
      <c r="AN593" s="3">
        <f t="shared" ca="1" si="347"/>
        <v>1.6227298747721099</v>
      </c>
      <c r="AP593" s="3">
        <f t="shared" ca="1" si="348"/>
        <v>8.6852524622152956</v>
      </c>
      <c r="AQ593" s="3">
        <f t="shared" ca="1" si="360"/>
        <v>0.40011897776035849</v>
      </c>
      <c r="AR593" s="3">
        <f t="shared" ca="1" si="349"/>
        <v>2.9062750111521975E-4</v>
      </c>
      <c r="AS593" s="3">
        <f t="shared" ca="1" si="350"/>
        <v>0.13489585335398327</v>
      </c>
      <c r="AT593" s="3">
        <f t="shared" ca="1" si="351"/>
        <v>0.70886744544784541</v>
      </c>
      <c r="AU593" s="3">
        <f t="shared" ca="1" si="352"/>
        <v>5.2911396319446913E-2</v>
      </c>
      <c r="AV593" s="10">
        <f t="shared" ca="1" si="355"/>
        <v>0.70886744544784541</v>
      </c>
      <c r="AW593" s="10">
        <f t="shared" ca="1" si="356"/>
        <v>0.70886744544784541</v>
      </c>
      <c r="AX593" s="10"/>
      <c r="AY593" s="3">
        <f t="shared" ca="1" si="359"/>
        <v>8.6905612074804708</v>
      </c>
      <c r="AZ593" s="3">
        <f t="shared" ca="1" si="361"/>
        <v>0.40036651239700977</v>
      </c>
      <c r="BA593" s="3">
        <f t="shared" ca="1" si="353"/>
        <v>2.8405826596487947E-4</v>
      </c>
      <c r="BB593" s="3">
        <f t="shared" ca="1" si="362"/>
        <v>0.13472138644940143</v>
      </c>
      <c r="BC593" s="3">
        <f t="shared" ca="1" si="363"/>
        <v>0.70819746822362717</v>
      </c>
      <c r="BD593" s="3">
        <f t="shared" ca="1" si="354"/>
        <v>5.2975376158839252E-2</v>
      </c>
      <c r="BE593" s="3">
        <f t="shared" ca="1" si="357"/>
        <v>0.70819746822362717</v>
      </c>
      <c r="BF593" s="3">
        <f t="shared" ca="1" si="358"/>
        <v>0.70819746822362717</v>
      </c>
    </row>
    <row r="594" spans="1:58" ht="15" x14ac:dyDescent="0.25">
      <c r="A594" s="72">
        <v>528</v>
      </c>
      <c r="B594" s="72">
        <v>1498730397.6719999</v>
      </c>
      <c r="C594" s="73">
        <v>2.77337165899029E-4</v>
      </c>
      <c r="D594" s="73">
        <v>9.8271655373390602E-5</v>
      </c>
      <c r="E594" s="73">
        <v>1.14719407292979E-2</v>
      </c>
      <c r="F594" s="73">
        <v>8.4661842889735301E-4</v>
      </c>
      <c r="G594" s="73">
        <v>0.20703964109610601</v>
      </c>
      <c r="H594" s="73">
        <v>7.2466713902782695E-5</v>
      </c>
      <c r="I594" s="73">
        <v>0.14969227125485901</v>
      </c>
      <c r="J594" s="73">
        <v>1.79382171039339</v>
      </c>
      <c r="K594" s="73"/>
      <c r="L594" s="73"/>
      <c r="M594" s="73"/>
      <c r="N594" s="19"/>
      <c r="O594" s="13">
        <f t="shared" ca="1" si="324"/>
        <v>1.2649936627467419E-5</v>
      </c>
      <c r="P594" s="13">
        <f t="shared" ca="1" si="325"/>
        <v>8.6984179988550424E-5</v>
      </c>
      <c r="Q594" s="13">
        <f t="shared" ca="1" si="326"/>
        <v>1.0631201111325215E-2</v>
      </c>
      <c r="R594" s="13">
        <f t="shared" ca="1" si="327"/>
        <v>8.3684215000667187E-4</v>
      </c>
      <c r="S594" s="13">
        <f t="shared" ca="1" si="328"/>
        <v>0.20590456246286465</v>
      </c>
      <c r="T594" s="13">
        <f t="shared" ca="1" si="329"/>
        <v>7.2116892391758605E-5</v>
      </c>
      <c r="U594" s="13">
        <f t="shared" ca="1" si="330"/>
        <v>0.14903842726007049</v>
      </c>
      <c r="V594" s="13">
        <f t="shared" ca="1" si="331"/>
        <v>1.7866829294709359</v>
      </c>
      <c r="X594" s="3">
        <f t="shared" ca="1" si="332"/>
        <v>1.2649936627467419E-5</v>
      </c>
      <c r="Y594" s="3">
        <f t="shared" ca="1" si="333"/>
        <v>8.6984179988550424E-5</v>
      </c>
      <c r="Z594" s="3">
        <f t="shared" ca="1" si="334"/>
        <v>1.0630649363132787E-2</v>
      </c>
      <c r="AA594" s="3">
        <f t="shared" ca="1" si="335"/>
        <v>8.2348733580359026E-4</v>
      </c>
      <c r="AB594" s="3">
        <f t="shared" ca="1" si="336"/>
        <v>0.20580744224126571</v>
      </c>
      <c r="AC594" s="3">
        <f t="shared" ca="1" si="337"/>
        <v>7.2116892391758605E-5</v>
      </c>
      <c r="AD594" s="3">
        <f t="shared" ca="1" si="338"/>
        <v>0.1488950040793684</v>
      </c>
      <c r="AE594" s="3">
        <f t="shared" ca="1" si="339"/>
        <v>1.7866247316806714</v>
      </c>
      <c r="AG594" s="3">
        <f t="shared" ca="1" si="340"/>
        <v>1.2649936627467419E-5</v>
      </c>
      <c r="AH594" s="3">
        <f t="shared" ca="1" si="341"/>
        <v>8.6984179988550424E-5</v>
      </c>
      <c r="AI594" s="3">
        <f t="shared" ca="1" si="342"/>
        <v>1.0560584067538363E-2</v>
      </c>
      <c r="AJ594" s="3">
        <f t="shared" ca="1" si="343"/>
        <v>7.8479709117908539E-4</v>
      </c>
      <c r="AK594" s="3">
        <f t="shared" ca="1" si="344"/>
        <v>0.20580744224126571</v>
      </c>
      <c r="AL594" s="3">
        <f t="shared" ca="1" si="345"/>
        <v>7.2116892391758605E-5</v>
      </c>
      <c r="AM594" s="3">
        <f t="shared" ca="1" si="346"/>
        <v>0.1488950040793684</v>
      </c>
      <c r="AN594" s="3">
        <f t="shared" ca="1" si="347"/>
        <v>1.7866247316806714</v>
      </c>
      <c r="AP594" s="3">
        <f t="shared" ca="1" si="348"/>
        <v>8.6772381733560096</v>
      </c>
      <c r="AQ594" s="3">
        <f t="shared" ca="1" si="360"/>
        <v>0.39974529329725156</v>
      </c>
      <c r="AR594" s="3">
        <f t="shared" ca="1" si="349"/>
        <v>3.3452371069791966E-4</v>
      </c>
      <c r="AS594" s="3">
        <f t="shared" ca="1" si="350"/>
        <v>0.14870390354937257</v>
      </c>
      <c r="AT594" s="3">
        <f t="shared" ca="1" si="351"/>
        <v>0.70942776408888908</v>
      </c>
      <c r="AU594" s="3">
        <f t="shared" ca="1" si="352"/>
        <v>5.3537730492839171E-2</v>
      </c>
      <c r="AV594" s="10">
        <f t="shared" ca="1" si="355"/>
        <v>0.70942776408888908</v>
      </c>
      <c r="AW594" s="10">
        <f t="shared" ca="1" si="356"/>
        <v>0.70942776408888908</v>
      </c>
      <c r="AX594" s="10"/>
      <c r="AY594" s="3">
        <f t="shared" ca="1" si="359"/>
        <v>8.6810501710926058</v>
      </c>
      <c r="AZ594" s="3">
        <f t="shared" ca="1" si="361"/>
        <v>0.39992303584819783</v>
      </c>
      <c r="BA594" s="3">
        <f t="shared" ca="1" si="353"/>
        <v>3.1385843522917472E-4</v>
      </c>
      <c r="BB594" s="3">
        <f t="shared" ca="1" si="362"/>
        <v>0.14858114564413921</v>
      </c>
      <c r="BC594" s="3">
        <f t="shared" ca="1" si="363"/>
        <v>0.70901977759509827</v>
      </c>
      <c r="BD594" s="3">
        <f t="shared" ca="1" si="354"/>
        <v>5.3231124297317182E-2</v>
      </c>
      <c r="BE594" s="3">
        <f t="shared" ca="1" si="357"/>
        <v>0.70901977759509827</v>
      </c>
      <c r="BF594" s="3">
        <f t="shared" ca="1" si="358"/>
        <v>0.70901977759509827</v>
      </c>
    </row>
    <row r="595" spans="1:58" ht="15" x14ac:dyDescent="0.25">
      <c r="A595" s="72">
        <v>529</v>
      </c>
      <c r="B595" s="72">
        <v>1498730398.1989999</v>
      </c>
      <c r="C595" s="73">
        <v>3.1302352390883499E-4</v>
      </c>
      <c r="D595" s="73">
        <v>-8.0325832045211807E-6</v>
      </c>
      <c r="E595" s="73">
        <v>1.16697484876832E-2</v>
      </c>
      <c r="F595" s="73">
        <v>7.4327232687864103E-4</v>
      </c>
      <c r="G595" s="73">
        <v>0.21292795393007499</v>
      </c>
      <c r="H595" s="73">
        <v>-6.7021745411024702E-5</v>
      </c>
      <c r="I595" s="73">
        <v>0.153987687203641</v>
      </c>
      <c r="J595" s="73">
        <v>1.8491789397735201</v>
      </c>
      <c r="K595" s="73"/>
      <c r="L595" s="73"/>
      <c r="M595" s="73"/>
      <c r="N595" s="19"/>
      <c r="O595" s="13">
        <f t="shared" ca="1" si="324"/>
        <v>4.8336294637273407E-5</v>
      </c>
      <c r="P595" s="13">
        <f t="shared" ca="1" si="325"/>
        <v>-1.9320058589361354E-5</v>
      </c>
      <c r="Q595" s="13">
        <f t="shared" ca="1" si="326"/>
        <v>1.0829008869710515E-2</v>
      </c>
      <c r="R595" s="13">
        <f t="shared" ca="1" si="327"/>
        <v>7.3349604798795989E-4</v>
      </c>
      <c r="S595" s="13">
        <f t="shared" ca="1" si="328"/>
        <v>0.21179287529683363</v>
      </c>
      <c r="T595" s="13">
        <f t="shared" ca="1" si="329"/>
        <v>-6.7371566922048791E-5</v>
      </c>
      <c r="U595" s="13">
        <f t="shared" ca="1" si="330"/>
        <v>0.15333384320885249</v>
      </c>
      <c r="V595" s="13">
        <f t="shared" ca="1" si="331"/>
        <v>1.842040158851066</v>
      </c>
      <c r="X595" s="3">
        <f t="shared" ca="1" si="332"/>
        <v>4.8336294637273407E-5</v>
      </c>
      <c r="Y595" s="3">
        <f t="shared" ca="1" si="333"/>
        <v>-1.9320058589361354E-5</v>
      </c>
      <c r="Z595" s="3">
        <f t="shared" ca="1" si="334"/>
        <v>1.0829008869710515E-2</v>
      </c>
      <c r="AA595" s="3">
        <f t="shared" ca="1" si="335"/>
        <v>7.3349604798795989E-4</v>
      </c>
      <c r="AB595" s="3">
        <f t="shared" ca="1" si="336"/>
        <v>0.21179287529683363</v>
      </c>
      <c r="AC595" s="3">
        <f t="shared" ca="1" si="337"/>
        <v>-6.7371566922048791E-5</v>
      </c>
      <c r="AD595" s="3">
        <f t="shared" ca="1" si="338"/>
        <v>0.15333384320885249</v>
      </c>
      <c r="AE595" s="3">
        <f t="shared" ca="1" si="339"/>
        <v>1.842040158851066</v>
      </c>
      <c r="AG595" s="3">
        <f t="shared" ca="1" si="340"/>
        <v>4.8336294637273407E-5</v>
      </c>
      <c r="AH595" s="3">
        <f t="shared" ca="1" si="341"/>
        <v>-1.9320058589361354E-5</v>
      </c>
      <c r="AI595" s="3">
        <f t="shared" ca="1" si="342"/>
        <v>1.0829008869710515E-2</v>
      </c>
      <c r="AJ595" s="3">
        <f t="shared" ca="1" si="343"/>
        <v>7.3349604798795989E-4</v>
      </c>
      <c r="AK595" s="3">
        <f t="shared" ca="1" si="344"/>
        <v>0.21179287529683363</v>
      </c>
      <c r="AL595" s="3">
        <f t="shared" ca="1" si="345"/>
        <v>-6.7371566922048791E-5</v>
      </c>
      <c r="AM595" s="3">
        <f t="shared" ca="1" si="346"/>
        <v>0.15333384320885249</v>
      </c>
      <c r="AN595" s="3">
        <f t="shared" ca="1" si="347"/>
        <v>1.842040158851066</v>
      </c>
      <c r="AP595" s="3">
        <f t="shared" ca="1" si="348"/>
        <v>8.6973660292840123</v>
      </c>
      <c r="AQ595" s="3">
        <f t="shared" ca="1" si="360"/>
        <v>0.40068380833912548</v>
      </c>
      <c r="AR595" s="3">
        <f t="shared" ca="1" si="349"/>
        <v>2.9389998990951371E-4</v>
      </c>
      <c r="AS595" s="3">
        <f t="shared" ca="1" si="350"/>
        <v>0.15303994321894299</v>
      </c>
      <c r="AT595" s="3">
        <f t="shared" ca="1" si="351"/>
        <v>0.70898737343484752</v>
      </c>
      <c r="AU595" s="3">
        <f t="shared" ca="1" si="352"/>
        <v>5.3143552350365712E-2</v>
      </c>
      <c r="AV595" s="10">
        <f t="shared" ca="1" si="355"/>
        <v>0.70898737343484752</v>
      </c>
      <c r="AW595" s="10">
        <f t="shared" ca="1" si="356"/>
        <v>0.70898737343484752</v>
      </c>
      <c r="AX595" s="10"/>
      <c r="AY595" s="3">
        <f t="shared" ca="1" si="359"/>
        <v>8.6973660292840123</v>
      </c>
      <c r="AZ595" s="3">
        <f t="shared" ca="1" si="361"/>
        <v>0.40068380833912548</v>
      </c>
      <c r="BA595" s="3">
        <f t="shared" ca="1" si="353"/>
        <v>2.9389998990951371E-4</v>
      </c>
      <c r="BB595" s="3">
        <f t="shared" ca="1" si="362"/>
        <v>0.15303994321894299</v>
      </c>
      <c r="BC595" s="3">
        <f t="shared" ca="1" si="363"/>
        <v>0.70898737343484752</v>
      </c>
      <c r="BD595" s="3">
        <f t="shared" ca="1" si="354"/>
        <v>5.3143552350365712E-2</v>
      </c>
      <c r="BE595" s="3">
        <f t="shared" ca="1" si="357"/>
        <v>0.70898737343484752</v>
      </c>
      <c r="BF595" s="3">
        <f t="shared" ca="1" si="358"/>
        <v>0.70898737343484752</v>
      </c>
    </row>
    <row r="596" spans="1:58" ht="15" x14ac:dyDescent="0.25">
      <c r="A596" s="72">
        <v>530</v>
      </c>
      <c r="B596" s="72">
        <v>1498730398.7260001</v>
      </c>
      <c r="C596" s="73">
        <v>2.6924843537989298E-4</v>
      </c>
      <c r="D596" s="73">
        <v>-4.96062538171466E-5</v>
      </c>
      <c r="E596" s="73">
        <v>1.1771795848001599E-2</v>
      </c>
      <c r="F596" s="73">
        <v>6.6731737708511797E-4</v>
      </c>
      <c r="G596" s="73">
        <v>0.21462599572468199</v>
      </c>
      <c r="H596" s="73">
        <v>3.14147690564619E-5</v>
      </c>
      <c r="I596" s="73">
        <v>0.15518801426687701</v>
      </c>
      <c r="J596" s="73">
        <v>1.8635284102316501</v>
      </c>
      <c r="K596" s="73"/>
      <c r="L596" s="73"/>
      <c r="M596" s="73"/>
      <c r="N596" s="19"/>
      <c r="O596" s="13">
        <f t="shared" ca="1" si="324"/>
        <v>4.5612061083313967E-6</v>
      </c>
      <c r="P596" s="13">
        <f t="shared" ca="1" si="325"/>
        <v>-6.0893729201986772E-5</v>
      </c>
      <c r="Q596" s="13">
        <f t="shared" ca="1" si="326"/>
        <v>1.0931056230028914E-2</v>
      </c>
      <c r="R596" s="13">
        <f t="shared" ca="1" si="327"/>
        <v>6.5754109819443683E-4</v>
      </c>
      <c r="S596" s="13">
        <f t="shared" ca="1" si="328"/>
        <v>0.21349091709144064</v>
      </c>
      <c r="T596" s="13">
        <f t="shared" ca="1" si="329"/>
        <v>3.106494754543781E-5</v>
      </c>
      <c r="U596" s="13">
        <f t="shared" ca="1" si="330"/>
        <v>0.15453417027208849</v>
      </c>
      <c r="V596" s="13">
        <f t="shared" ca="1" si="331"/>
        <v>1.8563896293091959</v>
      </c>
      <c r="X596" s="3">
        <f t="shared" ca="1" si="332"/>
        <v>4.5612061083313967E-6</v>
      </c>
      <c r="Y596" s="3">
        <f t="shared" ca="1" si="333"/>
        <v>-6.0893729201986772E-5</v>
      </c>
      <c r="Z596" s="3">
        <f t="shared" ca="1" si="334"/>
        <v>1.0930818559934051E-2</v>
      </c>
      <c r="AA596" s="3">
        <f t="shared" ca="1" si="335"/>
        <v>6.5178840158011057E-4</v>
      </c>
      <c r="AB596" s="3">
        <f t="shared" ca="1" si="336"/>
        <v>0.21344908175315147</v>
      </c>
      <c r="AC596" s="3">
        <f t="shared" ca="1" si="337"/>
        <v>3.106494754543781E-5</v>
      </c>
      <c r="AD596" s="3">
        <f t="shared" ca="1" si="338"/>
        <v>0.15447238955140646</v>
      </c>
      <c r="AE596" s="3">
        <f t="shared" ca="1" si="339"/>
        <v>1.8563645601299528</v>
      </c>
      <c r="AG596" s="3">
        <f t="shared" ca="1" si="340"/>
        <v>4.5612061083313967E-6</v>
      </c>
      <c r="AH596" s="3">
        <f t="shared" ca="1" si="341"/>
        <v>-6.0893729201986772E-5</v>
      </c>
      <c r="AI596" s="3">
        <f t="shared" ca="1" si="342"/>
        <v>1.0930818559934051E-2</v>
      </c>
      <c r="AJ596" s="3">
        <f t="shared" ca="1" si="343"/>
        <v>6.5178840158011057E-4</v>
      </c>
      <c r="AK596" s="3">
        <f t="shared" ca="1" si="344"/>
        <v>0.21344908175315147</v>
      </c>
      <c r="AL596" s="3">
        <f t="shared" ca="1" si="345"/>
        <v>3.106494754543781E-5</v>
      </c>
      <c r="AM596" s="3">
        <f t="shared" ca="1" si="346"/>
        <v>0.15447238955140646</v>
      </c>
      <c r="AN596" s="3">
        <f t="shared" ca="1" si="347"/>
        <v>1.8563645601299528</v>
      </c>
      <c r="AP596" s="3">
        <f t="shared" ca="1" si="348"/>
        <v>8.6954033201987819</v>
      </c>
      <c r="AQ596" s="3">
        <f t="shared" ca="1" si="360"/>
        <v>0.40059229062571916</v>
      </c>
      <c r="AR596" s="3">
        <f t="shared" ca="1" si="349"/>
        <v>2.6340589470626039E-4</v>
      </c>
      <c r="AS596" s="3">
        <f t="shared" ca="1" si="350"/>
        <v>0.15427076437738224</v>
      </c>
      <c r="AT596" s="3">
        <f t="shared" ca="1" si="351"/>
        <v>0.70908555857777045</v>
      </c>
      <c r="AU596" s="3">
        <f t="shared" ca="1" si="352"/>
        <v>5.3205392052588445E-2</v>
      </c>
      <c r="AV596" s="10">
        <f t="shared" ca="1" si="355"/>
        <v>0.70908555857777045</v>
      </c>
      <c r="AW596" s="10">
        <f t="shared" ca="1" si="356"/>
        <v>0.70908555857777045</v>
      </c>
      <c r="AX596" s="10"/>
      <c r="AY596" s="3">
        <f t="shared" ca="1" si="359"/>
        <v>8.6969901434234895</v>
      </c>
      <c r="AZ596" s="3">
        <f t="shared" ca="1" si="361"/>
        <v>0.40066628141535415</v>
      </c>
      <c r="BA596" s="3">
        <f t="shared" ca="1" si="353"/>
        <v>2.6114963513076045E-4</v>
      </c>
      <c r="BB596" s="3">
        <f t="shared" ca="1" si="362"/>
        <v>0.15421123991627569</v>
      </c>
      <c r="BC596" s="3">
        <f t="shared" ca="1" si="363"/>
        <v>0.70888574285789707</v>
      </c>
      <c r="BD596" s="3">
        <f t="shared" ca="1" si="354"/>
        <v>5.3224600034496902E-2</v>
      </c>
      <c r="BE596" s="3">
        <f t="shared" ca="1" si="357"/>
        <v>0.70888574285789707</v>
      </c>
      <c r="BF596" s="3">
        <f t="shared" ca="1" si="358"/>
        <v>0.70888574285789707</v>
      </c>
    </row>
    <row r="597" spans="1:58" ht="15" x14ac:dyDescent="0.25">
      <c r="A597" s="72">
        <v>531</v>
      </c>
      <c r="B597" s="72">
        <v>1498730399.253</v>
      </c>
      <c r="C597" s="73">
        <v>2.65204094690794E-4</v>
      </c>
      <c r="D597" s="73">
        <v>1.8188070778796499E-5</v>
      </c>
      <c r="E597" s="73">
        <v>1.2189479068710899E-2</v>
      </c>
      <c r="F597" s="73">
        <v>8.2113809740969198E-4</v>
      </c>
      <c r="G597" s="73">
        <v>0.22286423872257399</v>
      </c>
      <c r="H597" s="73">
        <v>1.6624161514133701E-5</v>
      </c>
      <c r="I597" s="73">
        <v>0.16118087640235301</v>
      </c>
      <c r="J597" s="73">
        <v>1.93421285695125</v>
      </c>
      <c r="K597" s="73"/>
      <c r="L597" s="73"/>
      <c r="M597" s="73"/>
      <c r="N597" s="19"/>
      <c r="O597" s="13">
        <f t="shared" ca="1" si="324"/>
        <v>5.1686541923241748E-7</v>
      </c>
      <c r="P597" s="13">
        <f t="shared" ca="1" si="325"/>
        <v>6.9005953939563258E-6</v>
      </c>
      <c r="Q597" s="13">
        <f t="shared" ca="1" si="326"/>
        <v>1.1348739450738214E-2</v>
      </c>
      <c r="R597" s="13">
        <f t="shared" ca="1" si="327"/>
        <v>8.1136181851901084E-4</v>
      </c>
      <c r="S597" s="13">
        <f t="shared" ca="1" si="328"/>
        <v>0.22172916008933263</v>
      </c>
      <c r="T597" s="13">
        <f t="shared" ca="1" si="329"/>
        <v>1.6274340003109614E-5</v>
      </c>
      <c r="U597" s="13">
        <f t="shared" ca="1" si="330"/>
        <v>0.1605270324075645</v>
      </c>
      <c r="V597" s="13">
        <f t="shared" ca="1" si="331"/>
        <v>1.9270740760287959</v>
      </c>
      <c r="X597" s="3">
        <f t="shared" ca="1" si="332"/>
        <v>5.1686541923241748E-7</v>
      </c>
      <c r="Y597" s="3">
        <f t="shared" ca="1" si="333"/>
        <v>6.9005953939563258E-6</v>
      </c>
      <c r="Z597" s="3">
        <f t="shared" ca="1" si="334"/>
        <v>1.1348614939858975E-2</v>
      </c>
      <c r="AA597" s="3">
        <f t="shared" ca="1" si="335"/>
        <v>8.0834808928288877E-4</v>
      </c>
      <c r="AB597" s="3">
        <f t="shared" ca="1" si="336"/>
        <v>0.22170724334479389</v>
      </c>
      <c r="AC597" s="3">
        <f t="shared" ca="1" si="337"/>
        <v>1.6274340003109614E-5</v>
      </c>
      <c r="AD597" s="3">
        <f t="shared" ca="1" si="338"/>
        <v>0.16049466665344417</v>
      </c>
      <c r="AE597" s="3">
        <f t="shared" ca="1" si="339"/>
        <v>1.9270609427587009</v>
      </c>
      <c r="AG597" s="3">
        <f t="shared" ca="1" si="340"/>
        <v>5.1686541923241748E-7</v>
      </c>
      <c r="AH597" s="3">
        <f t="shared" ca="1" si="341"/>
        <v>6.9005953939563258E-6</v>
      </c>
      <c r="AI597" s="3">
        <f t="shared" ca="1" si="342"/>
        <v>1.1343056546871668E-2</v>
      </c>
      <c r="AJ597" s="3">
        <f t="shared" ca="1" si="343"/>
        <v>8.0527872972943843E-4</v>
      </c>
      <c r="AK597" s="3">
        <f t="shared" ca="1" si="344"/>
        <v>0.22170724334479389</v>
      </c>
      <c r="AL597" s="3">
        <f t="shared" ca="1" si="345"/>
        <v>1.6274340003109614E-5</v>
      </c>
      <c r="AM597" s="3">
        <f t="shared" ca="1" si="346"/>
        <v>0.16049466665344417</v>
      </c>
      <c r="AN597" s="3">
        <f t="shared" ca="1" si="347"/>
        <v>1.9270609427587009</v>
      </c>
      <c r="AP597" s="3">
        <f t="shared" ca="1" si="348"/>
        <v>8.6911170152468689</v>
      </c>
      <c r="AQ597" s="3">
        <f t="shared" ca="1" si="360"/>
        <v>0.40039242854664009</v>
      </c>
      <c r="AR597" s="3">
        <f t="shared" ca="1" si="349"/>
        <v>3.2486312894684501E-4</v>
      </c>
      <c r="AS597" s="3">
        <f t="shared" ca="1" si="350"/>
        <v>0.16020216927861766</v>
      </c>
      <c r="AT597" s="3">
        <f t="shared" ca="1" si="351"/>
        <v>0.70916587433918554</v>
      </c>
      <c r="AU597" s="3">
        <f t="shared" ca="1" si="352"/>
        <v>5.3159222875391036E-2</v>
      </c>
      <c r="AV597" s="10">
        <f t="shared" ca="1" si="355"/>
        <v>0.70916587433918554</v>
      </c>
      <c r="AW597" s="10">
        <f t="shared" ca="1" si="356"/>
        <v>0.70916587433918554</v>
      </c>
      <c r="AX597" s="10"/>
      <c r="AY597" s="3">
        <f t="shared" ca="1" si="359"/>
        <v>8.6919169337276951</v>
      </c>
      <c r="AZ597" s="3">
        <f t="shared" ca="1" si="361"/>
        <v>0.40042972710183355</v>
      </c>
      <c r="BA597" s="3">
        <f t="shared" ca="1" si="353"/>
        <v>3.224575419864702E-4</v>
      </c>
      <c r="BB597" s="3">
        <f t="shared" ca="1" si="362"/>
        <v>0.16017220911145769</v>
      </c>
      <c r="BC597" s="3">
        <f t="shared" ca="1" si="363"/>
        <v>0.70907047625819353</v>
      </c>
      <c r="BD597" s="3">
        <f t="shared" ca="1" si="354"/>
        <v>5.3142860134818677E-2</v>
      </c>
      <c r="BE597" s="3">
        <f t="shared" ca="1" si="357"/>
        <v>0.70907047625819353</v>
      </c>
      <c r="BF597" s="3">
        <f t="shared" ca="1" si="358"/>
        <v>0.70907047625819353</v>
      </c>
    </row>
    <row r="598" spans="1:58" ht="15" x14ac:dyDescent="0.25">
      <c r="A598" s="72">
        <v>532</v>
      </c>
      <c r="B598" s="72">
        <v>1498730399.78</v>
      </c>
      <c r="C598" s="73">
        <v>3.4514233654882499E-4</v>
      </c>
      <c r="D598" s="73">
        <v>5.9764582245735999E-5</v>
      </c>
      <c r="E598" s="73">
        <v>1.23435959922918E-2</v>
      </c>
      <c r="F598" s="73">
        <v>7.9065780687705796E-4</v>
      </c>
      <c r="G598" s="73">
        <v>0.22612675725522999</v>
      </c>
      <c r="H598" s="73">
        <v>3.7605741969123297E-5</v>
      </c>
      <c r="I598" s="73">
        <v>0.16332702671118399</v>
      </c>
      <c r="J598" s="73">
        <v>1.96177356809459</v>
      </c>
      <c r="K598" s="73"/>
      <c r="L598" s="73"/>
      <c r="M598" s="73"/>
      <c r="N598" s="19"/>
      <c r="O598" s="13">
        <f t="shared" ca="1" si="324"/>
        <v>8.0455107277263409E-5</v>
      </c>
      <c r="P598" s="13">
        <f t="shared" ca="1" si="325"/>
        <v>4.8477106860895827E-5</v>
      </c>
      <c r="Q598" s="13">
        <f t="shared" ca="1" si="326"/>
        <v>1.1502856374319114E-2</v>
      </c>
      <c r="R598" s="13">
        <f t="shared" ca="1" si="327"/>
        <v>7.8088152798637682E-4</v>
      </c>
      <c r="S598" s="13">
        <f t="shared" ca="1" si="328"/>
        <v>0.22499167862198863</v>
      </c>
      <c r="T598" s="13">
        <f t="shared" ca="1" si="329"/>
        <v>3.7255920458099208E-5</v>
      </c>
      <c r="U598" s="13">
        <f t="shared" ca="1" si="330"/>
        <v>0.16267318271639547</v>
      </c>
      <c r="V598" s="13">
        <f t="shared" ca="1" si="331"/>
        <v>1.9546347871721359</v>
      </c>
      <c r="X598" s="3">
        <f t="shared" ca="1" si="332"/>
        <v>8.0455107277263409E-5</v>
      </c>
      <c r="Y598" s="3">
        <f t="shared" ca="1" si="333"/>
        <v>4.8477106860895827E-5</v>
      </c>
      <c r="Z598" s="3">
        <f t="shared" ca="1" si="334"/>
        <v>1.1502571338648715E-2</v>
      </c>
      <c r="AA598" s="3">
        <f t="shared" ca="1" si="335"/>
        <v>7.7398236914603328E-4</v>
      </c>
      <c r="AB598" s="3">
        <f t="shared" ca="1" si="336"/>
        <v>0.22494150586591496</v>
      </c>
      <c r="AC598" s="3">
        <f t="shared" ca="1" si="337"/>
        <v>3.7255920458099208E-5</v>
      </c>
      <c r="AD598" s="3">
        <f t="shared" ca="1" si="338"/>
        <v>0.16259908963730024</v>
      </c>
      <c r="AE598" s="3">
        <f t="shared" ca="1" si="339"/>
        <v>1.9546047219242719</v>
      </c>
      <c r="AG598" s="3">
        <f t="shared" ca="1" si="340"/>
        <v>8.0455107277263409E-5</v>
      </c>
      <c r="AH598" s="3">
        <f t="shared" ca="1" si="341"/>
        <v>4.8477106860895827E-5</v>
      </c>
      <c r="AI598" s="3">
        <f t="shared" ca="1" si="342"/>
        <v>1.1463523286207245E-2</v>
      </c>
      <c r="AJ598" s="3">
        <f t="shared" ca="1" si="343"/>
        <v>7.5241992959227527E-4</v>
      </c>
      <c r="AK598" s="3">
        <f t="shared" ca="1" si="344"/>
        <v>0.22494150586591496</v>
      </c>
      <c r="AL598" s="3">
        <f t="shared" ca="1" si="345"/>
        <v>3.7255920458099208E-5</v>
      </c>
      <c r="AM598" s="3">
        <f t="shared" ca="1" si="346"/>
        <v>0.16259908963730024</v>
      </c>
      <c r="AN598" s="3">
        <f t="shared" ca="1" si="347"/>
        <v>1.9546047219242719</v>
      </c>
      <c r="AP598" s="3">
        <f t="shared" ca="1" si="348"/>
        <v>8.6875870216344424</v>
      </c>
      <c r="AQ598" s="3">
        <f t="shared" ca="1" si="360"/>
        <v>0.40022783269480261</v>
      </c>
      <c r="AR598" s="3">
        <f t="shared" ca="1" si="349"/>
        <v>3.1253052153739345E-4</v>
      </c>
      <c r="AS598" s="3">
        <f t="shared" ca="1" si="350"/>
        <v>0.16236065219485807</v>
      </c>
      <c r="AT598" s="3">
        <f t="shared" ca="1" si="351"/>
        <v>0.70844383950853029</v>
      </c>
      <c r="AU598" s="3">
        <f t="shared" ca="1" si="352"/>
        <v>5.3077751861493432E-2</v>
      </c>
      <c r="AV598" s="10">
        <f t="shared" ca="1" si="355"/>
        <v>0.70844383950853029</v>
      </c>
      <c r="AW598" s="10">
        <f t="shared" ca="1" si="356"/>
        <v>0.70844383950853029</v>
      </c>
      <c r="AX598" s="10"/>
      <c r="AY598" s="3">
        <f t="shared" ca="1" si="359"/>
        <v>8.6893911125916858</v>
      </c>
      <c r="AZ598" s="3">
        <f t="shared" ca="1" si="361"/>
        <v>0.40031195339382486</v>
      </c>
      <c r="BA598" s="3">
        <f t="shared" ca="1" si="353"/>
        <v>3.012026917875279E-4</v>
      </c>
      <c r="BB598" s="3">
        <f t="shared" ca="1" si="362"/>
        <v>0.16229788694551273</v>
      </c>
      <c r="BC598" s="3">
        <f t="shared" ca="1" si="363"/>
        <v>0.70825386200630758</v>
      </c>
      <c r="BD598" s="3">
        <f t="shared" ca="1" si="354"/>
        <v>5.2919297712028426E-2</v>
      </c>
      <c r="BE598" s="3">
        <f t="shared" ca="1" si="357"/>
        <v>0.70825386200630758</v>
      </c>
      <c r="BF598" s="3">
        <f t="shared" ca="1" si="358"/>
        <v>0.70825386200630758</v>
      </c>
    </row>
    <row r="599" spans="1:58" ht="15" x14ac:dyDescent="0.25">
      <c r="A599" s="72">
        <v>533</v>
      </c>
      <c r="B599" s="72">
        <v>1498730400.3069999</v>
      </c>
      <c r="C599" s="73">
        <v>2.7995412215412201E-4</v>
      </c>
      <c r="D599" s="73">
        <v>-8.7412399112025102E-6</v>
      </c>
      <c r="E599" s="73">
        <v>1.23874272824698E-2</v>
      </c>
      <c r="F599" s="73">
        <v>8.3590232245365798E-4</v>
      </c>
      <c r="G599" s="73">
        <v>0.225986205553698</v>
      </c>
      <c r="H599" s="73">
        <v>-6.3716922078836894E-5</v>
      </c>
      <c r="I599" s="73">
        <v>0.16342323061515501</v>
      </c>
      <c r="J599" s="73">
        <v>1.9616820522966301</v>
      </c>
      <c r="K599" s="73"/>
      <c r="L599" s="73"/>
      <c r="M599" s="73"/>
      <c r="N599" s="19"/>
      <c r="O599" s="13">
        <f t="shared" ca="1" si="324"/>
        <v>1.5266892882560422E-5</v>
      </c>
      <c r="P599" s="13">
        <f t="shared" ca="1" si="325"/>
        <v>-2.0028715296042685E-5</v>
      </c>
      <c r="Q599" s="13">
        <f t="shared" ca="1" si="326"/>
        <v>1.1546687664497115E-2</v>
      </c>
      <c r="R599" s="13">
        <f t="shared" ca="1" si="327"/>
        <v>8.2612604356297685E-4</v>
      </c>
      <c r="S599" s="13">
        <f t="shared" ca="1" si="328"/>
        <v>0.22485112692045664</v>
      </c>
      <c r="T599" s="13">
        <f t="shared" ca="1" si="329"/>
        <v>-6.4066743589860983E-5</v>
      </c>
      <c r="U599" s="13">
        <f t="shared" ca="1" si="330"/>
        <v>0.1627693866203665</v>
      </c>
      <c r="V599" s="13">
        <f t="shared" ca="1" si="331"/>
        <v>1.9545432713741759</v>
      </c>
      <c r="X599" s="3">
        <f t="shared" ca="1" si="332"/>
        <v>1.5266892882560422E-5</v>
      </c>
      <c r="Y599" s="3">
        <f t="shared" ca="1" si="333"/>
        <v>-2.0028715296042685E-5</v>
      </c>
      <c r="Z599" s="3">
        <f t="shared" ca="1" si="334"/>
        <v>1.1546687664497115E-2</v>
      </c>
      <c r="AA599" s="3">
        <f t="shared" ca="1" si="335"/>
        <v>8.2612604356297685E-4</v>
      </c>
      <c r="AB599" s="3">
        <f t="shared" ca="1" si="336"/>
        <v>0.22485112692045664</v>
      </c>
      <c r="AC599" s="3">
        <f t="shared" ca="1" si="337"/>
        <v>-6.4066743589860983E-5</v>
      </c>
      <c r="AD599" s="3">
        <f t="shared" ca="1" si="338"/>
        <v>0.1627693866203665</v>
      </c>
      <c r="AE599" s="3">
        <f t="shared" ca="1" si="339"/>
        <v>1.9545432713741759</v>
      </c>
      <c r="AG599" s="3">
        <f t="shared" ca="1" si="340"/>
        <v>1.5266892882560422E-5</v>
      </c>
      <c r="AH599" s="3">
        <f t="shared" ca="1" si="341"/>
        <v>-2.0028715296042685E-5</v>
      </c>
      <c r="AI599" s="3">
        <f t="shared" ca="1" si="342"/>
        <v>1.1546687664497115E-2</v>
      </c>
      <c r="AJ599" s="3">
        <f t="shared" ca="1" si="343"/>
        <v>8.2612604356297685E-4</v>
      </c>
      <c r="AK599" s="3">
        <f t="shared" ca="1" si="344"/>
        <v>0.22485112692045664</v>
      </c>
      <c r="AL599" s="3">
        <f t="shared" ca="1" si="345"/>
        <v>-6.4066743589860983E-5</v>
      </c>
      <c r="AM599" s="3">
        <f t="shared" ca="1" si="346"/>
        <v>0.1627693866203665</v>
      </c>
      <c r="AN599" s="3">
        <f t="shared" ca="1" si="347"/>
        <v>1.9545432713741759</v>
      </c>
      <c r="AP599" s="3">
        <f t="shared" ca="1" si="348"/>
        <v>8.6926105203182527</v>
      </c>
      <c r="AQ599" s="3">
        <f t="shared" ca="1" si="360"/>
        <v>0.40046206765316039</v>
      </c>
      <c r="AR599" s="3">
        <f t="shared" ca="1" si="349"/>
        <v>3.3083214354735454E-4</v>
      </c>
      <c r="AS599" s="3">
        <f t="shared" ca="1" si="350"/>
        <v>0.16243855447681915</v>
      </c>
      <c r="AT599" s="3">
        <f t="shared" ca="1" si="351"/>
        <v>0.70902037505812809</v>
      </c>
      <c r="AU599" s="3">
        <f t="shared" ca="1" si="352"/>
        <v>5.3344852517418689E-2</v>
      </c>
      <c r="AV599" s="10">
        <f t="shared" ca="1" si="355"/>
        <v>0.70902037505812809</v>
      </c>
      <c r="AW599" s="10">
        <f t="shared" ca="1" si="356"/>
        <v>0.70902037505812809</v>
      </c>
      <c r="AX599" s="10"/>
      <c r="AY599" s="3">
        <f t="shared" ca="1" si="359"/>
        <v>8.6926105203182527</v>
      </c>
      <c r="AZ599" s="3">
        <f t="shared" ca="1" si="361"/>
        <v>0.40046206765316039</v>
      </c>
      <c r="BA599" s="3">
        <f t="shared" ca="1" si="353"/>
        <v>3.3083214354735454E-4</v>
      </c>
      <c r="BB599" s="3">
        <f t="shared" ca="1" si="362"/>
        <v>0.16243855447681915</v>
      </c>
      <c r="BC599" s="3">
        <f t="shared" ca="1" si="363"/>
        <v>0.70902037505812809</v>
      </c>
      <c r="BD599" s="3">
        <f t="shared" ca="1" si="354"/>
        <v>5.3344852517418689E-2</v>
      </c>
      <c r="BE599" s="3">
        <f t="shared" ca="1" si="357"/>
        <v>0.70902037505812809</v>
      </c>
      <c r="BF599" s="3">
        <f t="shared" ca="1" si="358"/>
        <v>0.70902037505812809</v>
      </c>
    </row>
    <row r="600" spans="1:58" ht="15" x14ac:dyDescent="0.25">
      <c r="A600" s="72">
        <v>534</v>
      </c>
      <c r="B600" s="72">
        <v>1498730400.8340001</v>
      </c>
      <c r="C600" s="73">
        <v>2.17862736498594E-4</v>
      </c>
      <c r="D600" s="73">
        <v>-3.0709346766088297E-5</v>
      </c>
      <c r="E600" s="73">
        <v>1.28583722479429E-2</v>
      </c>
      <c r="F600" s="73">
        <v>8.1399419587967203E-4</v>
      </c>
      <c r="G600" s="73">
        <v>0.23692099138423101</v>
      </c>
      <c r="H600" s="73">
        <v>7.9818625161821399E-5</v>
      </c>
      <c r="I600" s="73">
        <v>0.17129959212006601</v>
      </c>
      <c r="J600" s="73">
        <v>2.0559617450657601</v>
      </c>
      <c r="K600" s="73"/>
      <c r="L600" s="73"/>
      <c r="M600" s="73"/>
      <c r="N600" s="19"/>
      <c r="O600" s="13">
        <f t="shared" ca="1" si="324"/>
        <v>-4.6824492772967583E-5</v>
      </c>
      <c r="P600" s="13">
        <f t="shared" ca="1" si="325"/>
        <v>-4.1996822150928468E-5</v>
      </c>
      <c r="Q600" s="13">
        <f t="shared" ca="1" si="326"/>
        <v>1.2017632629970215E-2</v>
      </c>
      <c r="R600" s="13">
        <f t="shared" ca="1" si="327"/>
        <v>8.042179169889909E-4</v>
      </c>
      <c r="S600" s="13">
        <f t="shared" ca="1" si="328"/>
        <v>0.23578591275098965</v>
      </c>
      <c r="T600" s="13">
        <f t="shared" ca="1" si="329"/>
        <v>7.946880365079731E-5</v>
      </c>
      <c r="U600" s="13">
        <f t="shared" ca="1" si="330"/>
        <v>0.1706457481252775</v>
      </c>
      <c r="V600" s="13">
        <f t="shared" ca="1" si="331"/>
        <v>2.048822964143306</v>
      </c>
      <c r="X600" s="3">
        <f t="shared" ca="1" si="332"/>
        <v>-4.6824492772967583E-5</v>
      </c>
      <c r="Y600" s="3">
        <f t="shared" ca="1" si="333"/>
        <v>-4.1996822150928468E-5</v>
      </c>
      <c r="Z600" s="3">
        <f t="shared" ca="1" si="334"/>
        <v>1.2017024634155164E-2</v>
      </c>
      <c r="AA600" s="3">
        <f t="shared" ca="1" si="335"/>
        <v>7.8950165464739756E-4</v>
      </c>
      <c r="AB600" s="3">
        <f t="shared" ca="1" si="336"/>
        <v>0.23567889166945383</v>
      </c>
      <c r="AC600" s="3">
        <f t="shared" ca="1" si="337"/>
        <v>7.946880365079731E-5</v>
      </c>
      <c r="AD600" s="3">
        <f t="shared" ca="1" si="338"/>
        <v>0.1704877037585808</v>
      </c>
      <c r="AE600" s="3">
        <f t="shared" ca="1" si="339"/>
        <v>2.0487588334158984</v>
      </c>
      <c r="AG600" s="3">
        <f t="shared" ca="1" si="340"/>
        <v>-4.6824492772967583E-5</v>
      </c>
      <c r="AH600" s="3">
        <f t="shared" ca="1" si="341"/>
        <v>-4.1996822150928468E-5</v>
      </c>
      <c r="AI600" s="3">
        <f t="shared" ca="1" si="342"/>
        <v>1.2017024634155164E-2</v>
      </c>
      <c r="AJ600" s="3">
        <f t="shared" ca="1" si="343"/>
        <v>7.8950165464739756E-4</v>
      </c>
      <c r="AK600" s="3">
        <f t="shared" ca="1" si="344"/>
        <v>0.23567889166945383</v>
      </c>
      <c r="AL600" s="3">
        <f t="shared" ca="1" si="345"/>
        <v>7.946880365079731E-5</v>
      </c>
      <c r="AM600" s="3">
        <f t="shared" ca="1" si="346"/>
        <v>0.1704877037585808</v>
      </c>
      <c r="AN600" s="3">
        <f t="shared" ca="1" si="347"/>
        <v>2.0487588334158984</v>
      </c>
      <c r="AP600" s="3">
        <f t="shared" ca="1" si="348"/>
        <v>8.6893357632736965</v>
      </c>
      <c r="AQ600" s="3">
        <f t="shared" ca="1" si="360"/>
        <v>0.40030937257660831</v>
      </c>
      <c r="AR600" s="3">
        <f t="shared" ca="1" si="349"/>
        <v>3.2193596976472981E-4</v>
      </c>
      <c r="AS600" s="3">
        <f t="shared" ca="1" si="350"/>
        <v>0.17032381215551276</v>
      </c>
      <c r="AT600" s="3">
        <f t="shared" ca="1" si="351"/>
        <v>0.70909527543607453</v>
      </c>
      <c r="AU600" s="3">
        <f t="shared" ca="1" si="352"/>
        <v>5.2925356453487789E-2</v>
      </c>
      <c r="AV600" s="10">
        <f t="shared" ca="1" si="355"/>
        <v>0.70909527543607453</v>
      </c>
      <c r="AW600" s="10">
        <f t="shared" ca="1" si="356"/>
        <v>0.70909527543607453</v>
      </c>
      <c r="AX600" s="10"/>
      <c r="AY600" s="3">
        <f t="shared" ca="1" si="359"/>
        <v>8.6930094541064769</v>
      </c>
      <c r="AZ600" s="3">
        <f t="shared" ca="1" si="361"/>
        <v>0.40048066914958996</v>
      </c>
      <c r="BA600" s="3">
        <f t="shared" ca="1" si="353"/>
        <v>3.1618015094789828E-4</v>
      </c>
      <c r="BB600" s="3">
        <f t="shared" ca="1" si="362"/>
        <v>0.17017152360763291</v>
      </c>
      <c r="BC600" s="3">
        <f t="shared" ca="1" si="363"/>
        <v>0.70863211605494547</v>
      </c>
      <c r="BD600" s="3">
        <f t="shared" ca="1" si="354"/>
        <v>5.2969616349771188E-2</v>
      </c>
      <c r="BE600" s="3">
        <f t="shared" ca="1" si="357"/>
        <v>0.70863211605494547</v>
      </c>
      <c r="BF600" s="3">
        <f t="shared" ca="1" si="358"/>
        <v>0.70863211605494547</v>
      </c>
    </row>
    <row r="601" spans="1:58" ht="15" x14ac:dyDescent="0.25">
      <c r="A601" s="72">
        <v>535</v>
      </c>
      <c r="B601" s="72">
        <v>1498730401.3610001</v>
      </c>
      <c r="C601" s="73">
        <v>2.17862736498594E-4</v>
      </c>
      <c r="D601" s="73">
        <v>-3.2599053667619201E-5</v>
      </c>
      <c r="E601" s="73">
        <v>1.3049221590252401E-2</v>
      </c>
      <c r="F601" s="73">
        <v>8.06374090553416E-4</v>
      </c>
      <c r="G601" s="73">
        <v>0.24002699635732899</v>
      </c>
      <c r="H601" s="73">
        <v>-3.5668701297089897E-5</v>
      </c>
      <c r="I601" s="73">
        <v>0.17342137714250799</v>
      </c>
      <c r="J601" s="73">
        <v>2.08424463281299</v>
      </c>
      <c r="K601" s="73"/>
      <c r="L601" s="73"/>
      <c r="M601" s="73"/>
      <c r="N601" s="19"/>
      <c r="O601" s="13">
        <f t="shared" ca="1" si="324"/>
        <v>-4.6824492772967583E-5</v>
      </c>
      <c r="P601" s="13">
        <f t="shared" ca="1" si="325"/>
        <v>-4.3886529052459373E-5</v>
      </c>
      <c r="Q601" s="13">
        <f t="shared" ca="1" si="326"/>
        <v>1.2208481972279715E-2</v>
      </c>
      <c r="R601" s="13">
        <f t="shared" ca="1" si="327"/>
        <v>7.9659781166273487E-4</v>
      </c>
      <c r="S601" s="13">
        <f t="shared" ca="1" si="328"/>
        <v>0.23889191772408763</v>
      </c>
      <c r="T601" s="13">
        <f t="shared" ca="1" si="329"/>
        <v>-3.6018522808113987E-5</v>
      </c>
      <c r="U601" s="13">
        <f t="shared" ca="1" si="330"/>
        <v>0.17276753314771948</v>
      </c>
      <c r="V601" s="13">
        <f t="shared" ca="1" si="331"/>
        <v>2.0771058518905359</v>
      </c>
      <c r="X601" s="3">
        <f t="shared" ca="1" si="332"/>
        <v>-4.6824492772967583E-5</v>
      </c>
      <c r="Y601" s="3">
        <f t="shared" ca="1" si="333"/>
        <v>-4.3886529052459373E-5</v>
      </c>
      <c r="Z601" s="3">
        <f t="shared" ca="1" si="334"/>
        <v>1.2208481972279715E-2</v>
      </c>
      <c r="AA601" s="3">
        <f t="shared" ca="1" si="335"/>
        <v>7.9659781166273487E-4</v>
      </c>
      <c r="AB601" s="3">
        <f t="shared" ca="1" si="336"/>
        <v>0.23889191772408763</v>
      </c>
      <c r="AC601" s="3">
        <f t="shared" ca="1" si="337"/>
        <v>-3.6018522808113987E-5</v>
      </c>
      <c r="AD601" s="3">
        <f t="shared" ca="1" si="338"/>
        <v>0.17276753314771948</v>
      </c>
      <c r="AE601" s="3">
        <f t="shared" ca="1" si="339"/>
        <v>2.0771058518905359</v>
      </c>
      <c r="AG601" s="3">
        <f t="shared" ca="1" si="340"/>
        <v>-4.6824492772967583E-5</v>
      </c>
      <c r="AH601" s="3">
        <f t="shared" ca="1" si="341"/>
        <v>-4.3886529052459373E-5</v>
      </c>
      <c r="AI601" s="3">
        <f t="shared" ca="1" si="342"/>
        <v>1.2208481972279715E-2</v>
      </c>
      <c r="AJ601" s="3">
        <f t="shared" ca="1" si="343"/>
        <v>7.9659781166273487E-4</v>
      </c>
      <c r="AK601" s="3">
        <f t="shared" ca="1" si="344"/>
        <v>0.23889191772408763</v>
      </c>
      <c r="AL601" s="3">
        <f t="shared" ca="1" si="345"/>
        <v>-3.6018522808113987E-5</v>
      </c>
      <c r="AM601" s="3">
        <f t="shared" ca="1" si="346"/>
        <v>0.17276753314771948</v>
      </c>
      <c r="AN601" s="3">
        <f t="shared" ca="1" si="347"/>
        <v>2.0771058518905359</v>
      </c>
      <c r="AP601" s="3">
        <f t="shared" ca="1" si="348"/>
        <v>8.6947514661819802</v>
      </c>
      <c r="AQ601" s="3">
        <f t="shared" ca="1" si="360"/>
        <v>0.40056189586127544</v>
      </c>
      <c r="AR601" s="3">
        <f t="shared" ca="1" si="349"/>
        <v>3.1908672967856833E-4</v>
      </c>
      <c r="AS601" s="3">
        <f t="shared" ca="1" si="350"/>
        <v>0.17244844641804091</v>
      </c>
      <c r="AT601" s="3">
        <f t="shared" ca="1" si="351"/>
        <v>0.70838382725253812</v>
      </c>
      <c r="AU601" s="3">
        <f t="shared" ca="1" si="352"/>
        <v>5.3100647444374267E-2</v>
      </c>
      <c r="AV601" s="10">
        <f t="shared" ca="1" si="355"/>
        <v>0.70838382725253812</v>
      </c>
      <c r="AW601" s="10">
        <f t="shared" ca="1" si="356"/>
        <v>0.70838382725253812</v>
      </c>
      <c r="AX601" s="10"/>
      <c r="AY601" s="3">
        <f t="shared" ca="1" si="359"/>
        <v>8.6947514661819802</v>
      </c>
      <c r="AZ601" s="3">
        <f t="shared" ca="1" si="361"/>
        <v>0.40056189586127544</v>
      </c>
      <c r="BA601" s="3">
        <f t="shared" ca="1" si="353"/>
        <v>3.1908672967856833E-4</v>
      </c>
      <c r="BB601" s="3">
        <f t="shared" ca="1" si="362"/>
        <v>0.17244844641804091</v>
      </c>
      <c r="BC601" s="3">
        <f t="shared" ca="1" si="363"/>
        <v>0.70838382725253812</v>
      </c>
      <c r="BD601" s="3">
        <f t="shared" ca="1" si="354"/>
        <v>5.3100647444374267E-2</v>
      </c>
      <c r="BE601" s="3">
        <f t="shared" ca="1" si="357"/>
        <v>0.70838382725253812</v>
      </c>
      <c r="BF601" s="3">
        <f t="shared" ca="1" si="358"/>
        <v>0.70838382725253812</v>
      </c>
    </row>
    <row r="602" spans="1:58" ht="15" x14ac:dyDescent="0.25">
      <c r="A602" s="72">
        <v>536</v>
      </c>
      <c r="B602" s="72">
        <v>1498730401.888</v>
      </c>
      <c r="C602" s="73">
        <v>1.5577521157322799E-4</v>
      </c>
      <c r="D602" s="73">
        <v>8.7404477238627298E-5</v>
      </c>
      <c r="E602" s="73">
        <v>1.2238842088806601E-2</v>
      </c>
      <c r="F602" s="73">
        <v>7.6517890260084805E-4</v>
      </c>
      <c r="G602" s="73">
        <v>0.224785875081665</v>
      </c>
      <c r="H602" s="73">
        <v>-4.6553675168121701E-5</v>
      </c>
      <c r="I602" s="73">
        <v>0.162534314199791</v>
      </c>
      <c r="J602" s="73">
        <v>1.9534246365222401</v>
      </c>
      <c r="K602" s="73"/>
      <c r="L602" s="73"/>
      <c r="M602" s="73"/>
      <c r="N602" s="19"/>
      <c r="O602" s="13">
        <f t="shared" ca="1" si="324"/>
        <v>-1.0891201769833359E-4</v>
      </c>
      <c r="P602" s="13">
        <f t="shared" ca="1" si="325"/>
        <v>7.6117001853787119E-5</v>
      </c>
      <c r="Q602" s="13">
        <f t="shared" ca="1" si="326"/>
        <v>1.1398102470833915E-2</v>
      </c>
      <c r="R602" s="13">
        <f t="shared" ca="1" si="327"/>
        <v>7.5540262371016692E-4</v>
      </c>
      <c r="S602" s="13">
        <f t="shared" ca="1" si="328"/>
        <v>0.22365079644842364</v>
      </c>
      <c r="T602" s="13">
        <f t="shared" ca="1" si="329"/>
        <v>-4.6903496679145791E-5</v>
      </c>
      <c r="U602" s="13">
        <f t="shared" ca="1" si="330"/>
        <v>0.16188047020500249</v>
      </c>
      <c r="V602" s="13">
        <f t="shared" ca="1" si="331"/>
        <v>1.946285855599786</v>
      </c>
      <c r="X602" s="3">
        <f t="shared" ca="1" si="332"/>
        <v>-1.0891201769833359E-4</v>
      </c>
      <c r="Y602" s="3">
        <f t="shared" ca="1" si="333"/>
        <v>7.6117001853787119E-5</v>
      </c>
      <c r="Z602" s="3">
        <f t="shared" ca="1" si="334"/>
        <v>1.1398102470833915E-2</v>
      </c>
      <c r="AA602" s="3">
        <f t="shared" ca="1" si="335"/>
        <v>7.5540262371016692E-4</v>
      </c>
      <c r="AB602" s="3">
        <f t="shared" ca="1" si="336"/>
        <v>0.22365079644842364</v>
      </c>
      <c r="AC602" s="3">
        <f t="shared" ca="1" si="337"/>
        <v>-4.6903496679145791E-5</v>
      </c>
      <c r="AD602" s="3">
        <f t="shared" ca="1" si="338"/>
        <v>0.16188047020500249</v>
      </c>
      <c r="AE602" s="3">
        <f t="shared" ca="1" si="339"/>
        <v>1.946285855599786</v>
      </c>
      <c r="AG602" s="3">
        <f t="shared" ca="1" si="340"/>
        <v>-1.0891201769833359E-4</v>
      </c>
      <c r="AH602" s="3">
        <f t="shared" ca="1" si="341"/>
        <v>7.6117001853787119E-5</v>
      </c>
      <c r="AI602" s="3">
        <f t="shared" ca="1" si="342"/>
        <v>1.133679062958475E-2</v>
      </c>
      <c r="AJ602" s="3">
        <f t="shared" ca="1" si="343"/>
        <v>7.215460601121132E-4</v>
      </c>
      <c r="AK602" s="3">
        <f t="shared" ca="1" si="344"/>
        <v>0.22365079644842364</v>
      </c>
      <c r="AL602" s="3">
        <f t="shared" ca="1" si="345"/>
        <v>-4.6903496679145791E-5</v>
      </c>
      <c r="AM602" s="3">
        <f t="shared" ca="1" si="346"/>
        <v>0.16188047020500249</v>
      </c>
      <c r="AN602" s="3">
        <f t="shared" ca="1" si="347"/>
        <v>1.946285855599786</v>
      </c>
      <c r="AP602" s="3">
        <f t="shared" ca="1" si="348"/>
        <v>8.7023426095807395</v>
      </c>
      <c r="AQ602" s="3">
        <f t="shared" ca="1" si="360"/>
        <v>0.40091585875159325</v>
      </c>
      <c r="AR602" s="3">
        <f t="shared" ca="1" si="349"/>
        <v>3.0285289158796822E-4</v>
      </c>
      <c r="AS602" s="3">
        <f t="shared" ca="1" si="350"/>
        <v>0.16157761731341452</v>
      </c>
      <c r="AT602" s="3">
        <f t="shared" ca="1" si="351"/>
        <v>0.70864820965246866</v>
      </c>
      <c r="AU602" s="3">
        <f t="shared" ca="1" si="352"/>
        <v>5.3001667321527772E-2</v>
      </c>
      <c r="AV602" s="10">
        <f t="shared" ca="1" si="355"/>
        <v>0.70864820965246866</v>
      </c>
      <c r="AW602" s="10">
        <f t="shared" ca="1" si="356"/>
        <v>0.70864820965246866</v>
      </c>
      <c r="AX602" s="10"/>
      <c r="AY602" s="3">
        <f t="shared" ca="1" si="359"/>
        <v>8.7023426095807395</v>
      </c>
      <c r="AZ602" s="3">
        <f t="shared" ca="1" si="361"/>
        <v>0.40091585875159325</v>
      </c>
      <c r="BA602" s="3">
        <f t="shared" ca="1" si="353"/>
        <v>2.892792583186766E-4</v>
      </c>
      <c r="BB602" s="3">
        <f t="shared" ca="1" si="362"/>
        <v>0.16159119094668381</v>
      </c>
      <c r="BC602" s="3">
        <f t="shared" ca="1" si="363"/>
        <v>0.70870774098530243</v>
      </c>
      <c r="BD602" s="3">
        <f t="shared" ca="1" si="354"/>
        <v>5.2716564619470656E-2</v>
      </c>
      <c r="BE602" s="3">
        <f t="shared" ca="1" si="357"/>
        <v>0.70870774098530243</v>
      </c>
      <c r="BF602" s="3">
        <f t="shared" ca="1" si="358"/>
        <v>0.70870774098530243</v>
      </c>
    </row>
    <row r="603" spans="1:58" ht="15" x14ac:dyDescent="0.25">
      <c r="A603" s="72">
        <v>537</v>
      </c>
      <c r="B603" s="72">
        <v>1498730402.415</v>
      </c>
      <c r="C603" s="73">
        <v>2.70913756895431E-4</v>
      </c>
      <c r="D603" s="73">
        <v>-2.71661366248269E-5</v>
      </c>
      <c r="E603" s="73">
        <v>1.2133617484441601E-2</v>
      </c>
      <c r="F603" s="73">
        <v>7.0684180269517697E-4</v>
      </c>
      <c r="G603" s="73">
        <v>0.220575863056029</v>
      </c>
      <c r="H603" s="73">
        <v>-4.25162212314566E-5</v>
      </c>
      <c r="I603" s="73">
        <v>0.15946111965482801</v>
      </c>
      <c r="J603" s="73">
        <v>1.9151650543402301</v>
      </c>
      <c r="K603" s="73"/>
      <c r="L603" s="73"/>
      <c r="M603" s="73"/>
      <c r="N603" s="19"/>
      <c r="O603" s="13">
        <f t="shared" ca="1" si="324"/>
        <v>6.2265276238694179E-6</v>
      </c>
      <c r="P603" s="13">
        <f t="shared" ca="1" si="325"/>
        <v>-3.8453612009667072E-5</v>
      </c>
      <c r="Q603" s="13">
        <f t="shared" ca="1" si="326"/>
        <v>1.1292877866468915E-2</v>
      </c>
      <c r="R603" s="13">
        <f t="shared" ca="1" si="327"/>
        <v>6.9706552380449584E-4</v>
      </c>
      <c r="S603" s="13">
        <f t="shared" ca="1" si="328"/>
        <v>0.21944078442278764</v>
      </c>
      <c r="T603" s="13">
        <f t="shared" ca="1" si="329"/>
        <v>-4.286604274248069E-5</v>
      </c>
      <c r="U603" s="13">
        <f t="shared" ca="1" si="330"/>
        <v>0.15880727566003949</v>
      </c>
      <c r="V603" s="13">
        <f t="shared" ca="1" si="331"/>
        <v>1.908026273417776</v>
      </c>
      <c r="X603" s="3">
        <f t="shared" ca="1" si="332"/>
        <v>6.2265276238694179E-6</v>
      </c>
      <c r="Y603" s="3">
        <f t="shared" ca="1" si="333"/>
        <v>-3.8453612009667072E-5</v>
      </c>
      <c r="Z603" s="3">
        <f t="shared" ca="1" si="334"/>
        <v>1.1292877866468915E-2</v>
      </c>
      <c r="AA603" s="3">
        <f t="shared" ca="1" si="335"/>
        <v>6.9706552380449584E-4</v>
      </c>
      <c r="AB603" s="3">
        <f t="shared" ca="1" si="336"/>
        <v>0.21944078442278764</v>
      </c>
      <c r="AC603" s="3">
        <f t="shared" ca="1" si="337"/>
        <v>-4.286604274248069E-5</v>
      </c>
      <c r="AD603" s="3">
        <f t="shared" ca="1" si="338"/>
        <v>0.15880727566003949</v>
      </c>
      <c r="AE603" s="3">
        <f t="shared" ca="1" si="339"/>
        <v>1.908026273417776</v>
      </c>
      <c r="AG603" s="3">
        <f t="shared" ca="1" si="340"/>
        <v>6.2265276238694179E-6</v>
      </c>
      <c r="AH603" s="3">
        <f t="shared" ca="1" si="341"/>
        <v>-3.8453612009667072E-5</v>
      </c>
      <c r="AI603" s="3">
        <f t="shared" ca="1" si="342"/>
        <v>1.1292877866468915E-2</v>
      </c>
      <c r="AJ603" s="3">
        <f t="shared" ca="1" si="343"/>
        <v>6.9706552380449584E-4</v>
      </c>
      <c r="AK603" s="3">
        <f t="shared" ca="1" si="344"/>
        <v>0.21944078442278764</v>
      </c>
      <c r="AL603" s="3">
        <f t="shared" ca="1" si="345"/>
        <v>-4.286604274248069E-5</v>
      </c>
      <c r="AM603" s="3">
        <f t="shared" ca="1" si="346"/>
        <v>0.15880727566003949</v>
      </c>
      <c r="AN603" s="3">
        <f t="shared" ca="1" si="347"/>
        <v>1.908026273417776</v>
      </c>
      <c r="AP603" s="3">
        <f t="shared" ca="1" si="348"/>
        <v>8.6949482906589477</v>
      </c>
      <c r="AQ603" s="3">
        <f t="shared" ca="1" si="360"/>
        <v>0.40057107342490378</v>
      </c>
      <c r="AR603" s="3">
        <f t="shared" ca="1" si="349"/>
        <v>2.7922428511785972E-4</v>
      </c>
      <c r="AS603" s="3">
        <f t="shared" ca="1" si="350"/>
        <v>0.15852805137492162</v>
      </c>
      <c r="AT603" s="3">
        <f t="shared" ca="1" si="351"/>
        <v>0.70891576028525805</v>
      </c>
      <c r="AU603" s="3">
        <f t="shared" ca="1" si="352"/>
        <v>5.3473295593393047E-2</v>
      </c>
      <c r="AV603" s="10">
        <f t="shared" ca="1" si="355"/>
        <v>0.70891576028525805</v>
      </c>
      <c r="AW603" s="10">
        <f t="shared" ca="1" si="356"/>
        <v>0.70891576028525805</v>
      </c>
      <c r="AX603" s="10"/>
      <c r="AY603" s="3">
        <f t="shared" ca="1" si="359"/>
        <v>8.6949482906589477</v>
      </c>
      <c r="AZ603" s="3">
        <f t="shared" ca="1" si="361"/>
        <v>0.40057107342490378</v>
      </c>
      <c r="BA603" s="3">
        <f t="shared" ca="1" si="353"/>
        <v>2.7922428511785972E-4</v>
      </c>
      <c r="BB603" s="3">
        <f t="shared" ca="1" si="362"/>
        <v>0.15852805137492162</v>
      </c>
      <c r="BC603" s="3">
        <f t="shared" ca="1" si="363"/>
        <v>0.70891576028525805</v>
      </c>
      <c r="BD603" s="3">
        <f t="shared" ca="1" si="354"/>
        <v>5.3473295593393047E-2</v>
      </c>
      <c r="BE603" s="3">
        <f t="shared" ca="1" si="357"/>
        <v>0.70891576028525805</v>
      </c>
      <c r="BF603" s="3">
        <f t="shared" ca="1" si="358"/>
        <v>0.70891576028525805</v>
      </c>
    </row>
    <row r="604" spans="1:58" ht="15" x14ac:dyDescent="0.25">
      <c r="A604" s="72">
        <v>538</v>
      </c>
      <c r="B604" s="72">
        <v>1498730402.9419999</v>
      </c>
      <c r="C604" s="73">
        <v>1.97404351635453E-4</v>
      </c>
      <c r="D604" s="73">
        <v>3.77843642565374E-6</v>
      </c>
      <c r="E604" s="73">
        <v>1.1962921682346301E-2</v>
      </c>
      <c r="F604" s="73">
        <v>7.8375224526404104E-4</v>
      </c>
      <c r="G604" s="73">
        <v>0.21911419373281699</v>
      </c>
      <c r="H604" s="73">
        <v>3.8432809592117901E-5</v>
      </c>
      <c r="I604" s="73">
        <v>0.158193262632326</v>
      </c>
      <c r="J604" s="73">
        <v>1.9023942778742799</v>
      </c>
      <c r="K604" s="73"/>
      <c r="L604" s="73"/>
      <c r="M604" s="73"/>
      <c r="N604" s="19"/>
      <c r="O604" s="13">
        <f t="shared" ca="1" si="324"/>
        <v>-6.7282877636108587E-5</v>
      </c>
      <c r="P604" s="13">
        <f t="shared" ca="1" si="325"/>
        <v>-7.5090389591864328E-6</v>
      </c>
      <c r="Q604" s="13">
        <f t="shared" ca="1" si="326"/>
        <v>1.1122182064373615E-2</v>
      </c>
      <c r="R604" s="13">
        <f t="shared" ca="1" si="327"/>
        <v>7.739759663733599E-4</v>
      </c>
      <c r="S604" s="13">
        <f t="shared" ca="1" si="328"/>
        <v>0.21797911509957563</v>
      </c>
      <c r="T604" s="13">
        <f t="shared" ca="1" si="329"/>
        <v>3.8082988081093811E-5</v>
      </c>
      <c r="U604" s="13">
        <f t="shared" ca="1" si="330"/>
        <v>0.15753941863753748</v>
      </c>
      <c r="V604" s="13">
        <f t="shared" ca="1" si="331"/>
        <v>1.8952554969518258</v>
      </c>
      <c r="X604" s="3">
        <f t="shared" ca="1" si="332"/>
        <v>-6.7282877636108587E-5</v>
      </c>
      <c r="Y604" s="3">
        <f t="shared" ca="1" si="333"/>
        <v>-7.5090389591864328E-6</v>
      </c>
      <c r="Z604" s="3">
        <f t="shared" ca="1" si="334"/>
        <v>1.1121890701016999E-2</v>
      </c>
      <c r="AA604" s="3">
        <f t="shared" ca="1" si="335"/>
        <v>7.6692364876435406E-4</v>
      </c>
      <c r="AB604" s="3">
        <f t="shared" ca="1" si="336"/>
        <v>0.21792782852691669</v>
      </c>
      <c r="AC604" s="3">
        <f t="shared" ca="1" si="337"/>
        <v>3.8082988081093811E-5</v>
      </c>
      <c r="AD604" s="3">
        <f t="shared" ca="1" si="338"/>
        <v>0.15746368071955344</v>
      </c>
      <c r="AE604" s="3">
        <f t="shared" ca="1" si="339"/>
        <v>1.8952247642666049</v>
      </c>
      <c r="AG604" s="3">
        <f t="shared" ca="1" si="340"/>
        <v>-6.7282877636108587E-5</v>
      </c>
      <c r="AH604" s="3">
        <f t="shared" ca="1" si="341"/>
        <v>-7.5090389591864328E-6</v>
      </c>
      <c r="AI604" s="3">
        <f t="shared" ca="1" si="342"/>
        <v>1.1121890701016999E-2</v>
      </c>
      <c r="AJ604" s="3">
        <f t="shared" ca="1" si="343"/>
        <v>7.6692364876435406E-4</v>
      </c>
      <c r="AK604" s="3">
        <f t="shared" ca="1" si="344"/>
        <v>0.21792782852691669</v>
      </c>
      <c r="AL604" s="3">
        <f t="shared" ca="1" si="345"/>
        <v>3.8082988081093811E-5</v>
      </c>
      <c r="AM604" s="3">
        <f t="shared" ca="1" si="346"/>
        <v>0.15746368071955344</v>
      </c>
      <c r="AN604" s="3">
        <f t="shared" ca="1" si="347"/>
        <v>1.8952247642666049</v>
      </c>
      <c r="AP604" s="3">
        <f t="shared" ca="1" si="348"/>
        <v>8.6946655237408823</v>
      </c>
      <c r="AQ604" s="3">
        <f t="shared" ca="1" si="360"/>
        <v>0.40055788852398622</v>
      </c>
      <c r="AR604" s="3">
        <f t="shared" ca="1" si="349"/>
        <v>3.100221788588248E-4</v>
      </c>
      <c r="AS604" s="3">
        <f t="shared" ca="1" si="350"/>
        <v>0.15722939645867864</v>
      </c>
      <c r="AT604" s="3">
        <f t="shared" ca="1" si="351"/>
        <v>0.70783467214122542</v>
      </c>
      <c r="AU604" s="3">
        <f t="shared" ca="1" si="352"/>
        <v>5.3016411579219151E-2</v>
      </c>
      <c r="AV604" s="10" t="str">
        <f t="shared" ca="1" si="355"/>
        <v>rejected</v>
      </c>
      <c r="AW604" s="10" t="e">
        <f t="shared" ca="1" si="356"/>
        <v>#N/A</v>
      </c>
      <c r="AX604" s="10"/>
      <c r="AY604" s="3">
        <f t="shared" ca="1" si="359"/>
        <v>8.6965706815755386</v>
      </c>
      <c r="AZ604" s="3">
        <f t="shared" ca="1" si="361"/>
        <v>0.40064672262762413</v>
      </c>
      <c r="BA604" s="3">
        <f t="shared" ca="1" si="353"/>
        <v>3.0726544638305761E-4</v>
      </c>
      <c r="BB604" s="3">
        <f t="shared" ca="1" si="362"/>
        <v>0.15715641527317037</v>
      </c>
      <c r="BC604" s="3">
        <f t="shared" ca="1" si="363"/>
        <v>0.70759454287272427</v>
      </c>
      <c r="BD604" s="3">
        <f t="shared" ca="1" si="354"/>
        <v>5.3039388612335751E-2</v>
      </c>
      <c r="BE604" s="3" t="str">
        <f t="shared" ca="1" si="357"/>
        <v>rejected</v>
      </c>
      <c r="BF604" s="3" t="e">
        <f t="shared" ca="1" si="358"/>
        <v>#N/A</v>
      </c>
    </row>
    <row r="605" spans="1:58" ht="15" x14ac:dyDescent="0.25">
      <c r="A605" s="72">
        <v>539</v>
      </c>
      <c r="B605" s="72">
        <v>1498730403.4690001</v>
      </c>
      <c r="C605" s="73">
        <v>3.2444342782480499E-4</v>
      </c>
      <c r="D605" s="73">
        <v>-4.5826901200212998E-5</v>
      </c>
      <c r="E605" s="73">
        <v>1.1596588796180401E-2</v>
      </c>
      <c r="F605" s="73">
        <v>9.1306085448086295E-4</v>
      </c>
      <c r="G605" s="73">
        <v>0.21291530945975701</v>
      </c>
      <c r="H605" s="73">
        <v>1.1001473999329801E-5</v>
      </c>
      <c r="I605" s="73">
        <v>0.153909896565879</v>
      </c>
      <c r="J605" s="73">
        <v>1.84854807247124</v>
      </c>
      <c r="K605" s="73"/>
      <c r="L605" s="73"/>
      <c r="M605" s="73"/>
      <c r="N605" s="19"/>
      <c r="O605" s="13">
        <f t="shared" ca="1" si="324"/>
        <v>5.9756198553243402E-5</v>
      </c>
      <c r="P605" s="13">
        <f t="shared" ca="1" si="325"/>
        <v>-5.7114376585053169E-5</v>
      </c>
      <c r="Q605" s="13">
        <f t="shared" ca="1" si="326"/>
        <v>1.0755849178207716E-2</v>
      </c>
      <c r="R605" s="13">
        <f t="shared" ca="1" si="327"/>
        <v>9.0328457559018182E-4</v>
      </c>
      <c r="S605" s="13">
        <f t="shared" ca="1" si="328"/>
        <v>0.21178023082651565</v>
      </c>
      <c r="T605" s="13">
        <f t="shared" ca="1" si="329"/>
        <v>1.0651652488305714E-5</v>
      </c>
      <c r="U605" s="13">
        <f t="shared" ca="1" si="330"/>
        <v>0.15325605257109048</v>
      </c>
      <c r="V605" s="13">
        <f t="shared" ca="1" si="331"/>
        <v>1.8414092915487859</v>
      </c>
      <c r="X605" s="3">
        <f t="shared" ca="1" si="332"/>
        <v>5.9756198553243402E-5</v>
      </c>
      <c r="Y605" s="3">
        <f t="shared" ca="1" si="333"/>
        <v>-5.7114376585053169E-5</v>
      </c>
      <c r="Z605" s="3">
        <f t="shared" ca="1" si="334"/>
        <v>1.0755767685095466E-2</v>
      </c>
      <c r="AA605" s="3">
        <f t="shared" ca="1" si="335"/>
        <v>9.0131207185049802E-4</v>
      </c>
      <c r="AB605" s="3">
        <f t="shared" ca="1" si="336"/>
        <v>0.21176588618664349</v>
      </c>
      <c r="AC605" s="3">
        <f t="shared" ca="1" si="337"/>
        <v>1.0651652488305714E-5</v>
      </c>
      <c r="AD605" s="3">
        <f t="shared" ca="1" si="338"/>
        <v>0.15323486899219599</v>
      </c>
      <c r="AE605" s="3">
        <f t="shared" ca="1" si="339"/>
        <v>1.8414006957452658</v>
      </c>
      <c r="AG605" s="3">
        <f t="shared" ca="1" si="340"/>
        <v>5.9756198553243402E-5</v>
      </c>
      <c r="AH605" s="3">
        <f t="shared" ca="1" si="341"/>
        <v>-5.7114376585053169E-5</v>
      </c>
      <c r="AI605" s="3">
        <f t="shared" ca="1" si="342"/>
        <v>1.0755767685095466E-2</v>
      </c>
      <c r="AJ605" s="3">
        <f t="shared" ca="1" si="343"/>
        <v>9.0131207185049802E-4</v>
      </c>
      <c r="AK605" s="3">
        <f t="shared" ca="1" si="344"/>
        <v>0.21176588618664349</v>
      </c>
      <c r="AL605" s="3">
        <f t="shared" ca="1" si="345"/>
        <v>1.0651652488305714E-5</v>
      </c>
      <c r="AM605" s="3">
        <f t="shared" ca="1" si="346"/>
        <v>0.15323486899219599</v>
      </c>
      <c r="AN605" s="3">
        <f t="shared" ca="1" si="347"/>
        <v>1.8414006957452658</v>
      </c>
      <c r="AP605" s="3">
        <f t="shared" ca="1" si="348"/>
        <v>8.6949064337228723</v>
      </c>
      <c r="AQ605" s="3">
        <f t="shared" ca="1" si="360"/>
        <v>0.40056912171269021</v>
      </c>
      <c r="AR605" s="3">
        <f t="shared" ca="1" si="349"/>
        <v>3.6182790910077925E-4</v>
      </c>
      <c r="AS605" s="3">
        <f t="shared" ca="1" si="350"/>
        <v>0.15289422466198971</v>
      </c>
      <c r="AT605" s="3">
        <f t="shared" ca="1" si="351"/>
        <v>0.70845549584569567</v>
      </c>
      <c r="AU605" s="3">
        <f t="shared" ca="1" si="352"/>
        <v>5.2772396131302184E-2</v>
      </c>
      <c r="AV605" s="10">
        <f t="shared" ca="1" si="355"/>
        <v>0.70845549584569567</v>
      </c>
      <c r="AW605" s="10">
        <f t="shared" ca="1" si="356"/>
        <v>0.70845549584569567</v>
      </c>
      <c r="AX605" s="10"/>
      <c r="AY605" s="3">
        <f t="shared" ca="1" si="359"/>
        <v>8.6954548199624355</v>
      </c>
      <c r="AZ605" s="3">
        <f t="shared" ca="1" si="361"/>
        <v>0.40059469196698988</v>
      </c>
      <c r="BA605" s="3">
        <f t="shared" ca="1" si="353"/>
        <v>3.6106083178907969E-4</v>
      </c>
      <c r="BB605" s="3">
        <f t="shared" ca="1" si="362"/>
        <v>0.15287380816040691</v>
      </c>
      <c r="BC605" s="3">
        <f t="shared" ca="1" si="363"/>
        <v>0.70838637730121201</v>
      </c>
      <c r="BD605" s="3">
        <f t="shared" ca="1" si="354"/>
        <v>5.2778976913143608E-2</v>
      </c>
      <c r="BE605" s="3">
        <f t="shared" ca="1" si="357"/>
        <v>0.70838637730121201</v>
      </c>
      <c r="BF605" s="3">
        <f t="shared" ca="1" si="358"/>
        <v>0.70838637730121201</v>
      </c>
    </row>
    <row r="606" spans="1:58" ht="15" x14ac:dyDescent="0.25">
      <c r="A606" s="72">
        <v>540</v>
      </c>
      <c r="B606" s="72">
        <v>1498730403.9949999</v>
      </c>
      <c r="C606" s="73">
        <v>2.3118470081679999E-4</v>
      </c>
      <c r="D606" s="73">
        <v>-9.6846946844122002E-5</v>
      </c>
      <c r="E606" s="73">
        <v>1.16485701377164E-2</v>
      </c>
      <c r="F606" s="73">
        <v>6.4446059159899995E-4</v>
      </c>
      <c r="G606" s="73">
        <v>0.214309442007348</v>
      </c>
      <c r="H606" s="73">
        <v>-3.5857604741166702E-5</v>
      </c>
      <c r="I606" s="73">
        <v>0.154882684535046</v>
      </c>
      <c r="J606" s="73">
        <v>1.8601127200649901</v>
      </c>
      <c r="K606" s="73"/>
      <c r="L606" s="73"/>
      <c r="M606" s="73"/>
      <c r="N606" s="19"/>
      <c r="O606" s="13">
        <f t="shared" ca="1" si="324"/>
        <v>-3.3502528454761591E-5</v>
      </c>
      <c r="P606" s="13">
        <f t="shared" ca="1" si="325"/>
        <v>-1.0813442222896218E-4</v>
      </c>
      <c r="Q606" s="13">
        <f t="shared" ca="1" si="326"/>
        <v>1.0807830519743714E-2</v>
      </c>
      <c r="R606" s="13">
        <f t="shared" ca="1" si="327"/>
        <v>6.3468431270831882E-4</v>
      </c>
      <c r="S606" s="13">
        <f t="shared" ca="1" si="328"/>
        <v>0.21317436337410664</v>
      </c>
      <c r="T606" s="13">
        <f t="shared" ca="1" si="329"/>
        <v>-3.6207426252190792E-5</v>
      </c>
      <c r="U606" s="13">
        <f t="shared" ca="1" si="330"/>
        <v>0.15422884054025748</v>
      </c>
      <c r="V606" s="13">
        <f t="shared" ca="1" si="331"/>
        <v>1.8529739391425359</v>
      </c>
      <c r="X606" s="3">
        <f t="shared" ca="1" si="332"/>
        <v>-3.3502528454761591E-5</v>
      </c>
      <c r="Y606" s="3">
        <f t="shared" ca="1" si="333"/>
        <v>-1.0813442222896218E-4</v>
      </c>
      <c r="Z606" s="3">
        <f t="shared" ca="1" si="334"/>
        <v>1.0807830519743714E-2</v>
      </c>
      <c r="AA606" s="3">
        <f t="shared" ca="1" si="335"/>
        <v>6.3468431270831882E-4</v>
      </c>
      <c r="AB606" s="3">
        <f t="shared" ca="1" si="336"/>
        <v>0.21317436337410664</v>
      </c>
      <c r="AC606" s="3">
        <f t="shared" ca="1" si="337"/>
        <v>-3.6207426252190792E-5</v>
      </c>
      <c r="AD606" s="3">
        <f t="shared" ca="1" si="338"/>
        <v>0.15422884054025748</v>
      </c>
      <c r="AE606" s="3">
        <f t="shared" ca="1" si="339"/>
        <v>1.8529739391425359</v>
      </c>
      <c r="AG606" s="3">
        <f t="shared" ca="1" si="340"/>
        <v>-3.3502528454761591E-5</v>
      </c>
      <c r="AH606" s="3">
        <f t="shared" ca="1" si="341"/>
        <v>-1.0813442222896218E-4</v>
      </c>
      <c r="AI606" s="3">
        <f t="shared" ca="1" si="342"/>
        <v>1.0807830519743714E-2</v>
      </c>
      <c r="AJ606" s="3">
        <f t="shared" ca="1" si="343"/>
        <v>6.3468431270831882E-4</v>
      </c>
      <c r="AK606" s="3">
        <f t="shared" ca="1" si="344"/>
        <v>0.21317436337410664</v>
      </c>
      <c r="AL606" s="3">
        <f t="shared" ca="1" si="345"/>
        <v>-3.6207426252190792E-5</v>
      </c>
      <c r="AM606" s="3">
        <f t="shared" ca="1" si="346"/>
        <v>0.15422884054025748</v>
      </c>
      <c r="AN606" s="3">
        <f t="shared" ca="1" si="347"/>
        <v>1.8529739391425359</v>
      </c>
      <c r="AP606" s="3">
        <f t="shared" ca="1" si="348"/>
        <v>8.6922925900366899</v>
      </c>
      <c r="AQ606" s="3">
        <f t="shared" ca="1" si="360"/>
        <v>0.4004472431980397</v>
      </c>
      <c r="AR606" s="3">
        <f t="shared" ca="1" si="349"/>
        <v>2.5415758332508883E-4</v>
      </c>
      <c r="AS606" s="3">
        <f t="shared" ca="1" si="350"/>
        <v>0.1539746829569324</v>
      </c>
      <c r="AT606" s="3">
        <f t="shared" ca="1" si="351"/>
        <v>0.70890332159773239</v>
      </c>
      <c r="AU606" s="3">
        <f t="shared" ca="1" si="352"/>
        <v>5.2664439471739072E-2</v>
      </c>
      <c r="AV606" s="10">
        <f t="shared" ca="1" si="355"/>
        <v>0.70890332159773239</v>
      </c>
      <c r="AW606" s="10">
        <f t="shared" ca="1" si="356"/>
        <v>0.70890332159773239</v>
      </c>
      <c r="AX606" s="10"/>
      <c r="AY606" s="3">
        <f t="shared" ca="1" si="359"/>
        <v>8.6922925900366899</v>
      </c>
      <c r="AZ606" s="3">
        <f t="shared" ca="1" si="361"/>
        <v>0.4004472431980397</v>
      </c>
      <c r="BA606" s="3">
        <f t="shared" ca="1" si="353"/>
        <v>2.5415758332508883E-4</v>
      </c>
      <c r="BB606" s="3">
        <f t="shared" ca="1" si="362"/>
        <v>0.1539746829569324</v>
      </c>
      <c r="BC606" s="3">
        <f t="shared" ca="1" si="363"/>
        <v>0.70890332159773239</v>
      </c>
      <c r="BD606" s="3">
        <f t="shared" ca="1" si="354"/>
        <v>5.2664439471739072E-2</v>
      </c>
      <c r="BE606" s="3">
        <f t="shared" ca="1" si="357"/>
        <v>0.70890332159773239</v>
      </c>
      <c r="BF606" s="3">
        <f t="shared" ca="1" si="358"/>
        <v>0.70890332159773239</v>
      </c>
    </row>
    <row r="607" spans="1:58" ht="15" x14ac:dyDescent="0.25">
      <c r="A607" s="72">
        <v>541</v>
      </c>
      <c r="B607" s="72">
        <v>1498730404.5220001</v>
      </c>
      <c r="C607" s="73">
        <v>2.18814299484245E-4</v>
      </c>
      <c r="D607" s="73">
        <v>-7.0877068081931303E-6</v>
      </c>
      <c r="E607" s="73">
        <v>1.2069332325577E-2</v>
      </c>
      <c r="F607" s="73">
        <v>7.6327396390311105E-4</v>
      </c>
      <c r="G607" s="73">
        <v>0.22071042068427699</v>
      </c>
      <c r="H607" s="73">
        <v>-5.4108702866341901E-5</v>
      </c>
      <c r="I607" s="73">
        <v>0.15935970802965799</v>
      </c>
      <c r="J607" s="73">
        <v>1.91592853475044</v>
      </c>
      <c r="K607" s="73"/>
      <c r="L607" s="73"/>
      <c r="M607" s="73"/>
      <c r="N607" s="19"/>
      <c r="O607" s="13">
        <f t="shared" ca="1" si="324"/>
        <v>-4.5872929787316581E-5</v>
      </c>
      <c r="P607" s="13">
        <f t="shared" ca="1" si="325"/>
        <v>-1.8375182193033304E-5</v>
      </c>
      <c r="Q607" s="13">
        <f t="shared" ca="1" si="326"/>
        <v>1.1228592707604314E-2</v>
      </c>
      <c r="R607" s="13">
        <f t="shared" ca="1" si="327"/>
        <v>7.5349768501242992E-4</v>
      </c>
      <c r="S607" s="13">
        <f t="shared" ca="1" si="328"/>
        <v>0.21957534205103563</v>
      </c>
      <c r="T607" s="13">
        <f t="shared" ca="1" si="329"/>
        <v>-5.4458524377365991E-5</v>
      </c>
      <c r="U607" s="13">
        <f t="shared" ca="1" si="330"/>
        <v>0.15870586403486947</v>
      </c>
      <c r="V607" s="13">
        <f t="shared" ca="1" si="331"/>
        <v>1.9087897538279859</v>
      </c>
      <c r="X607" s="3">
        <f t="shared" ca="1" si="332"/>
        <v>-4.5872929787316581E-5</v>
      </c>
      <c r="Y607" s="3">
        <f t="shared" ca="1" si="333"/>
        <v>-1.8375182193033304E-5</v>
      </c>
      <c r="Z607" s="3">
        <f t="shared" ca="1" si="334"/>
        <v>1.1228592707604314E-2</v>
      </c>
      <c r="AA607" s="3">
        <f t="shared" ca="1" si="335"/>
        <v>7.5349768501242992E-4</v>
      </c>
      <c r="AB607" s="3">
        <f t="shared" ca="1" si="336"/>
        <v>0.21957534205103563</v>
      </c>
      <c r="AC607" s="3">
        <f t="shared" ca="1" si="337"/>
        <v>-5.4458524377365991E-5</v>
      </c>
      <c r="AD607" s="3">
        <f t="shared" ca="1" si="338"/>
        <v>0.15870586403486947</v>
      </c>
      <c r="AE607" s="3">
        <f t="shared" ca="1" si="339"/>
        <v>1.9087897538279859</v>
      </c>
      <c r="AG607" s="3">
        <f t="shared" ca="1" si="340"/>
        <v>-4.5872929787316581E-5</v>
      </c>
      <c r="AH607" s="3">
        <f t="shared" ca="1" si="341"/>
        <v>-1.8375182193033304E-5</v>
      </c>
      <c r="AI607" s="3">
        <f t="shared" ca="1" si="342"/>
        <v>1.1228592707604314E-2</v>
      </c>
      <c r="AJ607" s="3">
        <f t="shared" ca="1" si="343"/>
        <v>7.5349768501242992E-4</v>
      </c>
      <c r="AK607" s="3">
        <f t="shared" ca="1" si="344"/>
        <v>0.21957534205103563</v>
      </c>
      <c r="AL607" s="3">
        <f t="shared" ca="1" si="345"/>
        <v>-5.4458524377365991E-5</v>
      </c>
      <c r="AM607" s="3">
        <f t="shared" ca="1" si="346"/>
        <v>0.15870586403486947</v>
      </c>
      <c r="AN607" s="3">
        <f t="shared" ca="1" si="347"/>
        <v>1.9087897538279859</v>
      </c>
      <c r="AP607" s="3">
        <f t="shared" ca="1" si="348"/>
        <v>8.6930970299220949</v>
      </c>
      <c r="AQ607" s="3">
        <f t="shared" ca="1" si="360"/>
        <v>0.40048475263868644</v>
      </c>
      <c r="AR607" s="3">
        <f t="shared" ca="1" si="349"/>
        <v>3.0176433399602587E-4</v>
      </c>
      <c r="AS607" s="3">
        <f t="shared" ca="1" si="350"/>
        <v>0.15840409970087344</v>
      </c>
      <c r="AT607" s="3">
        <f t="shared" ca="1" si="351"/>
        <v>0.70800329240294002</v>
      </c>
      <c r="AU607" s="3">
        <f t="shared" ca="1" si="352"/>
        <v>5.3124737986704008E-2</v>
      </c>
      <c r="AV607" s="10">
        <f t="shared" ca="1" si="355"/>
        <v>0.70800329240294002</v>
      </c>
      <c r="AW607" s="10">
        <f t="shared" ca="1" si="356"/>
        <v>0.70800329240294002</v>
      </c>
      <c r="AX607" s="10"/>
      <c r="AY607" s="3">
        <f t="shared" ca="1" si="359"/>
        <v>8.6930970299220949</v>
      </c>
      <c r="AZ607" s="3">
        <f t="shared" ca="1" si="361"/>
        <v>0.40048475263868644</v>
      </c>
      <c r="BA607" s="3">
        <f t="shared" ca="1" si="353"/>
        <v>3.0176433399602587E-4</v>
      </c>
      <c r="BB607" s="3">
        <f t="shared" ca="1" si="362"/>
        <v>0.15840409970087344</v>
      </c>
      <c r="BC607" s="3">
        <f t="shared" ca="1" si="363"/>
        <v>0.70800329240294002</v>
      </c>
      <c r="BD607" s="3">
        <f t="shared" ca="1" si="354"/>
        <v>5.3124737986704008E-2</v>
      </c>
      <c r="BE607" s="3">
        <f t="shared" ca="1" si="357"/>
        <v>0.70800329240294002</v>
      </c>
      <c r="BF607" s="3">
        <f t="shared" ca="1" si="358"/>
        <v>0.70800329240294002</v>
      </c>
    </row>
    <row r="608" spans="1:58" ht="15" x14ac:dyDescent="0.25">
      <c r="A608" s="72">
        <v>542</v>
      </c>
      <c r="B608" s="72">
        <v>1498730405.049</v>
      </c>
      <c r="C608" s="73">
        <v>2.9565600370832303E-4</v>
      </c>
      <c r="D608" s="73">
        <v>-8.5745586172743794E-5</v>
      </c>
      <c r="E608" s="73">
        <v>1.1763853113002E-2</v>
      </c>
      <c r="F608" s="73">
        <v>1.04595896281161E-3</v>
      </c>
      <c r="G608" s="73">
        <v>0.21585386196036699</v>
      </c>
      <c r="H608" s="73">
        <v>-3.7038243113493699E-5</v>
      </c>
      <c r="I608" s="73">
        <v>0.156147087973698</v>
      </c>
      <c r="J608" s="73">
        <v>1.8749772576280299</v>
      </c>
      <c r="K608" s="73"/>
      <c r="L608" s="73"/>
      <c r="M608" s="73"/>
      <c r="N608" s="19"/>
      <c r="O608" s="13">
        <f t="shared" ca="1" si="324"/>
        <v>3.0968774436761443E-5</v>
      </c>
      <c r="P608" s="13">
        <f t="shared" ca="1" si="325"/>
        <v>-9.7033061557583972E-5</v>
      </c>
      <c r="Q608" s="13">
        <f t="shared" ca="1" si="326"/>
        <v>1.0923113495029314E-2</v>
      </c>
      <c r="R608" s="13">
        <f t="shared" ca="1" si="327"/>
        <v>1.0361826839209289E-3</v>
      </c>
      <c r="S608" s="13">
        <f t="shared" ca="1" si="328"/>
        <v>0.21471878332712563</v>
      </c>
      <c r="T608" s="13">
        <f t="shared" ca="1" si="329"/>
        <v>-3.7388064624517789E-5</v>
      </c>
      <c r="U608" s="13">
        <f t="shared" ca="1" si="330"/>
        <v>0.15549324397890948</v>
      </c>
      <c r="V608" s="13">
        <f t="shared" ca="1" si="331"/>
        <v>1.8678384767055758</v>
      </c>
      <c r="X608" s="3">
        <f t="shared" ca="1" si="332"/>
        <v>3.0968774436761443E-5</v>
      </c>
      <c r="Y608" s="3">
        <f t="shared" ca="1" si="333"/>
        <v>-9.7033061557583972E-5</v>
      </c>
      <c r="Z608" s="3">
        <f t="shared" ca="1" si="334"/>
        <v>1.0923113495029314E-2</v>
      </c>
      <c r="AA608" s="3">
        <f t="shared" ca="1" si="335"/>
        <v>1.0361826839209289E-3</v>
      </c>
      <c r="AB608" s="3">
        <f t="shared" ca="1" si="336"/>
        <v>0.21471878332712563</v>
      </c>
      <c r="AC608" s="3">
        <f t="shared" ca="1" si="337"/>
        <v>-3.7388064624517789E-5</v>
      </c>
      <c r="AD608" s="3">
        <f t="shared" ca="1" si="338"/>
        <v>0.15549324397890948</v>
      </c>
      <c r="AE608" s="3">
        <f t="shared" ca="1" si="339"/>
        <v>1.8678384767055758</v>
      </c>
      <c r="AG608" s="3">
        <f t="shared" ca="1" si="340"/>
        <v>3.0968774436761443E-5</v>
      </c>
      <c r="AH608" s="3">
        <f t="shared" ca="1" si="341"/>
        <v>-9.7033061557583972E-5</v>
      </c>
      <c r="AI608" s="3">
        <f t="shared" ca="1" si="342"/>
        <v>1.0923113495029314E-2</v>
      </c>
      <c r="AJ608" s="3">
        <f t="shared" ca="1" si="343"/>
        <v>1.0361826839209289E-3</v>
      </c>
      <c r="AK608" s="3">
        <f t="shared" ca="1" si="344"/>
        <v>0.21471878332712563</v>
      </c>
      <c r="AL608" s="3">
        <f t="shared" ca="1" si="345"/>
        <v>-3.7388064624517789E-5</v>
      </c>
      <c r="AM608" s="3">
        <f t="shared" ca="1" si="346"/>
        <v>0.15549324397890948</v>
      </c>
      <c r="AN608" s="3">
        <f t="shared" ca="1" si="347"/>
        <v>1.8678384767055758</v>
      </c>
      <c r="AP608" s="3">
        <f t="shared" ca="1" si="348"/>
        <v>8.6989989779325008</v>
      </c>
      <c r="AQ608" s="3">
        <f t="shared" ca="1" si="360"/>
        <v>0.40075995008739829</v>
      </c>
      <c r="AR608" s="3">
        <f t="shared" ca="1" si="349"/>
        <v>4.1526052068957786E-4</v>
      </c>
      <c r="AS608" s="3">
        <f t="shared" ca="1" si="350"/>
        <v>0.15507798345821991</v>
      </c>
      <c r="AT608" s="3">
        <f t="shared" ca="1" si="351"/>
        <v>0.7085721843466366</v>
      </c>
      <c r="AU608" s="3">
        <f t="shared" ca="1" si="352"/>
        <v>5.2885066449066799E-2</v>
      </c>
      <c r="AV608" s="10">
        <f t="shared" ca="1" si="355"/>
        <v>0.7085721843466366</v>
      </c>
      <c r="AW608" s="10">
        <f t="shared" ca="1" si="356"/>
        <v>0.7085721843466366</v>
      </c>
      <c r="AX608" s="10"/>
      <c r="AY608" s="3">
        <f t="shared" ca="1" si="359"/>
        <v>8.6989989779325008</v>
      </c>
      <c r="AZ608" s="3">
        <f t="shared" ca="1" si="361"/>
        <v>0.40075995008739829</v>
      </c>
      <c r="BA608" s="3">
        <f t="shared" ca="1" si="353"/>
        <v>4.1526052068957786E-4</v>
      </c>
      <c r="BB608" s="3">
        <f t="shared" ca="1" si="362"/>
        <v>0.15507798345821991</v>
      </c>
      <c r="BC608" s="3">
        <f t="shared" ca="1" si="363"/>
        <v>0.7085721843466366</v>
      </c>
      <c r="BD608" s="3">
        <f t="shared" ca="1" si="354"/>
        <v>5.2885066449066799E-2</v>
      </c>
      <c r="BE608" s="3">
        <f t="shared" ca="1" si="357"/>
        <v>0.7085721843466366</v>
      </c>
      <c r="BF608" s="3">
        <f t="shared" ca="1" si="358"/>
        <v>0.7085721843466366</v>
      </c>
    </row>
    <row r="609" spans="1:58" ht="15" x14ac:dyDescent="0.25">
      <c r="A609" s="72">
        <v>543</v>
      </c>
      <c r="B609" s="72">
        <v>1498730405.576</v>
      </c>
      <c r="C609" s="73">
        <v>2.7234117754773801E-4</v>
      </c>
      <c r="D609" s="73">
        <v>4.4173186279200099E-5</v>
      </c>
      <c r="E609" s="73">
        <v>1.1836543500488701E-2</v>
      </c>
      <c r="F609" s="73">
        <v>8.6257373368762796E-4</v>
      </c>
      <c r="G609" s="73">
        <v>0.21323910611654601</v>
      </c>
      <c r="H609" s="73">
        <v>-2.91513120953972E-5</v>
      </c>
      <c r="I609" s="73">
        <v>0.154154546646119</v>
      </c>
      <c r="J609" s="73">
        <v>1.8507889529123001</v>
      </c>
      <c r="K609" s="73"/>
      <c r="L609" s="73"/>
      <c r="M609" s="73"/>
      <c r="N609" s="19"/>
      <c r="O609" s="13">
        <f t="shared" ca="1" si="324"/>
        <v>7.6539482761764301E-6</v>
      </c>
      <c r="P609" s="13">
        <f t="shared" ca="1" si="325"/>
        <v>3.2885710894359927E-5</v>
      </c>
      <c r="Q609" s="13">
        <f t="shared" ca="1" si="326"/>
        <v>1.0995803882516015E-2</v>
      </c>
      <c r="R609" s="13">
        <f t="shared" ca="1" si="327"/>
        <v>8.5279745479694682E-4</v>
      </c>
      <c r="S609" s="13">
        <f t="shared" ca="1" si="328"/>
        <v>0.21210402748330465</v>
      </c>
      <c r="T609" s="13">
        <f t="shared" ca="1" si="329"/>
        <v>-2.9501133606421287E-5</v>
      </c>
      <c r="U609" s="13">
        <f t="shared" ca="1" si="330"/>
        <v>0.15350070265133048</v>
      </c>
      <c r="V609" s="13">
        <f t="shared" ca="1" si="331"/>
        <v>1.8436501719898459</v>
      </c>
      <c r="X609" s="3">
        <f t="shared" ca="1" si="332"/>
        <v>7.6539482761764301E-6</v>
      </c>
      <c r="Y609" s="3">
        <f t="shared" ca="1" si="333"/>
        <v>3.2885710894359927E-5</v>
      </c>
      <c r="Z609" s="3">
        <f t="shared" ca="1" si="334"/>
        <v>1.0995803882516015E-2</v>
      </c>
      <c r="AA609" s="3">
        <f t="shared" ca="1" si="335"/>
        <v>8.5279745479694682E-4</v>
      </c>
      <c r="AB609" s="3">
        <f t="shared" ca="1" si="336"/>
        <v>0.21210402748330465</v>
      </c>
      <c r="AC609" s="3">
        <f t="shared" ca="1" si="337"/>
        <v>-2.9501133606421287E-5</v>
      </c>
      <c r="AD609" s="3">
        <f t="shared" ca="1" si="338"/>
        <v>0.15350070265133048</v>
      </c>
      <c r="AE609" s="3">
        <f t="shared" ca="1" si="339"/>
        <v>1.8436501719898459</v>
      </c>
      <c r="AG609" s="3">
        <f t="shared" ca="1" si="340"/>
        <v>7.6539482761764301E-6</v>
      </c>
      <c r="AH609" s="3">
        <f t="shared" ca="1" si="341"/>
        <v>3.2885710894359927E-5</v>
      </c>
      <c r="AI609" s="3">
        <f t="shared" ca="1" si="342"/>
        <v>1.0969314616824835E-2</v>
      </c>
      <c r="AJ609" s="3">
        <f t="shared" ca="1" si="343"/>
        <v>8.3817001105578601E-4</v>
      </c>
      <c r="AK609" s="3">
        <f t="shared" ca="1" si="344"/>
        <v>0.21210402748330465</v>
      </c>
      <c r="AL609" s="3">
        <f t="shared" ca="1" si="345"/>
        <v>-2.9501133606421287E-5</v>
      </c>
      <c r="AM609" s="3">
        <f t="shared" ca="1" si="346"/>
        <v>0.15350070265133048</v>
      </c>
      <c r="AN609" s="3">
        <f t="shared" ca="1" si="347"/>
        <v>1.8436501719898459</v>
      </c>
      <c r="AP609" s="3">
        <f t="shared" ca="1" si="348"/>
        <v>8.6921978515234244</v>
      </c>
      <c r="AQ609" s="3">
        <f t="shared" ca="1" si="360"/>
        <v>0.40044282573133333</v>
      </c>
      <c r="AR609" s="3">
        <f t="shared" ca="1" si="349"/>
        <v>3.414966225753784E-4</v>
      </c>
      <c r="AS609" s="3">
        <f t="shared" ca="1" si="350"/>
        <v>0.1531592060287551</v>
      </c>
      <c r="AT609" s="3">
        <f t="shared" ca="1" si="351"/>
        <v>0.70871111231691652</v>
      </c>
      <c r="AU609" s="3">
        <f t="shared" ca="1" si="352"/>
        <v>5.3850177825339657E-2</v>
      </c>
      <c r="AV609" s="10">
        <f t="shared" ca="1" si="355"/>
        <v>0.70871111231691652</v>
      </c>
      <c r="AW609" s="10">
        <f t="shared" ca="1" si="356"/>
        <v>0.70871111231691652</v>
      </c>
      <c r="AX609" s="10"/>
      <c r="AY609" s="3">
        <f t="shared" ca="1" si="359"/>
        <v>8.6921978515234244</v>
      </c>
      <c r="AZ609" s="3">
        <f t="shared" ca="1" si="361"/>
        <v>0.40044282573133333</v>
      </c>
      <c r="BA609" s="3">
        <f t="shared" ca="1" si="353"/>
        <v>3.3563916767044186E-4</v>
      </c>
      <c r="BB609" s="3">
        <f t="shared" ca="1" si="362"/>
        <v>0.15316506348366005</v>
      </c>
      <c r="BC609" s="3">
        <f t="shared" ca="1" si="363"/>
        <v>0.70873821642308599</v>
      </c>
      <c r="BD609" s="3">
        <f t="shared" ca="1" si="354"/>
        <v>5.3720450914676865E-2</v>
      </c>
      <c r="BE609" s="3">
        <f t="shared" ca="1" si="357"/>
        <v>0.70873821642308599</v>
      </c>
      <c r="BF609" s="3">
        <f t="shared" ca="1" si="358"/>
        <v>0.70873821642308599</v>
      </c>
    </row>
    <row r="610" spans="1:58" ht="15" x14ac:dyDescent="0.25">
      <c r="A610" s="72">
        <v>544</v>
      </c>
      <c r="B610" s="72">
        <v>1498730406.102</v>
      </c>
      <c r="C610" s="73">
        <v>4.5197456040941099E-4</v>
      </c>
      <c r="D610" s="73">
        <v>3.5432662381292098E-5</v>
      </c>
      <c r="E610" s="73">
        <v>1.18661506860647E-2</v>
      </c>
      <c r="F610" s="73">
        <v>7.2422352106583097E-4</v>
      </c>
      <c r="G610" s="73">
        <v>0.21485370657472</v>
      </c>
      <c r="H610" s="73">
        <v>4.95634475789164E-5</v>
      </c>
      <c r="I610" s="73">
        <v>0.155438080381083</v>
      </c>
      <c r="J610" s="73">
        <v>1.86401807681544</v>
      </c>
      <c r="K610" s="73"/>
      <c r="L610" s="73"/>
      <c r="M610" s="73"/>
      <c r="N610" s="19"/>
      <c r="O610" s="13">
        <f t="shared" ca="1" si="324"/>
        <v>1.8728733113784941E-4</v>
      </c>
      <c r="P610" s="13">
        <f t="shared" ca="1" si="325"/>
        <v>2.4145186996451926E-5</v>
      </c>
      <c r="Q610" s="13">
        <f t="shared" ca="1" si="326"/>
        <v>1.1025411068092015E-2</v>
      </c>
      <c r="R610" s="13">
        <f t="shared" ca="1" si="327"/>
        <v>7.1444724217514983E-4</v>
      </c>
      <c r="S610" s="13">
        <f t="shared" ca="1" si="328"/>
        <v>0.21371862794147864</v>
      </c>
      <c r="T610" s="13">
        <f t="shared" ca="1" si="329"/>
        <v>4.921362606789231E-5</v>
      </c>
      <c r="U610" s="13">
        <f t="shared" ca="1" si="330"/>
        <v>0.15478423638629449</v>
      </c>
      <c r="V610" s="13">
        <f t="shared" ca="1" si="331"/>
        <v>1.8568792958929858</v>
      </c>
      <c r="X610" s="3">
        <f t="shared" ca="1" si="332"/>
        <v>1.8728733113784941E-4</v>
      </c>
      <c r="Y610" s="3">
        <f t="shared" ca="1" si="333"/>
        <v>2.4145186996451926E-5</v>
      </c>
      <c r="Z610" s="3">
        <f t="shared" ca="1" si="334"/>
        <v>1.1025034547025657E-2</v>
      </c>
      <c r="AA610" s="3">
        <f t="shared" ca="1" si="335"/>
        <v>7.0533372090989151E-4</v>
      </c>
      <c r="AB610" s="3">
        <f t="shared" ca="1" si="336"/>
        <v>0.21365235167650265</v>
      </c>
      <c r="AC610" s="3">
        <f t="shared" ca="1" si="337"/>
        <v>4.921362606789231E-5</v>
      </c>
      <c r="AD610" s="3">
        <f t="shared" ca="1" si="338"/>
        <v>0.1546863623022838</v>
      </c>
      <c r="AE610" s="3">
        <f t="shared" ca="1" si="339"/>
        <v>1.8568395808665465</v>
      </c>
      <c r="AG610" s="3">
        <f t="shared" ca="1" si="340"/>
        <v>1.8728733113784941E-4</v>
      </c>
      <c r="AH610" s="3">
        <f t="shared" ca="1" si="341"/>
        <v>2.4145186996451926E-5</v>
      </c>
      <c r="AI610" s="3">
        <f t="shared" ca="1" si="342"/>
        <v>1.1005585726972267E-2</v>
      </c>
      <c r="AJ610" s="3">
        <f t="shared" ca="1" si="343"/>
        <v>6.9459403018084056E-4</v>
      </c>
      <c r="AK610" s="3">
        <f t="shared" ca="1" si="344"/>
        <v>0.21365235167650265</v>
      </c>
      <c r="AL610" s="3">
        <f t="shared" ca="1" si="345"/>
        <v>4.921362606789231E-5</v>
      </c>
      <c r="AM610" s="3">
        <f t="shared" ca="1" si="346"/>
        <v>0.1546863623022838</v>
      </c>
      <c r="AN610" s="3">
        <f t="shared" ca="1" si="347"/>
        <v>1.8568395808665465</v>
      </c>
      <c r="AP610" s="3">
        <f t="shared" ca="1" si="348"/>
        <v>8.6884298003328215</v>
      </c>
      <c r="AQ610" s="3">
        <f t="shared" ca="1" si="360"/>
        <v>0.40026712954143606</v>
      </c>
      <c r="AR610" s="3">
        <f t="shared" ca="1" si="349"/>
        <v>2.8596974683424246E-4</v>
      </c>
      <c r="AS610" s="3">
        <f t="shared" ca="1" si="350"/>
        <v>0.15449826663946026</v>
      </c>
      <c r="AT610" s="3">
        <f t="shared" ca="1" si="351"/>
        <v>0.70966128788054339</v>
      </c>
      <c r="AU610" s="3">
        <f t="shared" ca="1" si="352"/>
        <v>5.3563481805312188E-2</v>
      </c>
      <c r="AV610" s="10" t="str">
        <f t="shared" ca="1" si="355"/>
        <v>rejected</v>
      </c>
      <c r="AW610" s="10" t="e">
        <f t="shared" ca="1" si="356"/>
        <v>#N/A</v>
      </c>
      <c r="AX610" s="10"/>
      <c r="AY610" s="3">
        <f t="shared" ca="1" si="359"/>
        <v>8.6909391181335671</v>
      </c>
      <c r="AZ610" s="3">
        <f t="shared" ca="1" si="361"/>
        <v>0.4003841335754259</v>
      </c>
      <c r="BA610" s="3">
        <f t="shared" ca="1" si="353"/>
        <v>2.7810442896061908E-4</v>
      </c>
      <c r="BB610" s="3">
        <f t="shared" ca="1" si="362"/>
        <v>0.15440825787332318</v>
      </c>
      <c r="BC610" s="3">
        <f t="shared" ca="1" si="363"/>
        <v>0.7093646959806208</v>
      </c>
      <c r="BD610" s="3">
        <f t="shared" ca="1" si="354"/>
        <v>5.3499558396335314E-2</v>
      </c>
      <c r="BE610" s="3">
        <f t="shared" ca="1" si="357"/>
        <v>0.7093646959806208</v>
      </c>
      <c r="BF610" s="3">
        <f t="shared" ca="1" si="358"/>
        <v>0.7093646959806208</v>
      </c>
    </row>
    <row r="611" spans="1:58" ht="15" x14ac:dyDescent="0.25">
      <c r="A611" s="72">
        <v>545</v>
      </c>
      <c r="B611" s="72">
        <v>1498730406.6289999</v>
      </c>
      <c r="C611" s="73">
        <v>3.9296559398139901E-4</v>
      </c>
      <c r="D611" s="73">
        <v>4.1102182622052897E-5</v>
      </c>
      <c r="E611" s="73">
        <v>1.19258491115987E-2</v>
      </c>
      <c r="F611" s="73">
        <v>8.2732952005751595E-4</v>
      </c>
      <c r="G611" s="73">
        <v>0.216673125639536</v>
      </c>
      <c r="H611" s="73">
        <v>8.4168565505569101E-5</v>
      </c>
      <c r="I611" s="73">
        <v>0.15673531638138699</v>
      </c>
      <c r="J611" s="73">
        <v>1.87992231370146</v>
      </c>
      <c r="K611" s="73"/>
      <c r="L611" s="73"/>
      <c r="M611" s="73"/>
      <c r="N611" s="19"/>
      <c r="O611" s="13">
        <f t="shared" ca="1" si="324"/>
        <v>1.2827836470983742E-4</v>
      </c>
      <c r="P611" s="13">
        <f t="shared" ca="1" si="325"/>
        <v>2.9814707237212726E-5</v>
      </c>
      <c r="Q611" s="13">
        <f t="shared" ca="1" si="326"/>
        <v>1.1085109493626014E-2</v>
      </c>
      <c r="R611" s="13">
        <f t="shared" ca="1" si="327"/>
        <v>8.1755324116683482E-4</v>
      </c>
      <c r="S611" s="13">
        <f t="shared" ca="1" si="328"/>
        <v>0.21553804700629464</v>
      </c>
      <c r="T611" s="13">
        <f t="shared" ca="1" si="329"/>
        <v>8.3818743994545011E-5</v>
      </c>
      <c r="U611" s="13">
        <f t="shared" ca="1" si="330"/>
        <v>0.15608147238659847</v>
      </c>
      <c r="V611" s="13">
        <f t="shared" ca="1" si="331"/>
        <v>1.8727835327790059</v>
      </c>
      <c r="X611" s="3">
        <f t="shared" ca="1" si="332"/>
        <v>1.2827836470983742E-4</v>
      </c>
      <c r="Y611" s="3">
        <f t="shared" ca="1" si="333"/>
        <v>2.9814707237212726E-5</v>
      </c>
      <c r="Z611" s="3">
        <f t="shared" ca="1" si="334"/>
        <v>1.1084468217512239E-2</v>
      </c>
      <c r="AA611" s="3">
        <f t="shared" ca="1" si="335"/>
        <v>8.0203144432203981E-4</v>
      </c>
      <c r="AB611" s="3">
        <f t="shared" ca="1" si="336"/>
        <v>0.215425167835813</v>
      </c>
      <c r="AC611" s="3">
        <f t="shared" ca="1" si="337"/>
        <v>8.3818743994545011E-5</v>
      </c>
      <c r="AD611" s="3">
        <f t="shared" ca="1" si="338"/>
        <v>0.15591477703315965</v>
      </c>
      <c r="AE611" s="3">
        <f t="shared" ca="1" si="339"/>
        <v>1.8727158916824271</v>
      </c>
      <c r="AG611" s="3">
        <f t="shared" ca="1" si="340"/>
        <v>1.2827836470983742E-4</v>
      </c>
      <c r="AH611" s="3">
        <f t="shared" ca="1" si="341"/>
        <v>2.9814707237212726E-5</v>
      </c>
      <c r="AI611" s="3">
        <f t="shared" ca="1" si="342"/>
        <v>1.1060452628977502E-2</v>
      </c>
      <c r="AJ611" s="3">
        <f t="shared" ca="1" si="343"/>
        <v>7.8876997175809092E-4</v>
      </c>
      <c r="AK611" s="3">
        <f t="shared" ca="1" si="344"/>
        <v>0.215425167835813</v>
      </c>
      <c r="AL611" s="3">
        <f t="shared" ca="1" si="345"/>
        <v>8.3818743994545011E-5</v>
      </c>
      <c r="AM611" s="3">
        <f t="shared" ca="1" si="346"/>
        <v>0.15591477703315965</v>
      </c>
      <c r="AN611" s="3">
        <f t="shared" ca="1" si="347"/>
        <v>1.8727158916824271</v>
      </c>
      <c r="AP611" s="3">
        <f t="shared" ca="1" si="348"/>
        <v>8.6888767843586923</v>
      </c>
      <c r="AQ611" s="3">
        <f t="shared" ca="1" si="360"/>
        <v>0.40028797140485639</v>
      </c>
      <c r="AR611" s="3">
        <f t="shared" ca="1" si="349"/>
        <v>3.2725672842213766E-4</v>
      </c>
      <c r="AS611" s="3">
        <f t="shared" ca="1" si="350"/>
        <v>0.15575421565817635</v>
      </c>
      <c r="AT611" s="3">
        <f t="shared" ca="1" si="351"/>
        <v>0.70937274211618606</v>
      </c>
      <c r="AU611" s="3">
        <f t="shared" ca="1" si="352"/>
        <v>5.340172575091541E-2</v>
      </c>
      <c r="AV611" s="10">
        <f t="shared" ca="1" si="355"/>
        <v>0.70937274211618606</v>
      </c>
      <c r="AW611" s="10">
        <f t="shared" ca="1" si="356"/>
        <v>0.70937274211618606</v>
      </c>
      <c r="AX611" s="10"/>
      <c r="AY611" s="3">
        <f t="shared" ca="1" si="359"/>
        <v>8.6931156210574407</v>
      </c>
      <c r="AZ611" s="3">
        <f t="shared" ca="1" si="361"/>
        <v>0.40048561950705147</v>
      </c>
      <c r="BA611" s="3">
        <f t="shared" ca="1" si="353"/>
        <v>3.1589103078809853E-4</v>
      </c>
      <c r="BB611" s="3">
        <f t="shared" ca="1" si="362"/>
        <v>0.15559888600237154</v>
      </c>
      <c r="BC611" s="3">
        <f t="shared" ca="1" si="363"/>
        <v>0.70886250220052016</v>
      </c>
      <c r="BD611" s="3">
        <f t="shared" ca="1" si="354"/>
        <v>5.3337474774944264E-2</v>
      </c>
      <c r="BE611" s="3">
        <f t="shared" ca="1" si="357"/>
        <v>0.70886250220052016</v>
      </c>
      <c r="BF611" s="3">
        <f t="shared" ca="1" si="358"/>
        <v>0.70886250220052016</v>
      </c>
    </row>
    <row r="612" spans="1:58" ht="15" x14ac:dyDescent="0.25">
      <c r="A612" s="72">
        <v>546</v>
      </c>
      <c r="B612" s="72">
        <v>1498730407.1559999</v>
      </c>
      <c r="C612" s="73">
        <v>3.8106904729022701E-4</v>
      </c>
      <c r="D612" s="73">
        <v>8.40970988218566E-5</v>
      </c>
      <c r="E612" s="73">
        <v>1.20621095294389E-2</v>
      </c>
      <c r="F612" s="73">
        <v>8.8948400413547696E-4</v>
      </c>
      <c r="G612" s="73">
        <v>0.21894390278846801</v>
      </c>
      <c r="H612" s="73">
        <v>6.8590041167399099E-5</v>
      </c>
      <c r="I612" s="73">
        <v>0.15840357074872</v>
      </c>
      <c r="J612" s="73">
        <v>1.8994814258161301</v>
      </c>
      <c r="K612" s="73"/>
      <c r="L612" s="73"/>
      <c r="M612" s="73"/>
      <c r="N612" s="19"/>
      <c r="O612" s="13">
        <f t="shared" ca="1" si="324"/>
        <v>1.1638181801866543E-4</v>
      </c>
      <c r="P612" s="13">
        <f t="shared" ca="1" si="325"/>
        <v>7.2809623437016422E-5</v>
      </c>
      <c r="Q612" s="13">
        <f t="shared" ca="1" si="326"/>
        <v>1.1221369911466215E-2</v>
      </c>
      <c r="R612" s="13">
        <f t="shared" ca="1" si="327"/>
        <v>8.7970772524479583E-4</v>
      </c>
      <c r="S612" s="13">
        <f t="shared" ca="1" si="328"/>
        <v>0.21780882415522665</v>
      </c>
      <c r="T612" s="13">
        <f t="shared" ca="1" si="329"/>
        <v>6.8240219656375009E-5</v>
      </c>
      <c r="U612" s="13">
        <f t="shared" ca="1" si="330"/>
        <v>0.15774972675393148</v>
      </c>
      <c r="V612" s="13">
        <f t="shared" ca="1" si="331"/>
        <v>1.892342644893676</v>
      </c>
      <c r="X612" s="3">
        <f t="shared" ca="1" si="332"/>
        <v>1.1638181801866543E-4</v>
      </c>
      <c r="Y612" s="3">
        <f t="shared" ca="1" si="333"/>
        <v>7.2809623437016422E-5</v>
      </c>
      <c r="Z612" s="3">
        <f t="shared" ca="1" si="334"/>
        <v>1.1220847822721158E-2</v>
      </c>
      <c r="AA612" s="3">
        <f t="shared" ca="1" si="335"/>
        <v>8.6707080448373826E-4</v>
      </c>
      <c r="AB612" s="3">
        <f t="shared" ca="1" si="336"/>
        <v>0.21771692467044318</v>
      </c>
      <c r="AC612" s="3">
        <f t="shared" ca="1" si="337"/>
        <v>6.8240219656375009E-5</v>
      </c>
      <c r="AD612" s="3">
        <f t="shared" ca="1" si="338"/>
        <v>0.15761401334434971</v>
      </c>
      <c r="AE612" s="3">
        <f t="shared" ca="1" si="339"/>
        <v>1.892287575549179</v>
      </c>
      <c r="AG612" s="3">
        <f t="shared" ca="1" si="340"/>
        <v>1.1638181801866543E-4</v>
      </c>
      <c r="AH612" s="3">
        <f t="shared" ca="1" si="341"/>
        <v>7.2809623437016422E-5</v>
      </c>
      <c r="AI612" s="3">
        <f t="shared" ca="1" si="342"/>
        <v>1.1162200057243518E-2</v>
      </c>
      <c r="AJ612" s="3">
        <f t="shared" ca="1" si="343"/>
        <v>8.3468535069010537E-4</v>
      </c>
      <c r="AK612" s="3">
        <f t="shared" ca="1" si="344"/>
        <v>0.21771692467044318</v>
      </c>
      <c r="AL612" s="3">
        <f t="shared" ca="1" si="345"/>
        <v>6.8240219656375009E-5</v>
      </c>
      <c r="AM612" s="3">
        <f t="shared" ca="1" si="346"/>
        <v>0.15761401334434971</v>
      </c>
      <c r="AN612" s="3">
        <f t="shared" ca="1" si="347"/>
        <v>1.892287575549179</v>
      </c>
      <c r="AP612" s="3">
        <f t="shared" ca="1" si="348"/>
        <v>8.6880898982543187</v>
      </c>
      <c r="AQ612" s="3">
        <f t="shared" ca="1" si="360"/>
        <v>0.40025128067795196</v>
      </c>
      <c r="AR612" s="3">
        <f t="shared" ca="1" si="349"/>
        <v>3.5210414365151744E-4</v>
      </c>
      <c r="AS612" s="3">
        <f t="shared" ca="1" si="350"/>
        <v>0.15739762261027995</v>
      </c>
      <c r="AT612" s="3">
        <f t="shared" ca="1" si="351"/>
        <v>0.70941625488432092</v>
      </c>
      <c r="AU612" s="3">
        <f t="shared" ca="1" si="352"/>
        <v>5.3489607336749991E-2</v>
      </c>
      <c r="AV612" s="10">
        <f t="shared" ca="1" si="355"/>
        <v>0.70941625488432092</v>
      </c>
      <c r="AW612" s="10">
        <f t="shared" ca="1" si="356"/>
        <v>0.70941625488432092</v>
      </c>
      <c r="AX612" s="10"/>
      <c r="AY612" s="3">
        <f t="shared" ca="1" si="359"/>
        <v>8.6915042476074085</v>
      </c>
      <c r="AZ612" s="3">
        <f t="shared" ca="1" si="361"/>
        <v>0.4004104843907787</v>
      </c>
      <c r="BA612" s="3">
        <f t="shared" ca="1" si="353"/>
        <v>3.3421676558371207E-4</v>
      </c>
      <c r="BB612" s="3">
        <f t="shared" ca="1" si="362"/>
        <v>0.15727979657876601</v>
      </c>
      <c r="BC612" s="3">
        <f t="shared" ca="1" si="363"/>
        <v>0.70904410647855409</v>
      </c>
      <c r="BD612" s="3">
        <f t="shared" ca="1" si="354"/>
        <v>5.3251423322280937E-2</v>
      </c>
      <c r="BE612" s="3">
        <f t="shared" ca="1" si="357"/>
        <v>0.70904410647855409</v>
      </c>
      <c r="BF612" s="3">
        <f t="shared" ca="1" si="358"/>
        <v>0.70904410647855409</v>
      </c>
    </row>
    <row r="613" spans="1:58" ht="15" x14ac:dyDescent="0.25">
      <c r="A613" s="72">
        <v>547</v>
      </c>
      <c r="B613" s="72">
        <v>1498730407.6830001</v>
      </c>
      <c r="C613" s="73">
        <v>2.53784868222161E-4</v>
      </c>
      <c r="D613" s="73">
        <v>-1.5754793518053399E-4</v>
      </c>
      <c r="E613" s="73">
        <v>1.25805965912786E-2</v>
      </c>
      <c r="F613" s="73">
        <v>6.7065070199707902E-4</v>
      </c>
      <c r="G613" s="73">
        <v>0.23061826464179</v>
      </c>
      <c r="H613" s="73">
        <v>-4.7238373274340498E-5</v>
      </c>
      <c r="I613" s="73">
        <v>0.166671716635415</v>
      </c>
      <c r="J613" s="73">
        <v>2.0002614916245798</v>
      </c>
      <c r="K613" s="73"/>
      <c r="L613" s="73"/>
      <c r="M613" s="73"/>
      <c r="N613" s="19"/>
      <c r="O613" s="13">
        <f t="shared" ca="1" si="324"/>
        <v>-1.090236104940058E-5</v>
      </c>
      <c r="P613" s="13">
        <f t="shared" ca="1" si="325"/>
        <v>-1.6883541056537417E-4</v>
      </c>
      <c r="Q613" s="13">
        <f t="shared" ca="1" si="326"/>
        <v>1.1739856973305915E-2</v>
      </c>
      <c r="R613" s="13">
        <f t="shared" ca="1" si="327"/>
        <v>6.6087442310639789E-4</v>
      </c>
      <c r="S613" s="13">
        <f t="shared" ca="1" si="328"/>
        <v>0.22948318600854864</v>
      </c>
      <c r="T613" s="13">
        <f t="shared" ca="1" si="329"/>
        <v>-4.7588194785364588E-5</v>
      </c>
      <c r="U613" s="13">
        <f t="shared" ca="1" si="330"/>
        <v>0.16601787264062648</v>
      </c>
      <c r="V613" s="13">
        <f t="shared" ca="1" si="331"/>
        <v>1.9931227107021257</v>
      </c>
      <c r="X613" s="3">
        <f t="shared" ca="1" si="332"/>
        <v>-1.090236104940058E-5</v>
      </c>
      <c r="Y613" s="3">
        <f t="shared" ca="1" si="333"/>
        <v>-1.6883541056537417E-4</v>
      </c>
      <c r="Z613" s="3">
        <f t="shared" ca="1" si="334"/>
        <v>1.1739856973305915E-2</v>
      </c>
      <c r="AA613" s="3">
        <f t="shared" ca="1" si="335"/>
        <v>6.6087442310639789E-4</v>
      </c>
      <c r="AB613" s="3">
        <f t="shared" ca="1" si="336"/>
        <v>0.22948318600854864</v>
      </c>
      <c r="AC613" s="3">
        <f t="shared" ca="1" si="337"/>
        <v>-4.7588194785364588E-5</v>
      </c>
      <c r="AD613" s="3">
        <f t="shared" ca="1" si="338"/>
        <v>0.16601787264062648</v>
      </c>
      <c r="AE613" s="3">
        <f t="shared" ca="1" si="339"/>
        <v>1.9931227107021257</v>
      </c>
      <c r="AG613" s="3">
        <f t="shared" ca="1" si="340"/>
        <v>-1.090236104940058E-5</v>
      </c>
      <c r="AH613" s="3">
        <f t="shared" ca="1" si="341"/>
        <v>-1.6883541056537417E-4</v>
      </c>
      <c r="AI613" s="3">
        <f t="shared" ca="1" si="342"/>
        <v>1.1739856973305915E-2</v>
      </c>
      <c r="AJ613" s="3">
        <f t="shared" ca="1" si="343"/>
        <v>6.6087442310639789E-4</v>
      </c>
      <c r="AK613" s="3">
        <f t="shared" ca="1" si="344"/>
        <v>0.22948318600854864</v>
      </c>
      <c r="AL613" s="3">
        <f t="shared" ca="1" si="345"/>
        <v>-4.7588194785364588E-5</v>
      </c>
      <c r="AM613" s="3">
        <f t="shared" ca="1" si="346"/>
        <v>0.16601787264062648</v>
      </c>
      <c r="AN613" s="3">
        <f t="shared" ca="1" si="347"/>
        <v>1.9931227107021257</v>
      </c>
      <c r="AP613" s="3">
        <f t="shared" ca="1" si="348"/>
        <v>8.685266861459203</v>
      </c>
      <c r="AQ613" s="3">
        <f t="shared" ca="1" si="360"/>
        <v>0.40011964916165155</v>
      </c>
      <c r="AR613" s="3">
        <f t="shared" ca="1" si="349"/>
        <v>2.6442884231324079E-4</v>
      </c>
      <c r="AS613" s="3">
        <f t="shared" ca="1" si="350"/>
        <v>0.16575344379831325</v>
      </c>
      <c r="AT613" s="3">
        <f t="shared" ca="1" si="351"/>
        <v>0.70918771468797759</v>
      </c>
      <c r="AU613" s="3">
        <f t="shared" ca="1" si="352"/>
        <v>5.3096575981309284E-2</v>
      </c>
      <c r="AV613" s="10">
        <f t="shared" ca="1" si="355"/>
        <v>0.70918771468797759</v>
      </c>
      <c r="AW613" s="10">
        <f t="shared" ca="1" si="356"/>
        <v>0.70918771468797759</v>
      </c>
      <c r="AX613" s="10"/>
      <c r="AY613" s="3">
        <f t="shared" ca="1" si="359"/>
        <v>8.685266861459203</v>
      </c>
      <c r="AZ613" s="3">
        <f t="shared" ca="1" si="361"/>
        <v>0.40011964916165155</v>
      </c>
      <c r="BA613" s="3">
        <f t="shared" ca="1" si="353"/>
        <v>2.6442884231324079E-4</v>
      </c>
      <c r="BB613" s="3">
        <f t="shared" ca="1" si="362"/>
        <v>0.16575344379831325</v>
      </c>
      <c r="BC613" s="3">
        <f t="shared" ca="1" si="363"/>
        <v>0.70918771468797759</v>
      </c>
      <c r="BD613" s="3">
        <f t="shared" ca="1" si="354"/>
        <v>5.3096575981309284E-2</v>
      </c>
      <c r="BE613" s="3">
        <f t="shared" ca="1" si="357"/>
        <v>0.70918771468797759</v>
      </c>
      <c r="BF613" s="3">
        <f t="shared" ca="1" si="358"/>
        <v>0.70918771468797759</v>
      </c>
    </row>
    <row r="614" spans="1:58" ht="15" x14ac:dyDescent="0.25">
      <c r="A614" s="72">
        <v>548</v>
      </c>
      <c r="B614" s="72">
        <v>1498730408.21</v>
      </c>
      <c r="C614" s="73">
        <v>2.0168630448076099E-4</v>
      </c>
      <c r="D614" s="73">
        <v>-4.1102690184136602E-5</v>
      </c>
      <c r="E614" s="73">
        <v>1.2082815016423E-2</v>
      </c>
      <c r="F614" s="73">
        <v>7.0041302456957098E-4</v>
      </c>
      <c r="G614" s="73">
        <v>0.22031710356373099</v>
      </c>
      <c r="H614" s="73">
        <v>-7.86585677981479E-5</v>
      </c>
      <c r="I614" s="73">
        <v>0.159552783439668</v>
      </c>
      <c r="J614" s="73">
        <v>1.9153689461594201</v>
      </c>
      <c r="K614" s="73"/>
      <c r="L614" s="73"/>
      <c r="M614" s="73"/>
      <c r="N614" s="19"/>
      <c r="O614" s="13">
        <f t="shared" ca="1" si="324"/>
        <v>-6.3000924790800592E-5</v>
      </c>
      <c r="P614" s="13">
        <f t="shared" ca="1" si="325"/>
        <v>-5.2390165568976774E-5</v>
      </c>
      <c r="Q614" s="13">
        <f t="shared" ca="1" si="326"/>
        <v>1.1242075398450315E-2</v>
      </c>
      <c r="R614" s="13">
        <f t="shared" ca="1" si="327"/>
        <v>6.9063674567888984E-4</v>
      </c>
      <c r="S614" s="13">
        <f t="shared" ca="1" si="328"/>
        <v>0.21918202493048963</v>
      </c>
      <c r="T614" s="13">
        <f t="shared" ca="1" si="329"/>
        <v>-7.900838930917199E-5</v>
      </c>
      <c r="U614" s="13">
        <f t="shared" ca="1" si="330"/>
        <v>0.15889893944487948</v>
      </c>
      <c r="V614" s="13">
        <f t="shared" ca="1" si="331"/>
        <v>1.908230165236966</v>
      </c>
      <c r="X614" s="3">
        <f t="shared" ca="1" si="332"/>
        <v>-6.3000924790800592E-5</v>
      </c>
      <c r="Y614" s="3">
        <f t="shared" ca="1" si="333"/>
        <v>-5.2390165568976774E-5</v>
      </c>
      <c r="Z614" s="3">
        <f t="shared" ca="1" si="334"/>
        <v>1.1242075398450315E-2</v>
      </c>
      <c r="AA614" s="3">
        <f t="shared" ca="1" si="335"/>
        <v>6.9063674567888984E-4</v>
      </c>
      <c r="AB614" s="3">
        <f t="shared" ca="1" si="336"/>
        <v>0.21918202493048963</v>
      </c>
      <c r="AC614" s="3">
        <f t="shared" ca="1" si="337"/>
        <v>-7.900838930917199E-5</v>
      </c>
      <c r="AD614" s="3">
        <f t="shared" ca="1" si="338"/>
        <v>0.15889893944487948</v>
      </c>
      <c r="AE614" s="3">
        <f t="shared" ca="1" si="339"/>
        <v>1.908230165236966</v>
      </c>
      <c r="AG614" s="3">
        <f t="shared" ca="1" si="340"/>
        <v>-6.3000924790800592E-5</v>
      </c>
      <c r="AH614" s="3">
        <f t="shared" ca="1" si="341"/>
        <v>-5.2390165568976774E-5</v>
      </c>
      <c r="AI614" s="3">
        <f t="shared" ca="1" si="342"/>
        <v>1.1242075398450315E-2</v>
      </c>
      <c r="AJ614" s="3">
        <f t="shared" ca="1" si="343"/>
        <v>6.9063674567888984E-4</v>
      </c>
      <c r="AK614" s="3">
        <f t="shared" ca="1" si="344"/>
        <v>0.21918202493048963</v>
      </c>
      <c r="AL614" s="3">
        <f t="shared" ca="1" si="345"/>
        <v>-7.900838930917199E-5</v>
      </c>
      <c r="AM614" s="3">
        <f t="shared" ca="1" si="346"/>
        <v>0.15889893944487948</v>
      </c>
      <c r="AN614" s="3">
        <f t="shared" ca="1" si="347"/>
        <v>1.908230165236966</v>
      </c>
      <c r="AP614" s="3">
        <f t="shared" ca="1" si="348"/>
        <v>8.706143516294885</v>
      </c>
      <c r="AQ614" s="3">
        <f t="shared" ca="1" si="360"/>
        <v>0.40109309036716706</v>
      </c>
      <c r="AR614" s="3">
        <f t="shared" ca="1" si="349"/>
        <v>2.7700962664546912E-4</v>
      </c>
      <c r="AS614" s="3">
        <f t="shared" ca="1" si="350"/>
        <v>0.158621929818234</v>
      </c>
      <c r="AT614" s="3">
        <f t="shared" ca="1" si="351"/>
        <v>0.70971295753267816</v>
      </c>
      <c r="AU614" s="3">
        <f t="shared" ca="1" si="352"/>
        <v>5.3365801518901523E-2</v>
      </c>
      <c r="AV614" s="10" t="str">
        <f t="shared" ca="1" si="355"/>
        <v>rejected</v>
      </c>
      <c r="AW614" s="10" t="e">
        <f t="shared" ca="1" si="356"/>
        <v>#N/A</v>
      </c>
      <c r="AX614" s="10"/>
      <c r="AY614" s="3">
        <f t="shared" ca="1" si="359"/>
        <v>8.706143516294885</v>
      </c>
      <c r="AZ614" s="3">
        <f t="shared" ca="1" si="361"/>
        <v>0.40109309036716706</v>
      </c>
      <c r="BA614" s="3">
        <f t="shared" ca="1" si="353"/>
        <v>2.7700962664546912E-4</v>
      </c>
      <c r="BB614" s="3">
        <f t="shared" ca="1" si="362"/>
        <v>0.158621929818234</v>
      </c>
      <c r="BC614" s="3">
        <f t="shared" ca="1" si="363"/>
        <v>0.70971295753267816</v>
      </c>
      <c r="BD614" s="3">
        <f t="shared" ca="1" si="354"/>
        <v>5.3365801518901523E-2</v>
      </c>
      <c r="BE614" s="3" t="str">
        <f t="shared" ca="1" si="357"/>
        <v>rejected</v>
      </c>
      <c r="BF614" s="3" t="e">
        <f t="shared" ca="1" si="358"/>
        <v>#N/A</v>
      </c>
    </row>
    <row r="615" spans="1:58" ht="15" x14ac:dyDescent="0.25">
      <c r="A615" s="72">
        <v>549</v>
      </c>
      <c r="B615" s="72">
        <v>1498730408.737</v>
      </c>
      <c r="C615" s="73">
        <v>2.5307117090355498E-4</v>
      </c>
      <c r="D615" s="73">
        <v>2.8818263045869799E-5</v>
      </c>
      <c r="E615" s="73">
        <v>1.1491671638639501E-2</v>
      </c>
      <c r="F615" s="73">
        <v>7.4231987796148104E-4</v>
      </c>
      <c r="G615" s="73">
        <v>0.21035637068488899</v>
      </c>
      <c r="H615" s="73">
        <v>-4.69078299512936E-5</v>
      </c>
      <c r="I615" s="73">
        <v>0.152173621462941</v>
      </c>
      <c r="J615" s="73">
        <v>1.82854618907232</v>
      </c>
      <c r="K615" s="73"/>
      <c r="L615" s="73"/>
      <c r="M615" s="73"/>
      <c r="N615" s="19"/>
      <c r="O615" s="13">
        <f t="shared" ca="1" si="324"/>
        <v>-1.16160583680066E-5</v>
      </c>
      <c r="P615" s="13">
        <f t="shared" ca="1" si="325"/>
        <v>1.7530787661029624E-5</v>
      </c>
      <c r="Q615" s="13">
        <f t="shared" ca="1" si="326"/>
        <v>1.0650932020666816E-2</v>
      </c>
      <c r="R615" s="13">
        <f t="shared" ca="1" si="327"/>
        <v>7.3254359907079991E-4</v>
      </c>
      <c r="S615" s="13">
        <f t="shared" ca="1" si="328"/>
        <v>0.20922129205164763</v>
      </c>
      <c r="T615" s="13">
        <f t="shared" ca="1" si="329"/>
        <v>-4.725765146231769E-5</v>
      </c>
      <c r="U615" s="13">
        <f t="shared" ca="1" si="330"/>
        <v>0.15151977746815248</v>
      </c>
      <c r="V615" s="13">
        <f t="shared" ca="1" si="331"/>
        <v>1.8214074081498659</v>
      </c>
      <c r="X615" s="3">
        <f t="shared" ca="1" si="332"/>
        <v>-1.16160583680066E-5</v>
      </c>
      <c r="Y615" s="3">
        <f t="shared" ca="1" si="333"/>
        <v>1.7530787661029624E-5</v>
      </c>
      <c r="Z615" s="3">
        <f t="shared" ca="1" si="334"/>
        <v>1.0650932020666816E-2</v>
      </c>
      <c r="AA615" s="3">
        <f t="shared" ca="1" si="335"/>
        <v>7.3254359907079991E-4</v>
      </c>
      <c r="AB615" s="3">
        <f t="shared" ca="1" si="336"/>
        <v>0.20922129205164763</v>
      </c>
      <c r="AC615" s="3">
        <f t="shared" ca="1" si="337"/>
        <v>-4.725765146231769E-5</v>
      </c>
      <c r="AD615" s="3">
        <f t="shared" ca="1" si="338"/>
        <v>0.15151977746815248</v>
      </c>
      <c r="AE615" s="3">
        <f t="shared" ca="1" si="339"/>
        <v>1.8214074081498659</v>
      </c>
      <c r="AG615" s="3">
        <f t="shared" ca="1" si="340"/>
        <v>-1.16160583680066E-5</v>
      </c>
      <c r="AH615" s="3">
        <f t="shared" ca="1" si="341"/>
        <v>1.7530787661029624E-5</v>
      </c>
      <c r="AI615" s="3">
        <f t="shared" ca="1" si="342"/>
        <v>1.0636811064193641E-2</v>
      </c>
      <c r="AJ615" s="3">
        <f t="shared" ca="1" si="343"/>
        <v>7.2474596893673678E-4</v>
      </c>
      <c r="AK615" s="3">
        <f t="shared" ca="1" si="344"/>
        <v>0.20922129205164763</v>
      </c>
      <c r="AL615" s="3">
        <f t="shared" ca="1" si="345"/>
        <v>-4.725765146231769E-5</v>
      </c>
      <c r="AM615" s="3">
        <f t="shared" ca="1" si="346"/>
        <v>0.15151977746815248</v>
      </c>
      <c r="AN615" s="3">
        <f t="shared" ca="1" si="347"/>
        <v>1.8214074081498659</v>
      </c>
      <c r="AP615" s="3">
        <f t="shared" ca="1" si="348"/>
        <v>8.7056503202371953</v>
      </c>
      <c r="AQ615" s="3">
        <f t="shared" ca="1" si="360"/>
        <v>0.40107009318725673</v>
      </c>
      <c r="AR615" s="3">
        <f t="shared" ca="1" si="349"/>
        <v>2.9380132954305414E-4</v>
      </c>
      <c r="AS615" s="3">
        <f t="shared" ca="1" si="350"/>
        <v>0.15122597613860944</v>
      </c>
      <c r="AT615" s="3">
        <f t="shared" ca="1" si="351"/>
        <v>0.70885490149528529</v>
      </c>
      <c r="AU615" s="3">
        <f t="shared" ca="1" si="352"/>
        <v>5.2963665700990759E-2</v>
      </c>
      <c r="AV615" s="10">
        <f t="shared" ca="1" si="355"/>
        <v>0.70885490149528529</v>
      </c>
      <c r="AW615" s="10">
        <f t="shared" ca="1" si="356"/>
        <v>0.70885490149528529</v>
      </c>
      <c r="AX615" s="10"/>
      <c r="AY615" s="3">
        <f t="shared" ca="1" si="359"/>
        <v>8.7056503202371953</v>
      </c>
      <c r="AZ615" s="3">
        <f t="shared" ca="1" si="361"/>
        <v>0.40107009318725673</v>
      </c>
      <c r="BA615" s="3">
        <f t="shared" ca="1" si="353"/>
        <v>2.9067393329854568E-4</v>
      </c>
      <c r="BB615" s="3">
        <f t="shared" ca="1" si="362"/>
        <v>0.15122910353485394</v>
      </c>
      <c r="BC615" s="3">
        <f t="shared" ca="1" si="363"/>
        <v>0.70886956081647756</v>
      </c>
      <c r="BD615" s="3">
        <f t="shared" ca="1" si="354"/>
        <v>5.2893446717659325E-2</v>
      </c>
      <c r="BE615" s="3">
        <f t="shared" ca="1" si="357"/>
        <v>0.70886956081647756</v>
      </c>
      <c r="BF615" s="3">
        <f t="shared" ca="1" si="358"/>
        <v>0.70886956081647756</v>
      </c>
    </row>
    <row r="616" spans="1:58" ht="15" x14ac:dyDescent="0.25">
      <c r="A616" s="72">
        <v>550</v>
      </c>
      <c r="B616" s="72">
        <v>1498730409.2639999</v>
      </c>
      <c r="C616" s="73">
        <v>2.5164377779701702E-4</v>
      </c>
      <c r="D616" s="73">
        <v>-1.9843462234484199E-5</v>
      </c>
      <c r="E616" s="73">
        <v>1.15383536162802E-2</v>
      </c>
      <c r="F616" s="73">
        <v>7.1446114886172904E-4</v>
      </c>
      <c r="G616" s="73">
        <v>0.20922883491257599</v>
      </c>
      <c r="H616" s="73">
        <v>2.6389065406688598E-6</v>
      </c>
      <c r="I616" s="73">
        <v>0.15134731606552801</v>
      </c>
      <c r="J616" s="73">
        <v>1.8172846854284399</v>
      </c>
      <c r="K616" s="73"/>
      <c r="L616" s="73"/>
      <c r="M616" s="73"/>
      <c r="N616" s="19"/>
      <c r="O616" s="13">
        <f t="shared" ca="1" si="324"/>
        <v>-1.3043451474544561E-5</v>
      </c>
      <c r="P616" s="13">
        <f t="shared" ca="1" si="325"/>
        <v>-3.1130937619324374E-5</v>
      </c>
      <c r="Q616" s="13">
        <f t="shared" ca="1" si="326"/>
        <v>1.0697613998307515E-2</v>
      </c>
      <c r="R616" s="13">
        <f t="shared" ca="1" si="327"/>
        <v>7.0468486997104791E-4</v>
      </c>
      <c r="S616" s="13">
        <f t="shared" ca="1" si="328"/>
        <v>0.20809375627933463</v>
      </c>
      <c r="T616" s="13">
        <f t="shared" ca="1" si="329"/>
        <v>2.2890850296447734E-6</v>
      </c>
      <c r="U616" s="13">
        <f t="shared" ca="1" si="330"/>
        <v>0.15069347207073949</v>
      </c>
      <c r="V616" s="13">
        <f t="shared" ca="1" si="331"/>
        <v>1.8101459045059858</v>
      </c>
      <c r="X616" s="3">
        <f t="shared" ca="1" si="332"/>
        <v>-1.3043451474544561E-5</v>
      </c>
      <c r="Y616" s="3">
        <f t="shared" ca="1" si="333"/>
        <v>-3.1130937619324374E-5</v>
      </c>
      <c r="Z616" s="3">
        <f t="shared" ca="1" si="334"/>
        <v>1.0697596485094097E-2</v>
      </c>
      <c r="AA616" s="3">
        <f t="shared" ca="1" si="335"/>
        <v>7.0426097060084358E-4</v>
      </c>
      <c r="AB616" s="3">
        <f t="shared" ca="1" si="336"/>
        <v>0.20809067355574568</v>
      </c>
      <c r="AC616" s="3">
        <f t="shared" ca="1" si="337"/>
        <v>2.2890850296447734E-6</v>
      </c>
      <c r="AD616" s="3">
        <f t="shared" ca="1" si="338"/>
        <v>0.15068891963032005</v>
      </c>
      <c r="AE616" s="3">
        <f t="shared" ca="1" si="339"/>
        <v>1.8101440572315672</v>
      </c>
      <c r="AG616" s="3">
        <f t="shared" ca="1" si="340"/>
        <v>-1.3043451474544561E-5</v>
      </c>
      <c r="AH616" s="3">
        <f t="shared" ca="1" si="341"/>
        <v>-3.1130937619324374E-5</v>
      </c>
      <c r="AI616" s="3">
        <f t="shared" ca="1" si="342"/>
        <v>1.0697596485094097E-2</v>
      </c>
      <c r="AJ616" s="3">
        <f t="shared" ca="1" si="343"/>
        <v>7.0426097060084358E-4</v>
      </c>
      <c r="AK616" s="3">
        <f t="shared" ca="1" si="344"/>
        <v>0.20809067355574568</v>
      </c>
      <c r="AL616" s="3">
        <f t="shared" ca="1" si="345"/>
        <v>2.2890850296447734E-6</v>
      </c>
      <c r="AM616" s="3">
        <f t="shared" ca="1" si="346"/>
        <v>0.15068891963032005</v>
      </c>
      <c r="AN616" s="3">
        <f t="shared" ca="1" si="347"/>
        <v>1.8101440572315672</v>
      </c>
      <c r="AP616" s="3">
        <f t="shared" ca="1" si="348"/>
        <v>8.6987035885696482</v>
      </c>
      <c r="AQ616" s="3">
        <f t="shared" ca="1" si="360"/>
        <v>0.40074617654742595</v>
      </c>
      <c r="AR616" s="3">
        <f t="shared" ca="1" si="349"/>
        <v>2.8239976731171744E-4</v>
      </c>
      <c r="AS616" s="3">
        <f t="shared" ca="1" si="350"/>
        <v>0.15041107230342776</v>
      </c>
      <c r="AT616" s="3">
        <f t="shared" ca="1" si="351"/>
        <v>0.70914031628331997</v>
      </c>
      <c r="AU616" s="3">
        <f t="shared" ca="1" si="352"/>
        <v>5.3440366637228932E-2</v>
      </c>
      <c r="AV616" s="10">
        <f t="shared" ca="1" si="355"/>
        <v>0.70914031628331997</v>
      </c>
      <c r="AW616" s="10">
        <f t="shared" ca="1" si="356"/>
        <v>0.70914031628331997</v>
      </c>
      <c r="AX616" s="10"/>
      <c r="AY616" s="3">
        <f t="shared" ca="1" si="359"/>
        <v>8.6988235767647009</v>
      </c>
      <c r="AZ616" s="3">
        <f t="shared" ca="1" si="361"/>
        <v>0.40075177140697915</v>
      </c>
      <c r="BA616" s="3">
        <f t="shared" ca="1" si="353"/>
        <v>2.8223383150108652E-4</v>
      </c>
      <c r="BB616" s="3">
        <f t="shared" ca="1" si="362"/>
        <v>0.15040668579881897</v>
      </c>
      <c r="BC616" s="3">
        <f t="shared" ca="1" si="363"/>
        <v>0.70912521454445943</v>
      </c>
      <c r="BD616" s="3">
        <f t="shared" ca="1" si="354"/>
        <v>5.3441825125989197E-2</v>
      </c>
      <c r="BE616" s="3">
        <f t="shared" ca="1" si="357"/>
        <v>0.70912521454445943</v>
      </c>
      <c r="BF616" s="3">
        <f t="shared" ca="1" si="358"/>
        <v>0.70912521454445943</v>
      </c>
    </row>
    <row r="617" spans="1:58" ht="15" x14ac:dyDescent="0.25">
      <c r="A617" s="72">
        <v>551</v>
      </c>
      <c r="B617" s="72">
        <v>1498730409.79</v>
      </c>
      <c r="C617" s="73">
        <v>2.1500805298254699E-4</v>
      </c>
      <c r="D617" s="73">
        <v>7.0395219969088699E-5</v>
      </c>
      <c r="E617" s="73">
        <v>1.1220285113400501E-2</v>
      </c>
      <c r="F617" s="73">
        <v>6.4517485822932201E-4</v>
      </c>
      <c r="G617" s="73">
        <v>0.204088056147011</v>
      </c>
      <c r="H617" s="73">
        <v>-1.6705687004994898E-5</v>
      </c>
      <c r="I617" s="73">
        <v>0.14757592235953901</v>
      </c>
      <c r="J617" s="73">
        <v>1.7730820053368701</v>
      </c>
      <c r="K617" s="73"/>
      <c r="L617" s="73"/>
      <c r="M617" s="73"/>
      <c r="N617" s="19"/>
      <c r="O617" s="13">
        <f t="shared" ca="1" si="324"/>
        <v>-4.9679176289014592E-5</v>
      </c>
      <c r="P617" s="13">
        <f t="shared" ca="1" si="325"/>
        <v>5.9107744584248528E-5</v>
      </c>
      <c r="Q617" s="13">
        <f t="shared" ca="1" si="326"/>
        <v>1.0379545495427816E-2</v>
      </c>
      <c r="R617" s="13">
        <f t="shared" ca="1" si="327"/>
        <v>6.3539857933864088E-4</v>
      </c>
      <c r="S617" s="13">
        <f t="shared" ca="1" si="328"/>
        <v>0.20295297751376964</v>
      </c>
      <c r="T617" s="13">
        <f t="shared" ca="1" si="329"/>
        <v>-1.7055508516018985E-5</v>
      </c>
      <c r="U617" s="13">
        <f t="shared" ca="1" si="330"/>
        <v>0.14692207836475049</v>
      </c>
      <c r="V617" s="13">
        <f t="shared" ca="1" si="331"/>
        <v>1.765943224414416</v>
      </c>
      <c r="X617" s="3">
        <f t="shared" ca="1" si="332"/>
        <v>-4.9679176289014592E-5</v>
      </c>
      <c r="Y617" s="3">
        <f t="shared" ca="1" si="333"/>
        <v>5.9107744584248528E-5</v>
      </c>
      <c r="Z617" s="3">
        <f t="shared" ca="1" si="334"/>
        <v>1.0379545495427816E-2</v>
      </c>
      <c r="AA617" s="3">
        <f t="shared" ca="1" si="335"/>
        <v>6.3539857933864088E-4</v>
      </c>
      <c r="AB617" s="3">
        <f t="shared" ca="1" si="336"/>
        <v>0.20295297751376964</v>
      </c>
      <c r="AC617" s="3">
        <f t="shared" ca="1" si="337"/>
        <v>-1.7055508516018985E-5</v>
      </c>
      <c r="AD617" s="3">
        <f t="shared" ca="1" si="338"/>
        <v>0.14692207836475049</v>
      </c>
      <c r="AE617" s="3">
        <f t="shared" ca="1" si="339"/>
        <v>1.765943224414416</v>
      </c>
      <c r="AG617" s="3">
        <f t="shared" ca="1" si="340"/>
        <v>-4.9679176289014592E-5</v>
      </c>
      <c r="AH617" s="3">
        <f t="shared" ca="1" si="341"/>
        <v>5.9107744584248528E-5</v>
      </c>
      <c r="AI617" s="3">
        <f t="shared" ca="1" si="342"/>
        <v>1.0331934520687808E-2</v>
      </c>
      <c r="AJ617" s="3">
        <f t="shared" ca="1" si="343"/>
        <v>6.0910767106694887E-4</v>
      </c>
      <c r="AK617" s="3">
        <f t="shared" ca="1" si="344"/>
        <v>0.20295297751376964</v>
      </c>
      <c r="AL617" s="3">
        <f t="shared" ca="1" si="345"/>
        <v>-1.7055508516018985E-5</v>
      </c>
      <c r="AM617" s="3">
        <f t="shared" ca="1" si="346"/>
        <v>0.14692207836475049</v>
      </c>
      <c r="AN617" s="3">
        <f t="shared" ca="1" si="347"/>
        <v>1.765943224414416</v>
      </c>
      <c r="AP617" s="3">
        <f t="shared" ca="1" si="348"/>
        <v>8.7012432438671805</v>
      </c>
      <c r="AQ617" s="3">
        <f t="shared" ca="1" si="360"/>
        <v>0.40086459685255532</v>
      </c>
      <c r="AR617" s="3">
        <f t="shared" ca="1" si="349"/>
        <v>2.5470879534727066E-4</v>
      </c>
      <c r="AS617" s="3">
        <f t="shared" ca="1" si="350"/>
        <v>0.14666736956940321</v>
      </c>
      <c r="AT617" s="3">
        <f t="shared" ca="1" si="351"/>
        <v>0.70890110082486035</v>
      </c>
      <c r="AU617" s="3">
        <f t="shared" ca="1" si="352"/>
        <v>5.3180717197869029E-2</v>
      </c>
      <c r="AV617" s="10">
        <f t="shared" ca="1" si="355"/>
        <v>0.70890110082486035</v>
      </c>
      <c r="AW617" s="10">
        <f t="shared" ca="1" si="356"/>
        <v>0.70890110082486035</v>
      </c>
      <c r="AX617" s="10"/>
      <c r="AY617" s="3">
        <f t="shared" ca="1" si="359"/>
        <v>8.7012432438671805</v>
      </c>
      <c r="AZ617" s="3">
        <f t="shared" ca="1" si="361"/>
        <v>0.40086459685255532</v>
      </c>
      <c r="BA617" s="3">
        <f t="shared" ca="1" si="353"/>
        <v>2.4416970100205136E-4</v>
      </c>
      <c r="BB617" s="3">
        <f t="shared" ca="1" si="362"/>
        <v>0.14667790866374844</v>
      </c>
      <c r="BC617" s="3">
        <f t="shared" ca="1" si="363"/>
        <v>0.70895204041425208</v>
      </c>
      <c r="BD617" s="3">
        <f t="shared" ca="1" si="354"/>
        <v>5.2936777250375322E-2</v>
      </c>
      <c r="BE617" s="3">
        <f t="shared" ca="1" si="357"/>
        <v>0.70895204041425208</v>
      </c>
      <c r="BF617" s="3">
        <f t="shared" ca="1" si="358"/>
        <v>0.70895204041425208</v>
      </c>
    </row>
    <row r="618" spans="1:58" ht="15" x14ac:dyDescent="0.25">
      <c r="A618" s="72">
        <v>552</v>
      </c>
      <c r="B618" s="72">
        <v>1498730410.3169999</v>
      </c>
      <c r="C618" s="73">
        <v>2.0239996507341701E-4</v>
      </c>
      <c r="D618" s="73">
        <v>-5.3621800197996E-5</v>
      </c>
      <c r="E618" s="73">
        <v>1.1326858188725799E-2</v>
      </c>
      <c r="F618" s="73">
        <v>7.0874663378881798E-4</v>
      </c>
      <c r="G618" s="73">
        <v>0.20600863176211001</v>
      </c>
      <c r="H618" s="73">
        <v>-1.1344376655526699E-5</v>
      </c>
      <c r="I618" s="73">
        <v>0.14889313279883201</v>
      </c>
      <c r="J618" s="73">
        <v>1.78699003283402</v>
      </c>
      <c r="K618" s="73"/>
      <c r="L618" s="73"/>
      <c r="M618" s="73"/>
      <c r="N618" s="19"/>
      <c r="O618" s="13">
        <f t="shared" ca="1" si="324"/>
        <v>-6.2287264198144571E-5</v>
      </c>
      <c r="P618" s="13">
        <f t="shared" ca="1" si="325"/>
        <v>-6.4909275582836172E-5</v>
      </c>
      <c r="Q618" s="13">
        <f t="shared" ca="1" si="326"/>
        <v>1.0486118570753114E-2</v>
      </c>
      <c r="R618" s="13">
        <f t="shared" ca="1" si="327"/>
        <v>6.9897035489813685E-4</v>
      </c>
      <c r="S618" s="13">
        <f t="shared" ca="1" si="328"/>
        <v>0.20487355312886865</v>
      </c>
      <c r="T618" s="13">
        <f t="shared" ca="1" si="329"/>
        <v>-1.1694198166550786E-5</v>
      </c>
      <c r="U618" s="13">
        <f t="shared" ca="1" si="330"/>
        <v>0.1482392888040435</v>
      </c>
      <c r="V618" s="13">
        <f t="shared" ca="1" si="331"/>
        <v>1.7798512519115659</v>
      </c>
      <c r="X618" s="3">
        <f t="shared" ca="1" si="332"/>
        <v>-6.2287264198144571E-5</v>
      </c>
      <c r="Y618" s="3">
        <f t="shared" ca="1" si="333"/>
        <v>-6.4909275582836172E-5</v>
      </c>
      <c r="Z618" s="3">
        <f t="shared" ca="1" si="334"/>
        <v>1.0486118570753114E-2</v>
      </c>
      <c r="AA618" s="3">
        <f t="shared" ca="1" si="335"/>
        <v>6.9897035489813685E-4</v>
      </c>
      <c r="AB618" s="3">
        <f t="shared" ca="1" si="336"/>
        <v>0.20487355312886865</v>
      </c>
      <c r="AC618" s="3">
        <f t="shared" ca="1" si="337"/>
        <v>-1.1694198166550786E-5</v>
      </c>
      <c r="AD618" s="3">
        <f t="shared" ca="1" si="338"/>
        <v>0.1482392888040435</v>
      </c>
      <c r="AE618" s="3">
        <f t="shared" ca="1" si="339"/>
        <v>1.7798512519115659</v>
      </c>
      <c r="AG618" s="3">
        <f t="shared" ca="1" si="340"/>
        <v>-6.2287264198144571E-5</v>
      </c>
      <c r="AH618" s="3">
        <f t="shared" ca="1" si="341"/>
        <v>-6.4909275582836172E-5</v>
      </c>
      <c r="AI618" s="3">
        <f t="shared" ca="1" si="342"/>
        <v>1.0486118570753114E-2</v>
      </c>
      <c r="AJ618" s="3">
        <f t="shared" ca="1" si="343"/>
        <v>6.9897035489813685E-4</v>
      </c>
      <c r="AK618" s="3">
        <f t="shared" ca="1" si="344"/>
        <v>0.20487355312886865</v>
      </c>
      <c r="AL618" s="3">
        <f t="shared" ca="1" si="345"/>
        <v>-1.1694198166550786E-5</v>
      </c>
      <c r="AM618" s="3">
        <f t="shared" ca="1" si="346"/>
        <v>0.1482392888040435</v>
      </c>
      <c r="AN618" s="3">
        <f t="shared" ca="1" si="347"/>
        <v>1.7798512519115659</v>
      </c>
      <c r="AP618" s="3">
        <f t="shared" ca="1" si="348"/>
        <v>8.6875598374184086</v>
      </c>
      <c r="AQ618" s="3">
        <f t="shared" ca="1" si="360"/>
        <v>0.40022656515764049</v>
      </c>
      <c r="AR618" s="3">
        <f t="shared" ca="1" si="349"/>
        <v>2.7974650428789827E-4</v>
      </c>
      <c r="AS618" s="3">
        <f t="shared" ca="1" si="350"/>
        <v>0.14795954229975561</v>
      </c>
      <c r="AT618" s="3">
        <f t="shared" ca="1" si="351"/>
        <v>0.70900428656680503</v>
      </c>
      <c r="AU618" s="3">
        <f t="shared" ca="1" si="352"/>
        <v>5.313745529892501E-2</v>
      </c>
      <c r="AV618" s="10">
        <f t="shared" ca="1" si="355"/>
        <v>0.70900428656680503</v>
      </c>
      <c r="AW618" s="10">
        <f t="shared" ca="1" si="356"/>
        <v>0.70900428656680503</v>
      </c>
      <c r="AX618" s="10"/>
      <c r="AY618" s="3">
        <f t="shared" ca="1" si="359"/>
        <v>8.6875598374184086</v>
      </c>
      <c r="AZ618" s="3">
        <f t="shared" ca="1" si="361"/>
        <v>0.40022656515764049</v>
      </c>
      <c r="BA618" s="3">
        <f t="shared" ca="1" si="353"/>
        <v>2.7974650428789827E-4</v>
      </c>
      <c r="BB618" s="3">
        <f t="shared" ca="1" si="362"/>
        <v>0.14795954229975561</v>
      </c>
      <c r="BC618" s="3">
        <f t="shared" ca="1" si="363"/>
        <v>0.70900428656680503</v>
      </c>
      <c r="BD618" s="3">
        <f t="shared" ca="1" si="354"/>
        <v>5.313745529892501E-2</v>
      </c>
      <c r="BE618" s="3">
        <f t="shared" ca="1" si="357"/>
        <v>0.70900428656680503</v>
      </c>
      <c r="BF618" s="3">
        <f t="shared" ca="1" si="358"/>
        <v>0.70900428656680503</v>
      </c>
    </row>
    <row r="619" spans="1:58" ht="15" x14ac:dyDescent="0.25">
      <c r="A619" s="72">
        <v>553</v>
      </c>
      <c r="B619" s="72">
        <v>1498730410.8440001</v>
      </c>
      <c r="C619" s="73">
        <v>2.1833851787820399E-4</v>
      </c>
      <c r="D619" s="73">
        <v>-5.6703905264218704E-6</v>
      </c>
      <c r="E619" s="73">
        <v>1.16663791750542E-2</v>
      </c>
      <c r="F619" s="73">
        <v>7.5898786511403599E-4</v>
      </c>
      <c r="G619" s="73">
        <v>0.21381395343276999</v>
      </c>
      <c r="H619" s="73">
        <v>-6.6242761262640403E-5</v>
      </c>
      <c r="I619" s="73">
        <v>0.15439131654738</v>
      </c>
      <c r="J619" s="73">
        <v>1.8533384317742501</v>
      </c>
      <c r="K619" s="73"/>
      <c r="L619" s="73"/>
      <c r="M619" s="73"/>
      <c r="N619" s="19"/>
      <c r="O619" s="13">
        <f t="shared" ca="1" si="324"/>
        <v>-4.634871139335759E-5</v>
      </c>
      <c r="P619" s="13">
        <f t="shared" ca="1" si="325"/>
        <v>-1.6957865911262043E-5</v>
      </c>
      <c r="Q619" s="13">
        <f t="shared" ca="1" si="326"/>
        <v>1.0825639557081514E-2</v>
      </c>
      <c r="R619" s="13">
        <f t="shared" ca="1" si="327"/>
        <v>7.4921158622335486E-4</v>
      </c>
      <c r="S619" s="13">
        <f t="shared" ca="1" si="328"/>
        <v>0.21267887479952863</v>
      </c>
      <c r="T619" s="13">
        <f t="shared" ca="1" si="329"/>
        <v>-6.6592582773664492E-5</v>
      </c>
      <c r="U619" s="13">
        <f t="shared" ca="1" si="330"/>
        <v>0.15373747255259149</v>
      </c>
      <c r="V619" s="13">
        <f t="shared" ca="1" si="331"/>
        <v>1.8461996508517959</v>
      </c>
      <c r="X619" s="3">
        <f t="shared" ca="1" si="332"/>
        <v>-4.634871139335759E-5</v>
      </c>
      <c r="Y619" s="3">
        <f t="shared" ca="1" si="333"/>
        <v>-1.6957865911262043E-5</v>
      </c>
      <c r="Z619" s="3">
        <f t="shared" ca="1" si="334"/>
        <v>1.0825639557081514E-2</v>
      </c>
      <c r="AA619" s="3">
        <f t="shared" ca="1" si="335"/>
        <v>7.4921158622335486E-4</v>
      </c>
      <c r="AB619" s="3">
        <f t="shared" ca="1" si="336"/>
        <v>0.21267887479952863</v>
      </c>
      <c r="AC619" s="3">
        <f t="shared" ca="1" si="337"/>
        <v>-6.6592582773664492E-5</v>
      </c>
      <c r="AD619" s="3">
        <f t="shared" ca="1" si="338"/>
        <v>0.15373747255259149</v>
      </c>
      <c r="AE619" s="3">
        <f t="shared" ca="1" si="339"/>
        <v>1.8461996508517959</v>
      </c>
      <c r="AG619" s="3">
        <f t="shared" ca="1" si="340"/>
        <v>-4.634871139335759E-5</v>
      </c>
      <c r="AH619" s="3">
        <f t="shared" ca="1" si="341"/>
        <v>-1.6957865911262043E-5</v>
      </c>
      <c r="AI619" s="3">
        <f t="shared" ca="1" si="342"/>
        <v>1.0825639557081514E-2</v>
      </c>
      <c r="AJ619" s="3">
        <f t="shared" ca="1" si="343"/>
        <v>7.4921158622335486E-4</v>
      </c>
      <c r="AK619" s="3">
        <f t="shared" ca="1" si="344"/>
        <v>0.21267887479952863</v>
      </c>
      <c r="AL619" s="3">
        <f t="shared" ca="1" si="345"/>
        <v>-6.6592582773664492E-5</v>
      </c>
      <c r="AM619" s="3">
        <f t="shared" ca="1" si="346"/>
        <v>0.15373747255259149</v>
      </c>
      <c r="AN619" s="3">
        <f t="shared" ca="1" si="347"/>
        <v>1.8461996508517959</v>
      </c>
      <c r="AP619" s="3">
        <f t="shared" ca="1" si="348"/>
        <v>8.6806912656088944</v>
      </c>
      <c r="AQ619" s="3">
        <f t="shared" ca="1" si="360"/>
        <v>0.39990630107169983</v>
      </c>
      <c r="AR619" s="3">
        <f t="shared" ca="1" si="349"/>
        <v>2.9961443416664276E-4</v>
      </c>
      <c r="AS619" s="3">
        <f t="shared" ca="1" si="350"/>
        <v>0.15343785811842484</v>
      </c>
      <c r="AT619" s="3">
        <f t="shared" ca="1" si="351"/>
        <v>0.70855397393812436</v>
      </c>
      <c r="AU619" s="3">
        <f t="shared" ca="1" si="352"/>
        <v>5.2801907524814416E-2</v>
      </c>
      <c r="AV619" s="10">
        <f t="shared" ca="1" si="355"/>
        <v>0.70855397393812436</v>
      </c>
      <c r="AW619" s="10">
        <f t="shared" ca="1" si="356"/>
        <v>0.70855397393812436</v>
      </c>
      <c r="AX619" s="10"/>
      <c r="AY619" s="3">
        <f t="shared" ca="1" si="359"/>
        <v>8.6806912656088944</v>
      </c>
      <c r="AZ619" s="3">
        <f t="shared" ca="1" si="361"/>
        <v>0.39990630107169983</v>
      </c>
      <c r="BA619" s="3">
        <f t="shared" ca="1" si="353"/>
        <v>2.9961443416664276E-4</v>
      </c>
      <c r="BB619" s="3">
        <f t="shared" ca="1" si="362"/>
        <v>0.15343785811842484</v>
      </c>
      <c r="BC619" s="3">
        <f t="shared" ca="1" si="363"/>
        <v>0.70855397393812436</v>
      </c>
      <c r="BD619" s="3">
        <f t="shared" ca="1" si="354"/>
        <v>5.2801907524814416E-2</v>
      </c>
      <c r="BE619" s="3">
        <f t="shared" ca="1" si="357"/>
        <v>0.70855397393812436</v>
      </c>
      <c r="BF619" s="3">
        <f t="shared" ca="1" si="358"/>
        <v>0.70855397393812436</v>
      </c>
    </row>
    <row r="620" spans="1:58" ht="15" x14ac:dyDescent="0.25">
      <c r="A620" s="72">
        <v>554</v>
      </c>
      <c r="B620" s="72">
        <v>1498730411.3710001</v>
      </c>
      <c r="C620" s="73">
        <v>4.1200036347370701E-4</v>
      </c>
      <c r="D620" s="73">
        <v>8.4569580777958098E-5</v>
      </c>
      <c r="E620" s="73">
        <v>1.24151238574477E-2</v>
      </c>
      <c r="F620" s="73">
        <v>8.5185745610372198E-4</v>
      </c>
      <c r="G620" s="73">
        <v>0.22658752002833399</v>
      </c>
      <c r="H620" s="73">
        <v>2.6122029892308801E-5</v>
      </c>
      <c r="I620" s="73">
        <v>0.16374946170424301</v>
      </c>
      <c r="J620" s="73">
        <v>1.96450872774548</v>
      </c>
      <c r="K620" s="73"/>
      <c r="L620" s="73"/>
      <c r="M620" s="73"/>
      <c r="N620" s="19"/>
      <c r="O620" s="13">
        <f t="shared" ca="1" si="324"/>
        <v>1.4731313420214543E-4</v>
      </c>
      <c r="P620" s="13">
        <f t="shared" ca="1" si="325"/>
        <v>7.3282105393117919E-5</v>
      </c>
      <c r="Q620" s="13">
        <f t="shared" ca="1" si="326"/>
        <v>1.1574384239475015E-2</v>
      </c>
      <c r="R620" s="13">
        <f t="shared" ca="1" si="327"/>
        <v>8.4208117721304085E-4</v>
      </c>
      <c r="S620" s="13">
        <f t="shared" ca="1" si="328"/>
        <v>0.22545244139509263</v>
      </c>
      <c r="T620" s="13">
        <f t="shared" ca="1" si="329"/>
        <v>2.5772208381284714E-5</v>
      </c>
      <c r="U620" s="13">
        <f t="shared" ca="1" si="330"/>
        <v>0.16309561770945449</v>
      </c>
      <c r="V620" s="13">
        <f t="shared" ca="1" si="331"/>
        <v>1.9573699468230259</v>
      </c>
      <c r="X620" s="3">
        <f t="shared" ca="1" si="332"/>
        <v>1.4731313420214543E-4</v>
      </c>
      <c r="Y620" s="3">
        <f t="shared" ca="1" si="333"/>
        <v>7.3282105393117919E-5</v>
      </c>
      <c r="Z620" s="3">
        <f t="shared" ca="1" si="334"/>
        <v>1.1574187062795354E-2</v>
      </c>
      <c r="AA620" s="3">
        <f t="shared" ca="1" si="335"/>
        <v>8.3730860530762004E-4</v>
      </c>
      <c r="AB620" s="3">
        <f t="shared" ca="1" si="336"/>
        <v>0.2254177338181842</v>
      </c>
      <c r="AC620" s="3">
        <f t="shared" ca="1" si="337"/>
        <v>2.5772208381284714E-5</v>
      </c>
      <c r="AD620" s="3">
        <f t="shared" ca="1" si="338"/>
        <v>0.16304436297596317</v>
      </c>
      <c r="AE620" s="3">
        <f t="shared" ca="1" si="339"/>
        <v>1.9573491488445178</v>
      </c>
      <c r="AG620" s="3">
        <f t="shared" ca="1" si="340"/>
        <v>1.4731313420214543E-4</v>
      </c>
      <c r="AH620" s="3">
        <f t="shared" ca="1" si="341"/>
        <v>7.3282105393117919E-5</v>
      </c>
      <c r="AI620" s="3">
        <f t="shared" ca="1" si="342"/>
        <v>1.151515871560824E-2</v>
      </c>
      <c r="AJ620" s="3">
        <f t="shared" ca="1" si="343"/>
        <v>8.0471299327067628E-4</v>
      </c>
      <c r="AK620" s="3">
        <f t="shared" ca="1" si="344"/>
        <v>0.2254177338181842</v>
      </c>
      <c r="AL620" s="3">
        <f t="shared" ca="1" si="345"/>
        <v>2.5772208381284714E-5</v>
      </c>
      <c r="AM620" s="3">
        <f t="shared" ca="1" si="346"/>
        <v>0.16304436297596317</v>
      </c>
      <c r="AN620" s="3">
        <f t="shared" ca="1" si="347"/>
        <v>1.9573491488445178</v>
      </c>
      <c r="AP620" s="3">
        <f t="shared" ca="1" si="348"/>
        <v>8.6819638532671544</v>
      </c>
      <c r="AQ620" s="3">
        <f t="shared" ca="1" si="360"/>
        <v>0.39996563837523619</v>
      </c>
      <c r="AR620" s="3">
        <f t="shared" ca="1" si="349"/>
        <v>3.368035356077843E-4</v>
      </c>
      <c r="AS620" s="3">
        <f t="shared" ca="1" si="350"/>
        <v>0.16275881417384672</v>
      </c>
      <c r="AT620" s="3">
        <f t="shared" ca="1" si="351"/>
        <v>0.70896089169487897</v>
      </c>
      <c r="AU620" s="3">
        <f t="shared" ca="1" si="352"/>
        <v>5.3263352614038424E-2</v>
      </c>
      <c r="AV620" s="10">
        <f t="shared" ca="1" si="355"/>
        <v>0.70896089169487897</v>
      </c>
      <c r="AW620" s="10">
        <f t="shared" ca="1" si="356"/>
        <v>0.70896089169487897</v>
      </c>
      <c r="AX620" s="10"/>
      <c r="AY620" s="3">
        <f t="shared" ca="1" si="359"/>
        <v>8.6832083514035432</v>
      </c>
      <c r="AZ620" s="3">
        <f t="shared" ca="1" si="361"/>
        <v>0.40002366604274076</v>
      </c>
      <c r="BA620" s="3">
        <f t="shared" ca="1" si="353"/>
        <v>3.219042416803633E-4</v>
      </c>
      <c r="BB620" s="3">
        <f t="shared" ca="1" si="362"/>
        <v>0.16272245873428282</v>
      </c>
      <c r="BC620" s="3">
        <f t="shared" ca="1" si="363"/>
        <v>0.70886049707370258</v>
      </c>
      <c r="BD620" s="3">
        <f t="shared" ca="1" si="354"/>
        <v>5.3006739472064454E-2</v>
      </c>
      <c r="BE620" s="3">
        <f t="shared" ca="1" si="357"/>
        <v>0.70886049707370258</v>
      </c>
      <c r="BF620" s="3">
        <f t="shared" ca="1" si="358"/>
        <v>0.70886049707370258</v>
      </c>
    </row>
    <row r="621" spans="1:58" ht="15" x14ac:dyDescent="0.25">
      <c r="A621" s="72">
        <v>555</v>
      </c>
      <c r="B621" s="72">
        <v>1498730411.898</v>
      </c>
      <c r="C621" s="73">
        <v>2.5211957527246403E-4</v>
      </c>
      <c r="D621" s="73">
        <v>-1.06294815528372E-4</v>
      </c>
      <c r="E621" s="73">
        <v>1.2207056843487199E-2</v>
      </c>
      <c r="F621" s="73">
        <v>6.6350787651960996E-4</v>
      </c>
      <c r="G621" s="73">
        <v>0.22316360025995</v>
      </c>
      <c r="H621" s="73">
        <v>-3.9824493939232699E-5</v>
      </c>
      <c r="I621" s="73">
        <v>0.16114031747313301</v>
      </c>
      <c r="J621" s="73">
        <v>1.9362424016255</v>
      </c>
      <c r="K621" s="73"/>
      <c r="L621" s="73"/>
      <c r="M621" s="73"/>
      <c r="N621" s="19"/>
      <c r="O621" s="13">
        <f t="shared" ca="1" si="324"/>
        <v>-1.2567653999097557E-5</v>
      </c>
      <c r="P621" s="13">
        <f t="shared" ca="1" si="325"/>
        <v>-1.1758229091321218E-4</v>
      </c>
      <c r="Q621" s="13">
        <f t="shared" ca="1" si="326"/>
        <v>1.1366317225514514E-2</v>
      </c>
      <c r="R621" s="13">
        <f t="shared" ca="1" si="327"/>
        <v>6.5373159762892883E-4</v>
      </c>
      <c r="S621" s="13">
        <f t="shared" ca="1" si="328"/>
        <v>0.22202852162670864</v>
      </c>
      <c r="T621" s="13">
        <f t="shared" ca="1" si="329"/>
        <v>-4.0174315450256789E-5</v>
      </c>
      <c r="U621" s="13">
        <f t="shared" ca="1" si="330"/>
        <v>0.16048647347834449</v>
      </c>
      <c r="V621" s="13">
        <f t="shared" ca="1" si="331"/>
        <v>1.9291036207030459</v>
      </c>
      <c r="X621" s="3">
        <f t="shared" ca="1" si="332"/>
        <v>-1.2567653999097557E-5</v>
      </c>
      <c r="Y621" s="3">
        <f t="shared" ca="1" si="333"/>
        <v>-1.1758229091321218E-4</v>
      </c>
      <c r="Z621" s="3">
        <f t="shared" ca="1" si="334"/>
        <v>1.1366317225514514E-2</v>
      </c>
      <c r="AA621" s="3">
        <f t="shared" ca="1" si="335"/>
        <v>6.5373159762892883E-4</v>
      </c>
      <c r="AB621" s="3">
        <f t="shared" ca="1" si="336"/>
        <v>0.22202852162670864</v>
      </c>
      <c r="AC621" s="3">
        <f t="shared" ca="1" si="337"/>
        <v>-4.0174315450256789E-5</v>
      </c>
      <c r="AD621" s="3">
        <f t="shared" ca="1" si="338"/>
        <v>0.16048647347834449</v>
      </c>
      <c r="AE621" s="3">
        <f t="shared" ca="1" si="339"/>
        <v>1.9291036207030459</v>
      </c>
      <c r="AG621" s="3">
        <f t="shared" ca="1" si="340"/>
        <v>-1.2567653999097557E-5</v>
      </c>
      <c r="AH621" s="3">
        <f t="shared" ca="1" si="341"/>
        <v>-1.1758229091321218E-4</v>
      </c>
      <c r="AI621" s="3">
        <f t="shared" ca="1" si="342"/>
        <v>1.1366317225514514E-2</v>
      </c>
      <c r="AJ621" s="3">
        <f t="shared" ca="1" si="343"/>
        <v>6.5373159762892883E-4</v>
      </c>
      <c r="AK621" s="3">
        <f t="shared" ca="1" si="344"/>
        <v>0.22202852162670864</v>
      </c>
      <c r="AL621" s="3">
        <f t="shared" ca="1" si="345"/>
        <v>-4.0174315450256789E-5</v>
      </c>
      <c r="AM621" s="3">
        <f t="shared" ca="1" si="346"/>
        <v>0.16048647347834449</v>
      </c>
      <c r="AN621" s="3">
        <f t="shared" ca="1" si="347"/>
        <v>1.9291036207030459</v>
      </c>
      <c r="AP621" s="3">
        <f t="shared" ca="1" si="348"/>
        <v>8.6885396820612204</v>
      </c>
      <c r="AQ621" s="3">
        <f t="shared" ca="1" si="360"/>
        <v>0.40027225307897718</v>
      </c>
      <c r="AR621" s="3">
        <f t="shared" ca="1" si="349"/>
        <v>2.616706194918507E-4</v>
      </c>
      <c r="AS621" s="3">
        <f t="shared" ca="1" si="350"/>
        <v>0.16022480285885266</v>
      </c>
      <c r="AT621" s="3">
        <f t="shared" ca="1" si="351"/>
        <v>0.70841556354811763</v>
      </c>
      <c r="AU621" s="3">
        <f t="shared" ca="1" si="352"/>
        <v>5.3153640204540518E-2</v>
      </c>
      <c r="AV621" s="10">
        <f t="shared" ca="1" si="355"/>
        <v>0.70841556354811763</v>
      </c>
      <c r="AW621" s="10">
        <f t="shared" ca="1" si="356"/>
        <v>0.70841556354811763</v>
      </c>
      <c r="AX621" s="10"/>
      <c r="AY621" s="3">
        <f t="shared" ca="1" si="359"/>
        <v>8.6885396820612204</v>
      </c>
      <c r="AZ621" s="3">
        <f t="shared" ca="1" si="361"/>
        <v>0.40027225307897718</v>
      </c>
      <c r="BA621" s="3">
        <f t="shared" ca="1" si="353"/>
        <v>2.616706194918507E-4</v>
      </c>
      <c r="BB621" s="3">
        <f t="shared" ca="1" si="362"/>
        <v>0.16022480285885266</v>
      </c>
      <c r="BC621" s="3">
        <f t="shared" ca="1" si="363"/>
        <v>0.70841556354811763</v>
      </c>
      <c r="BD621" s="3">
        <f t="shared" ca="1" si="354"/>
        <v>5.3153640204540518E-2</v>
      </c>
      <c r="BE621" s="3">
        <f t="shared" ca="1" si="357"/>
        <v>0.70841556354811763</v>
      </c>
      <c r="BF621" s="3">
        <f t="shared" ca="1" si="358"/>
        <v>0.70841556354811763</v>
      </c>
    </row>
    <row r="622" spans="1:58" ht="15" x14ac:dyDescent="0.25">
      <c r="A622" s="72">
        <v>556</v>
      </c>
      <c r="B622" s="72">
        <v>1498730412.425</v>
      </c>
      <c r="C622" s="73">
        <v>1.8265554349403501E-4</v>
      </c>
      <c r="D622" s="73">
        <v>7.0158982337740504E-5</v>
      </c>
      <c r="E622" s="73">
        <v>1.2421626641533101E-2</v>
      </c>
      <c r="F622" s="73">
        <v>6.5279373406407605E-4</v>
      </c>
      <c r="G622" s="73">
        <v>0.22875400446258001</v>
      </c>
      <c r="H622" s="73">
        <v>3.0162443659596501E-5</v>
      </c>
      <c r="I622" s="73">
        <v>0.16535303229277201</v>
      </c>
      <c r="J622" s="73">
        <v>1.9855771725909399</v>
      </c>
      <c r="K622" s="73"/>
      <c r="L622" s="73"/>
      <c r="M622" s="73"/>
      <c r="N622" s="19"/>
      <c r="O622" s="13">
        <f t="shared" ca="1" si="324"/>
        <v>-8.2031685777526577E-5</v>
      </c>
      <c r="P622" s="13">
        <f t="shared" ca="1" si="325"/>
        <v>5.8871506952900333E-5</v>
      </c>
      <c r="Q622" s="13">
        <f t="shared" ca="1" si="326"/>
        <v>1.1580887023560416E-2</v>
      </c>
      <c r="R622" s="13">
        <f t="shared" ca="1" si="327"/>
        <v>6.4301745517339492E-4</v>
      </c>
      <c r="S622" s="13">
        <f t="shared" ca="1" si="328"/>
        <v>0.22761892582933865</v>
      </c>
      <c r="T622" s="13">
        <f t="shared" ca="1" si="329"/>
        <v>2.9812622148572415E-5</v>
      </c>
      <c r="U622" s="13">
        <f t="shared" ca="1" si="330"/>
        <v>0.1646991882979835</v>
      </c>
      <c r="V622" s="13">
        <f t="shared" ca="1" si="331"/>
        <v>1.9784383916684858</v>
      </c>
      <c r="X622" s="3">
        <f t="shared" ca="1" si="332"/>
        <v>-8.2031685777526577E-5</v>
      </c>
      <c r="Y622" s="3">
        <f t="shared" ca="1" si="333"/>
        <v>5.8871506952900333E-5</v>
      </c>
      <c r="Z622" s="3">
        <f t="shared" ca="1" si="334"/>
        <v>1.1580658934691962E-2</v>
      </c>
      <c r="AA622" s="3">
        <f t="shared" ca="1" si="335"/>
        <v>6.3749666778924023E-4</v>
      </c>
      <c r="AB622" s="3">
        <f t="shared" ca="1" si="336"/>
        <v>0.22757877700465295</v>
      </c>
      <c r="AC622" s="3">
        <f t="shared" ca="1" si="337"/>
        <v>2.9812622148572415E-5</v>
      </c>
      <c r="AD622" s="3">
        <f t="shared" ca="1" si="338"/>
        <v>0.16463989815178043</v>
      </c>
      <c r="AE622" s="3">
        <f t="shared" ca="1" si="339"/>
        <v>1.9784143331064277</v>
      </c>
      <c r="AG622" s="3">
        <f t="shared" ca="1" si="340"/>
        <v>-8.2031685777526577E-5</v>
      </c>
      <c r="AH622" s="3">
        <f t="shared" ca="1" si="341"/>
        <v>5.8871506952900333E-5</v>
      </c>
      <c r="AI622" s="3">
        <f t="shared" ca="1" si="342"/>
        <v>1.1533238248110941E-2</v>
      </c>
      <c r="AJ622" s="3">
        <f t="shared" ca="1" si="343"/>
        <v>6.1131083715060264E-4</v>
      </c>
      <c r="AK622" s="3">
        <f t="shared" ca="1" si="344"/>
        <v>0.22757877700465295</v>
      </c>
      <c r="AL622" s="3">
        <f t="shared" ca="1" si="345"/>
        <v>2.9812622148572415E-5</v>
      </c>
      <c r="AM622" s="3">
        <f t="shared" ca="1" si="346"/>
        <v>0.16463989815178043</v>
      </c>
      <c r="AN622" s="3">
        <f t="shared" ca="1" si="347"/>
        <v>1.9784143331064277</v>
      </c>
      <c r="AP622" s="3">
        <f t="shared" ca="1" si="348"/>
        <v>8.6918887981742579</v>
      </c>
      <c r="AQ622" s="3">
        <f t="shared" ca="1" si="360"/>
        <v>0.40042841519807953</v>
      </c>
      <c r="AR622" s="3">
        <f t="shared" ca="1" si="349"/>
        <v>2.574824605197847E-4</v>
      </c>
      <c r="AS622" s="3">
        <f t="shared" ca="1" si="350"/>
        <v>0.1644417058374637</v>
      </c>
      <c r="AT622" s="3">
        <f t="shared" ca="1" si="351"/>
        <v>0.70906562449888833</v>
      </c>
      <c r="AU622" s="3">
        <f t="shared" ca="1" si="352"/>
        <v>5.2847777295085906E-2</v>
      </c>
      <c r="AV622" s="10">
        <f t="shared" ca="1" si="355"/>
        <v>0.70906562449888833</v>
      </c>
      <c r="AW622" s="10">
        <f t="shared" ca="1" si="356"/>
        <v>0.70906562449888833</v>
      </c>
      <c r="AX622" s="10"/>
      <c r="AY622" s="3">
        <f t="shared" ca="1" si="359"/>
        <v>8.6933164820811832</v>
      </c>
      <c r="AZ622" s="3">
        <f t="shared" ca="1" si="361"/>
        <v>0.40049498526608995</v>
      </c>
      <c r="BA622" s="3">
        <f t="shared" ca="1" si="353"/>
        <v>2.4482692471763169E-4</v>
      </c>
      <c r="BB622" s="3">
        <f t="shared" ca="1" si="362"/>
        <v>0.16439507122706279</v>
      </c>
      <c r="BC622" s="3">
        <f t="shared" ca="1" si="363"/>
        <v>0.70893095532271577</v>
      </c>
      <c r="BD622" s="3">
        <f t="shared" ca="1" si="354"/>
        <v>5.2648470949384386E-2</v>
      </c>
      <c r="BE622" s="3">
        <f t="shared" ca="1" si="357"/>
        <v>0.70893095532271577</v>
      </c>
      <c r="BF622" s="3">
        <f t="shared" ca="1" si="358"/>
        <v>0.70893095532271577</v>
      </c>
    </row>
    <row r="623" spans="1:58" ht="15" x14ac:dyDescent="0.25">
      <c r="A623" s="72">
        <v>557</v>
      </c>
      <c r="B623" s="72">
        <v>1498730412.9519999</v>
      </c>
      <c r="C623" s="73">
        <v>3.1492683215881098E-4</v>
      </c>
      <c r="D623" s="73">
        <v>4.1102182622052897E-5</v>
      </c>
      <c r="E623" s="73">
        <v>1.1931626565671399E-2</v>
      </c>
      <c r="F623" s="73">
        <v>7.9661091554447802E-4</v>
      </c>
      <c r="G623" s="73">
        <v>0.21838191667934301</v>
      </c>
      <c r="H623" s="73">
        <v>-3.7770231844864297E-5</v>
      </c>
      <c r="I623" s="73">
        <v>0.15792607670291001</v>
      </c>
      <c r="J623" s="73">
        <v>1.8961432800551601</v>
      </c>
      <c r="K623" s="73"/>
      <c r="L623" s="73"/>
      <c r="M623" s="73"/>
      <c r="N623" s="19"/>
      <c r="O623" s="13">
        <f t="shared" ca="1" si="324"/>
        <v>5.0239602887249392E-5</v>
      </c>
      <c r="P623" s="13">
        <f t="shared" ca="1" si="325"/>
        <v>2.9814707237212726E-5</v>
      </c>
      <c r="Q623" s="13">
        <f t="shared" ca="1" si="326"/>
        <v>1.1090886947698714E-2</v>
      </c>
      <c r="R623" s="13">
        <f t="shared" ca="1" si="327"/>
        <v>7.8683463665379688E-4</v>
      </c>
      <c r="S623" s="13">
        <f t="shared" ca="1" si="328"/>
        <v>0.21724683804610165</v>
      </c>
      <c r="T623" s="13">
        <f t="shared" ca="1" si="329"/>
        <v>-3.8120053355888387E-5</v>
      </c>
      <c r="U623" s="13">
        <f t="shared" ca="1" si="330"/>
        <v>0.15727223270812149</v>
      </c>
      <c r="V623" s="13">
        <f t="shared" ca="1" si="331"/>
        <v>1.889004499132706</v>
      </c>
      <c r="X623" s="3">
        <f t="shared" ca="1" si="332"/>
        <v>5.0239602887249392E-5</v>
      </c>
      <c r="Y623" s="3">
        <f t="shared" ca="1" si="333"/>
        <v>2.9814707237212726E-5</v>
      </c>
      <c r="Z623" s="3">
        <f t="shared" ca="1" si="334"/>
        <v>1.1090886947698714E-2</v>
      </c>
      <c r="AA623" s="3">
        <f t="shared" ca="1" si="335"/>
        <v>7.8683463665379688E-4</v>
      </c>
      <c r="AB623" s="3">
        <f t="shared" ca="1" si="336"/>
        <v>0.21724683804610165</v>
      </c>
      <c r="AC623" s="3">
        <f t="shared" ca="1" si="337"/>
        <v>-3.8120053355888387E-5</v>
      </c>
      <c r="AD623" s="3">
        <f t="shared" ca="1" si="338"/>
        <v>0.15727223270812149</v>
      </c>
      <c r="AE623" s="3">
        <f t="shared" ca="1" si="339"/>
        <v>1.889004499132706</v>
      </c>
      <c r="AG623" s="3">
        <f t="shared" ca="1" si="340"/>
        <v>5.0239602887249392E-5</v>
      </c>
      <c r="AH623" s="3">
        <f t="shared" ca="1" si="341"/>
        <v>2.9814707237212726E-5</v>
      </c>
      <c r="AI623" s="3">
        <f t="shared" ca="1" si="342"/>
        <v>1.1066871359163977E-2</v>
      </c>
      <c r="AJ623" s="3">
        <f t="shared" ca="1" si="343"/>
        <v>7.7357316408984799E-4</v>
      </c>
      <c r="AK623" s="3">
        <f t="shared" ca="1" si="344"/>
        <v>0.21724683804610165</v>
      </c>
      <c r="AL623" s="3">
        <f t="shared" ca="1" si="345"/>
        <v>-3.8120053355888387E-5</v>
      </c>
      <c r="AM623" s="3">
        <f t="shared" ca="1" si="346"/>
        <v>0.15727223270812149</v>
      </c>
      <c r="AN623" s="3">
        <f t="shared" ca="1" si="347"/>
        <v>1.889004499132706</v>
      </c>
      <c r="AP623" s="3">
        <f t="shared" ca="1" si="348"/>
        <v>8.6951990469561764</v>
      </c>
      <c r="AQ623" s="3">
        <f t="shared" ca="1" si="360"/>
        <v>0.40058276573384266</v>
      </c>
      <c r="AR623" s="3">
        <f t="shared" ca="1" si="349"/>
        <v>3.1519239492596113E-4</v>
      </c>
      <c r="AS623" s="3">
        <f t="shared" ca="1" si="350"/>
        <v>0.15695704031319552</v>
      </c>
      <c r="AT623" s="3">
        <f t="shared" ca="1" si="351"/>
        <v>0.70896841341486005</v>
      </c>
      <c r="AU623" s="3">
        <f t="shared" ca="1" si="352"/>
        <v>5.3048767304532216E-2</v>
      </c>
      <c r="AV623" s="10">
        <f t="shared" ca="1" si="355"/>
        <v>0.70896841341486005</v>
      </c>
      <c r="AW623" s="10">
        <f t="shared" ca="1" si="356"/>
        <v>0.70896841341486005</v>
      </c>
      <c r="AX623" s="10"/>
      <c r="AY623" s="3">
        <f t="shared" ca="1" si="359"/>
        <v>8.6951990469561764</v>
      </c>
      <c r="AZ623" s="3">
        <f t="shared" ca="1" si="361"/>
        <v>0.40058276573384266</v>
      </c>
      <c r="BA623" s="3">
        <f t="shared" ca="1" si="353"/>
        <v>3.0988007756859099E-4</v>
      </c>
      <c r="BB623" s="3">
        <f t="shared" ca="1" si="362"/>
        <v>0.15696235263055289</v>
      </c>
      <c r="BC623" s="3">
        <f t="shared" ca="1" si="363"/>
        <v>0.70899240893109106</v>
      </c>
      <c r="BD623" s="3">
        <f t="shared" ca="1" si="354"/>
        <v>5.2933898460059414E-2</v>
      </c>
      <c r="BE623" s="3">
        <f t="shared" ca="1" si="357"/>
        <v>0.70899240893109106</v>
      </c>
      <c r="BF623" s="3">
        <f t="shared" ca="1" si="358"/>
        <v>0.70899240893109106</v>
      </c>
    </row>
    <row r="624" spans="1:58" ht="15" x14ac:dyDescent="0.25">
      <c r="A624" s="72">
        <v>558</v>
      </c>
      <c r="B624" s="72">
        <v>1498730413.4790001</v>
      </c>
      <c r="C624" s="73">
        <v>3.7464497100475798E-4</v>
      </c>
      <c r="D624" s="73">
        <v>1.07957718813764E-4</v>
      </c>
      <c r="E624" s="73">
        <v>1.1605011517267999E-2</v>
      </c>
      <c r="F624" s="73">
        <v>7.3446220904312197E-4</v>
      </c>
      <c r="G624" s="73">
        <v>0.212267210540554</v>
      </c>
      <c r="H624" s="73">
        <v>-2.0696958923204201E-5</v>
      </c>
      <c r="I624" s="73">
        <v>0.15334761731716101</v>
      </c>
      <c r="J624" s="73">
        <v>1.8407139525654399</v>
      </c>
      <c r="K624" s="73"/>
      <c r="L624" s="73"/>
      <c r="M624" s="73"/>
      <c r="N624" s="19"/>
      <c r="O624" s="13">
        <f t="shared" ca="1" si="324"/>
        <v>1.0995774173319639E-4</v>
      </c>
      <c r="P624" s="13">
        <f t="shared" ca="1" si="325"/>
        <v>9.6670243428923823E-5</v>
      </c>
      <c r="Q624" s="13">
        <f t="shared" ca="1" si="326"/>
        <v>1.0764271899295314E-2</v>
      </c>
      <c r="R624" s="13">
        <f t="shared" ca="1" si="327"/>
        <v>7.2468593015244083E-4</v>
      </c>
      <c r="S624" s="13">
        <f t="shared" ca="1" si="328"/>
        <v>0.21113213190731264</v>
      </c>
      <c r="T624" s="13">
        <f t="shared" ca="1" si="329"/>
        <v>-2.1046780434228288E-5</v>
      </c>
      <c r="U624" s="13">
        <f t="shared" ca="1" si="330"/>
        <v>0.15269377332237249</v>
      </c>
      <c r="V624" s="13">
        <f t="shared" ca="1" si="331"/>
        <v>1.8335751716429858</v>
      </c>
      <c r="X624" s="3">
        <f t="shared" ca="1" si="332"/>
        <v>1.0995774173319639E-4</v>
      </c>
      <c r="Y624" s="3">
        <f t="shared" ca="1" si="333"/>
        <v>9.6670243428923823E-5</v>
      </c>
      <c r="Z624" s="3">
        <f t="shared" ca="1" si="334"/>
        <v>1.0764271899295314E-2</v>
      </c>
      <c r="AA624" s="3">
        <f t="shared" ca="1" si="335"/>
        <v>7.2468593015244083E-4</v>
      </c>
      <c r="AB624" s="3">
        <f t="shared" ca="1" si="336"/>
        <v>0.21113213190731264</v>
      </c>
      <c r="AC624" s="3">
        <f t="shared" ca="1" si="337"/>
        <v>-2.1046780434228288E-5</v>
      </c>
      <c r="AD624" s="3">
        <f t="shared" ca="1" si="338"/>
        <v>0.15269377332237249</v>
      </c>
      <c r="AE624" s="3">
        <f t="shared" ca="1" si="339"/>
        <v>1.8335751716429858</v>
      </c>
      <c r="AG624" s="3">
        <f t="shared" ca="1" si="340"/>
        <v>1.0995774173319639E-4</v>
      </c>
      <c r="AH624" s="3">
        <f t="shared" ca="1" si="341"/>
        <v>9.6670243428923823E-5</v>
      </c>
      <c r="AI624" s="3">
        <f t="shared" ca="1" si="342"/>
        <v>1.068640453097703E-2</v>
      </c>
      <c r="AJ624" s="3">
        <f t="shared" ca="1" si="343"/>
        <v>6.816873599909723E-4</v>
      </c>
      <c r="AK624" s="3">
        <f t="shared" ca="1" si="344"/>
        <v>0.21113213190731264</v>
      </c>
      <c r="AL624" s="3">
        <f t="shared" ca="1" si="345"/>
        <v>-2.1046780434228288E-5</v>
      </c>
      <c r="AM624" s="3">
        <f t="shared" ca="1" si="346"/>
        <v>0.15269377332237249</v>
      </c>
      <c r="AN624" s="3">
        <f t="shared" ca="1" si="347"/>
        <v>1.8335751716429858</v>
      </c>
      <c r="AP624" s="3">
        <f t="shared" ca="1" si="348"/>
        <v>8.6844913423596193</v>
      </c>
      <c r="AQ624" s="3">
        <f t="shared" ca="1" si="360"/>
        <v>0.40008348863455645</v>
      </c>
      <c r="AR624" s="3">
        <f t="shared" ca="1" si="349"/>
        <v>2.8993487509976706E-4</v>
      </c>
      <c r="AS624" s="3">
        <f t="shared" ca="1" si="350"/>
        <v>0.15240383844727273</v>
      </c>
      <c r="AT624" s="3">
        <f t="shared" ca="1" si="351"/>
        <v>0.70877863168745159</v>
      </c>
      <c r="AU624" s="3">
        <f t="shared" ca="1" si="352"/>
        <v>5.2910909246371499E-2</v>
      </c>
      <c r="AV624" s="10">
        <f t="shared" ca="1" si="355"/>
        <v>0.70877863168745159</v>
      </c>
      <c r="AW624" s="10">
        <f t="shared" ca="1" si="356"/>
        <v>0.70877863168745159</v>
      </c>
      <c r="AX624" s="10"/>
      <c r="AY624" s="3">
        <f t="shared" ca="1" si="359"/>
        <v>8.6844913423596193</v>
      </c>
      <c r="AZ624" s="3">
        <f t="shared" ca="1" si="361"/>
        <v>0.40008348863455645</v>
      </c>
      <c r="BA624" s="3">
        <f t="shared" ca="1" si="353"/>
        <v>2.7273185714326897E-4</v>
      </c>
      <c r="BB624" s="3">
        <f t="shared" ca="1" si="362"/>
        <v>0.15242104146522922</v>
      </c>
      <c r="BC624" s="3">
        <f t="shared" ca="1" si="363"/>
        <v>0.7088586370971075</v>
      </c>
      <c r="BD624" s="3">
        <f t="shared" ca="1" si="354"/>
        <v>5.2528158485624525E-2</v>
      </c>
      <c r="BE624" s="3">
        <f t="shared" ca="1" si="357"/>
        <v>0.7088586370971075</v>
      </c>
      <c r="BF624" s="3">
        <f t="shared" ca="1" si="358"/>
        <v>0.7088586370971075</v>
      </c>
    </row>
    <row r="625" spans="1:58" ht="15" x14ac:dyDescent="0.25">
      <c r="A625" s="72">
        <v>559</v>
      </c>
      <c r="B625" s="72">
        <v>1498730414.006</v>
      </c>
      <c r="C625" s="73">
        <v>3.4490441562019098E-4</v>
      </c>
      <c r="D625" s="73">
        <v>-6.3306286369712794E-5</v>
      </c>
      <c r="E625" s="73">
        <v>1.14555788039281E-2</v>
      </c>
      <c r="F625" s="73">
        <v>6.8946038674977395E-4</v>
      </c>
      <c r="G625" s="73">
        <v>0.21043693419989001</v>
      </c>
      <c r="H625" s="73">
        <v>6.4618972498138602E-5</v>
      </c>
      <c r="I625" s="73">
        <v>0.15220279680750201</v>
      </c>
      <c r="J625" s="73">
        <v>1.82602872318876</v>
      </c>
      <c r="K625" s="73"/>
      <c r="L625" s="73"/>
      <c r="M625" s="73"/>
      <c r="N625" s="19"/>
      <c r="O625" s="13">
        <f t="shared" ca="1" si="324"/>
        <v>8.0217186348629393E-5</v>
      </c>
      <c r="P625" s="13">
        <f t="shared" ca="1" si="325"/>
        <v>-7.4593761754552972E-5</v>
      </c>
      <c r="Q625" s="13">
        <f t="shared" ca="1" si="326"/>
        <v>1.0614839185955415E-2</v>
      </c>
      <c r="R625" s="13">
        <f t="shared" ca="1" si="327"/>
        <v>6.7968410785909281E-4</v>
      </c>
      <c r="S625" s="13">
        <f t="shared" ca="1" si="328"/>
        <v>0.20930185556664865</v>
      </c>
      <c r="T625" s="13">
        <f t="shared" ca="1" si="329"/>
        <v>6.4269150987114512E-5</v>
      </c>
      <c r="U625" s="13">
        <f t="shared" ca="1" si="330"/>
        <v>0.15154895281271349</v>
      </c>
      <c r="V625" s="13">
        <f t="shared" ca="1" si="331"/>
        <v>1.8188899422663058</v>
      </c>
      <c r="X625" s="3">
        <f t="shared" ca="1" si="332"/>
        <v>8.0217186348629393E-5</v>
      </c>
      <c r="Y625" s="3">
        <f t="shared" ca="1" si="333"/>
        <v>-7.4593761754552972E-5</v>
      </c>
      <c r="Z625" s="3">
        <f t="shared" ca="1" si="334"/>
        <v>1.0614347478857259E-2</v>
      </c>
      <c r="AA625" s="3">
        <f t="shared" ca="1" si="335"/>
        <v>6.677825610514436E-4</v>
      </c>
      <c r="AB625" s="3">
        <f t="shared" ca="1" si="336"/>
        <v>0.2092153039422118</v>
      </c>
      <c r="AC625" s="3">
        <f t="shared" ca="1" si="337"/>
        <v>6.4269150987114512E-5</v>
      </c>
      <c r="AD625" s="3">
        <f t="shared" ca="1" si="338"/>
        <v>0.15142113690509612</v>
      </c>
      <c r="AE625" s="3">
        <f t="shared" ca="1" si="339"/>
        <v>1.8188380775443858</v>
      </c>
      <c r="AG625" s="3">
        <f t="shared" ca="1" si="340"/>
        <v>8.0217186348629393E-5</v>
      </c>
      <c r="AH625" s="3">
        <f t="shared" ca="1" si="341"/>
        <v>-7.4593761754552972E-5</v>
      </c>
      <c r="AI625" s="3">
        <f t="shared" ca="1" si="342"/>
        <v>1.0614347478857259E-2</v>
      </c>
      <c r="AJ625" s="3">
        <f t="shared" ca="1" si="343"/>
        <v>6.677825610514436E-4</v>
      </c>
      <c r="AK625" s="3">
        <f t="shared" ca="1" si="344"/>
        <v>0.2092153039422118</v>
      </c>
      <c r="AL625" s="3">
        <f t="shared" ca="1" si="345"/>
        <v>6.4269150987114512E-5</v>
      </c>
      <c r="AM625" s="3">
        <f t="shared" ca="1" si="346"/>
        <v>0.15142113690509612</v>
      </c>
      <c r="AN625" s="3">
        <f t="shared" ca="1" si="347"/>
        <v>1.8188380775443858</v>
      </c>
      <c r="AP625" s="3">
        <f t="shared" ca="1" si="348"/>
        <v>8.6902714614831069</v>
      </c>
      <c r="AQ625" s="3">
        <f t="shared" ca="1" si="360"/>
        <v>0.40035300215723657</v>
      </c>
      <c r="AR625" s="3">
        <f t="shared" ca="1" si="349"/>
        <v>2.7211357309995078E-4</v>
      </c>
      <c r="AS625" s="3">
        <f t="shared" ca="1" si="350"/>
        <v>0.15127683923961355</v>
      </c>
      <c r="AT625" s="3">
        <f t="shared" ca="1" si="351"/>
        <v>0.7094517926382401</v>
      </c>
      <c r="AU625" s="3">
        <f t="shared" ca="1" si="352"/>
        <v>5.2668495609318959E-2</v>
      </c>
      <c r="AV625" s="10">
        <f t="shared" ca="1" si="355"/>
        <v>0.7094517926382401</v>
      </c>
      <c r="AW625" s="10">
        <f t="shared" ca="1" si="356"/>
        <v>0.7094517926382401</v>
      </c>
      <c r="AX625" s="10"/>
      <c r="AY625" s="3">
        <f t="shared" ca="1" si="359"/>
        <v>8.6936186945806515</v>
      </c>
      <c r="AZ625" s="3">
        <f t="shared" ca="1" si="361"/>
        <v>0.40050907685234699</v>
      </c>
      <c r="BA625" s="3">
        <f t="shared" ca="1" si="353"/>
        <v>2.674529770648097E-4</v>
      </c>
      <c r="BB625" s="3">
        <f t="shared" ca="1" si="362"/>
        <v>0.1511536839280313</v>
      </c>
      <c r="BC625" s="3">
        <f t="shared" ca="1" si="363"/>
        <v>0.70902996598642487</v>
      </c>
      <c r="BD625" s="3">
        <f t="shared" ca="1" si="354"/>
        <v>5.2708609343438309E-2</v>
      </c>
      <c r="BE625" s="3">
        <f t="shared" ca="1" si="357"/>
        <v>0.70902996598642487</v>
      </c>
      <c r="BF625" s="3">
        <f t="shared" ca="1" si="358"/>
        <v>0.70902996598642487</v>
      </c>
    </row>
    <row r="626" spans="1:58" ht="15" x14ac:dyDescent="0.25">
      <c r="A626" s="72">
        <v>560</v>
      </c>
      <c r="B626" s="72">
        <v>1498730414.533</v>
      </c>
      <c r="C626" s="73">
        <v>3.7036227643993702E-4</v>
      </c>
      <c r="D626" s="73">
        <v>9.4255510458272803E-5</v>
      </c>
      <c r="E626" s="73">
        <v>1.15024997403769E-2</v>
      </c>
      <c r="F626" s="73">
        <v>5.7994061271263099E-4</v>
      </c>
      <c r="G626" s="73">
        <v>0.20897270137347401</v>
      </c>
      <c r="H626" s="73">
        <v>4.0323275767879601E-5</v>
      </c>
      <c r="I626" s="73">
        <v>0.15107193703338001</v>
      </c>
      <c r="J626" s="73">
        <v>1.8135280328947401</v>
      </c>
      <c r="K626" s="73"/>
      <c r="L626" s="73"/>
      <c r="M626" s="73"/>
      <c r="N626" s="19"/>
      <c r="O626" s="13">
        <f t="shared" ca="1" si="324"/>
        <v>1.0567504716837544E-4</v>
      </c>
      <c r="P626" s="13">
        <f t="shared" ca="1" si="325"/>
        <v>8.2968035073432625E-5</v>
      </c>
      <c r="Q626" s="13">
        <f t="shared" ca="1" si="326"/>
        <v>1.0661760122404215E-2</v>
      </c>
      <c r="R626" s="13">
        <f t="shared" ca="1" si="327"/>
        <v>5.7016433382194986E-4</v>
      </c>
      <c r="S626" s="13">
        <f t="shared" ca="1" si="328"/>
        <v>0.20783762274023265</v>
      </c>
      <c r="T626" s="13">
        <f t="shared" ca="1" si="329"/>
        <v>3.9973454256855511E-5</v>
      </c>
      <c r="U626" s="13">
        <f t="shared" ca="1" si="330"/>
        <v>0.15041809303859149</v>
      </c>
      <c r="V626" s="13">
        <f t="shared" ca="1" si="331"/>
        <v>1.8063892519722859</v>
      </c>
      <c r="X626" s="3">
        <f t="shared" ca="1" si="332"/>
        <v>1.0567504716837544E-4</v>
      </c>
      <c r="Y626" s="3">
        <f t="shared" ca="1" si="333"/>
        <v>8.2968035073432625E-5</v>
      </c>
      <c r="Z626" s="3">
        <f t="shared" ca="1" si="334"/>
        <v>1.0661454295566704E-2</v>
      </c>
      <c r="AA626" s="3">
        <f t="shared" ca="1" si="335"/>
        <v>5.6276193423218754E-4</v>
      </c>
      <c r="AB626" s="3">
        <f t="shared" ca="1" si="336"/>
        <v>0.20778379026622071</v>
      </c>
      <c r="AC626" s="3">
        <f t="shared" ca="1" si="337"/>
        <v>3.9973454256855511E-5</v>
      </c>
      <c r="AD626" s="3">
        <f t="shared" ca="1" si="338"/>
        <v>0.15033859543736341</v>
      </c>
      <c r="AE626" s="3">
        <f t="shared" ca="1" si="339"/>
        <v>1.8063569936950663</v>
      </c>
      <c r="AG626" s="3">
        <f t="shared" ca="1" si="340"/>
        <v>1.0567504716837544E-4</v>
      </c>
      <c r="AH626" s="3">
        <f t="shared" ca="1" si="341"/>
        <v>8.2968035073432625E-5</v>
      </c>
      <c r="AI626" s="3">
        <f t="shared" ca="1" si="342"/>
        <v>1.0594623983398747E-2</v>
      </c>
      <c r="AJ626" s="3">
        <f t="shared" ca="1" si="343"/>
        <v>5.2585805615426421E-4</v>
      </c>
      <c r="AK626" s="3">
        <f t="shared" ca="1" si="344"/>
        <v>0.20778379026622071</v>
      </c>
      <c r="AL626" s="3">
        <f t="shared" ca="1" si="345"/>
        <v>3.9973454256855511E-5</v>
      </c>
      <c r="AM626" s="3">
        <f t="shared" ca="1" si="346"/>
        <v>0.15033859543736341</v>
      </c>
      <c r="AN626" s="3">
        <f t="shared" ca="1" si="347"/>
        <v>1.8063569936950663</v>
      </c>
      <c r="AP626" s="3">
        <f t="shared" ca="1" si="348"/>
        <v>8.691348698835025</v>
      </c>
      <c r="AQ626" s="3">
        <f t="shared" ca="1" si="360"/>
        <v>0.4004032314720396</v>
      </c>
      <c r="AR626" s="3">
        <f t="shared" ca="1" si="349"/>
        <v>2.2829564173241145E-4</v>
      </c>
      <c r="AS626" s="3">
        <f t="shared" ca="1" si="350"/>
        <v>0.15018979739685909</v>
      </c>
      <c r="AT626" s="3">
        <f t="shared" ca="1" si="351"/>
        <v>0.70927178397770207</v>
      </c>
      <c r="AU626" s="3">
        <f t="shared" ca="1" si="352"/>
        <v>5.3280758288198928E-2</v>
      </c>
      <c r="AV626" s="10">
        <f t="shared" ca="1" si="355"/>
        <v>0.70927178397770207</v>
      </c>
      <c r="AW626" s="10">
        <f t="shared" ca="1" si="356"/>
        <v>0.70927178397770207</v>
      </c>
      <c r="AX626" s="10"/>
      <c r="AY626" s="3">
        <f t="shared" ca="1" si="359"/>
        <v>8.6934451979179475</v>
      </c>
      <c r="AZ626" s="3">
        <f t="shared" ca="1" si="361"/>
        <v>0.40050098703669867</v>
      </c>
      <c r="BA626" s="3">
        <f t="shared" ca="1" si="353"/>
        <v>2.1060667053098253E-4</v>
      </c>
      <c r="BB626" s="3">
        <f t="shared" ca="1" si="362"/>
        <v>0.15012798876683242</v>
      </c>
      <c r="BC626" s="3">
        <f t="shared" ca="1" si="363"/>
        <v>0.70907744439641884</v>
      </c>
      <c r="BD626" s="3">
        <f t="shared" ca="1" si="354"/>
        <v>5.2972042835294428E-2</v>
      </c>
      <c r="BE626" s="3">
        <f t="shared" ca="1" si="357"/>
        <v>0.70907744439641884</v>
      </c>
      <c r="BF626" s="3">
        <f t="shared" ca="1" si="358"/>
        <v>0.70907744439641884</v>
      </c>
    </row>
    <row r="627" spans="1:58" ht="15" x14ac:dyDescent="0.25">
      <c r="A627" s="72">
        <v>561</v>
      </c>
      <c r="B627" s="72">
        <v>1498730415.0599999</v>
      </c>
      <c r="C627" s="73">
        <v>3.4252520945271601E-4</v>
      </c>
      <c r="D627" s="73">
        <v>-7.0877068081931303E-6</v>
      </c>
      <c r="E627" s="73">
        <v>1.16610845636123E-2</v>
      </c>
      <c r="F627" s="73">
        <v>7.4636779213054297E-4</v>
      </c>
      <c r="G627" s="73">
        <v>0.21312317127984801</v>
      </c>
      <c r="H627" s="73">
        <v>7.9156694436552003E-5</v>
      </c>
      <c r="I627" s="73">
        <v>0.15410745485376201</v>
      </c>
      <c r="J627" s="73">
        <v>1.8493055049290399</v>
      </c>
      <c r="K627" s="73"/>
      <c r="L627" s="73"/>
      <c r="M627" s="73"/>
      <c r="N627" s="19"/>
      <c r="O627" s="13">
        <f t="shared" ca="1" si="324"/>
        <v>7.7837980181154429E-5</v>
      </c>
      <c r="P627" s="13">
        <f t="shared" ca="1" si="325"/>
        <v>-1.8375182193033304E-5</v>
      </c>
      <c r="Q627" s="13">
        <f t="shared" ca="1" si="326"/>
        <v>1.0820344945639614E-2</v>
      </c>
      <c r="R627" s="13">
        <f t="shared" ca="1" si="327"/>
        <v>7.3659151323986183E-4</v>
      </c>
      <c r="S627" s="13">
        <f t="shared" ca="1" si="328"/>
        <v>0.21198809264660665</v>
      </c>
      <c r="T627" s="13">
        <f t="shared" ca="1" si="329"/>
        <v>7.8806872925527913E-5</v>
      </c>
      <c r="U627" s="13">
        <f t="shared" ca="1" si="330"/>
        <v>0.15345361085897349</v>
      </c>
      <c r="V627" s="13">
        <f t="shared" ca="1" si="331"/>
        <v>1.8421667240065858</v>
      </c>
      <c r="X627" s="3">
        <f t="shared" ca="1" si="332"/>
        <v>7.7837980181154429E-5</v>
      </c>
      <c r="Y627" s="3">
        <f t="shared" ca="1" si="333"/>
        <v>-1.8375182193033304E-5</v>
      </c>
      <c r="Z627" s="3">
        <f t="shared" ca="1" si="334"/>
        <v>1.081974201408994E-2</v>
      </c>
      <c r="AA627" s="3">
        <f t="shared" ca="1" si="335"/>
        <v>7.2199782913976102E-4</v>
      </c>
      <c r="AB627" s="3">
        <f t="shared" ca="1" si="336"/>
        <v>0.211881962990874</v>
      </c>
      <c r="AC627" s="3">
        <f t="shared" ca="1" si="337"/>
        <v>7.8806872925527913E-5</v>
      </c>
      <c r="AD627" s="3">
        <f t="shared" ca="1" si="338"/>
        <v>0.15329688291353227</v>
      </c>
      <c r="AE627" s="3">
        <f t="shared" ca="1" si="339"/>
        <v>1.8421031274522999</v>
      </c>
      <c r="AG627" s="3">
        <f t="shared" ca="1" si="340"/>
        <v>7.7837980181154429E-5</v>
      </c>
      <c r="AH627" s="3">
        <f t="shared" ca="1" si="341"/>
        <v>-1.8375182193033304E-5</v>
      </c>
      <c r="AI627" s="3">
        <f t="shared" ca="1" si="342"/>
        <v>1.081974201408994E-2</v>
      </c>
      <c r="AJ627" s="3">
        <f t="shared" ca="1" si="343"/>
        <v>7.2199782913976102E-4</v>
      </c>
      <c r="AK627" s="3">
        <f t="shared" ca="1" si="344"/>
        <v>0.211881962990874</v>
      </c>
      <c r="AL627" s="3">
        <f t="shared" ca="1" si="345"/>
        <v>7.8806872925527913E-5</v>
      </c>
      <c r="AM627" s="3">
        <f t="shared" ca="1" si="346"/>
        <v>0.15329688291353227</v>
      </c>
      <c r="AN627" s="3">
        <f t="shared" ca="1" si="347"/>
        <v>1.8421031274522999</v>
      </c>
      <c r="AP627" s="3">
        <f t="shared" ca="1" si="348"/>
        <v>8.6899537658351296</v>
      </c>
      <c r="AQ627" s="3">
        <f t="shared" ca="1" si="360"/>
        <v>0.4003381886909636</v>
      </c>
      <c r="AR627" s="3">
        <f t="shared" ca="1" si="349"/>
        <v>2.9488571221558224E-4</v>
      </c>
      <c r="AS627" s="3">
        <f t="shared" ca="1" si="350"/>
        <v>0.15315872514675791</v>
      </c>
      <c r="AT627" s="3">
        <f t="shared" ca="1" si="351"/>
        <v>0.70918868547103797</v>
      </c>
      <c r="AU627" s="3">
        <f t="shared" ca="1" si="352"/>
        <v>5.3005869824900853E-2</v>
      </c>
      <c r="AV627" s="10">
        <f t="shared" ca="1" si="355"/>
        <v>0.70918868547103797</v>
      </c>
      <c r="AW627" s="10">
        <f t="shared" ca="1" si="356"/>
        <v>0.70918868547103797</v>
      </c>
      <c r="AX627" s="10"/>
      <c r="AY627" s="3">
        <f t="shared" ca="1" si="359"/>
        <v>8.6940063299849708</v>
      </c>
      <c r="AZ627" s="3">
        <f t="shared" ca="1" si="361"/>
        <v>0.40052715155268026</v>
      </c>
      <c r="BA627" s="3">
        <f t="shared" ca="1" si="353"/>
        <v>2.891797339325672E-4</v>
      </c>
      <c r="BB627" s="3">
        <f t="shared" ca="1" si="362"/>
        <v>0.15300770317959972</v>
      </c>
      <c r="BC627" s="3">
        <f t="shared" ca="1" si="363"/>
        <v>0.70867785202269384</v>
      </c>
      <c r="BD627" s="3">
        <f t="shared" ca="1" si="354"/>
        <v>5.3054770331212406E-2</v>
      </c>
      <c r="BE627" s="3">
        <f t="shared" ca="1" si="357"/>
        <v>0.70867785202269384</v>
      </c>
      <c r="BF627" s="3">
        <f t="shared" ca="1" si="358"/>
        <v>0.70867785202269384</v>
      </c>
    </row>
    <row r="628" spans="1:58" ht="15" x14ac:dyDescent="0.25">
      <c r="A628" s="72">
        <v>562</v>
      </c>
      <c r="B628" s="72">
        <v>1498730415.5869999</v>
      </c>
      <c r="C628" s="73">
        <v>3.6060731849440201E-4</v>
      </c>
      <c r="D628" s="73">
        <v>-2.1260758269817598E-5</v>
      </c>
      <c r="E628" s="73">
        <v>1.2692613153624599E-2</v>
      </c>
      <c r="F628" s="73">
        <v>7.5470178471346498E-4</v>
      </c>
      <c r="G628" s="73">
        <v>0.231335694896151</v>
      </c>
      <c r="H628" s="73">
        <v>-2.2846038805743999E-5</v>
      </c>
      <c r="I628" s="73">
        <v>0.167071784209707</v>
      </c>
      <c r="J628" s="73">
        <v>2.0058257567992301</v>
      </c>
      <c r="K628" s="73"/>
      <c r="L628" s="73"/>
      <c r="M628" s="73"/>
      <c r="N628" s="19"/>
      <c r="O628" s="13">
        <f t="shared" ca="1" si="324"/>
        <v>9.5920089222840423E-5</v>
      </c>
      <c r="P628" s="13">
        <f t="shared" ca="1" si="325"/>
        <v>-3.254823365465777E-5</v>
      </c>
      <c r="Q628" s="13">
        <f t="shared" ca="1" si="326"/>
        <v>1.1851873535651914E-2</v>
      </c>
      <c r="R628" s="13">
        <f t="shared" ca="1" si="327"/>
        <v>7.4492550582278385E-4</v>
      </c>
      <c r="S628" s="13">
        <f t="shared" ca="1" si="328"/>
        <v>0.23020061626290964</v>
      </c>
      <c r="T628" s="13">
        <f t="shared" ca="1" si="329"/>
        <v>-2.3195860316768086E-5</v>
      </c>
      <c r="U628" s="13">
        <f t="shared" ca="1" si="330"/>
        <v>0.16641794021491849</v>
      </c>
      <c r="V628" s="13">
        <f t="shared" ca="1" si="331"/>
        <v>1.998686975876776</v>
      </c>
      <c r="X628" s="3">
        <f t="shared" ca="1" si="332"/>
        <v>9.5920089222840423E-5</v>
      </c>
      <c r="Y628" s="3">
        <f t="shared" ca="1" si="333"/>
        <v>-3.254823365465777E-5</v>
      </c>
      <c r="Z628" s="3">
        <f t="shared" ca="1" si="334"/>
        <v>1.1851873535651914E-2</v>
      </c>
      <c r="AA628" s="3">
        <f t="shared" ca="1" si="335"/>
        <v>7.4492550582278385E-4</v>
      </c>
      <c r="AB628" s="3">
        <f t="shared" ca="1" si="336"/>
        <v>0.23020061626290964</v>
      </c>
      <c r="AC628" s="3">
        <f t="shared" ca="1" si="337"/>
        <v>-2.3195860316768086E-5</v>
      </c>
      <c r="AD628" s="3">
        <f t="shared" ca="1" si="338"/>
        <v>0.16641794021491849</v>
      </c>
      <c r="AE628" s="3">
        <f t="shared" ca="1" si="339"/>
        <v>1.998686975876776</v>
      </c>
      <c r="AG628" s="3">
        <f t="shared" ca="1" si="340"/>
        <v>9.5920089222840423E-5</v>
      </c>
      <c r="AH628" s="3">
        <f t="shared" ca="1" si="341"/>
        <v>-3.254823365465777E-5</v>
      </c>
      <c r="AI628" s="3">
        <f t="shared" ca="1" si="342"/>
        <v>1.1851873535651914E-2</v>
      </c>
      <c r="AJ628" s="3">
        <f t="shared" ca="1" si="343"/>
        <v>7.4492550582278385E-4</v>
      </c>
      <c r="AK628" s="3">
        <f t="shared" ca="1" si="344"/>
        <v>0.23020061626290964</v>
      </c>
      <c r="AL628" s="3">
        <f t="shared" ca="1" si="345"/>
        <v>-2.3195860316768086E-5</v>
      </c>
      <c r="AM628" s="3">
        <f t="shared" ca="1" si="346"/>
        <v>0.16641794021491849</v>
      </c>
      <c r="AN628" s="3">
        <f t="shared" ca="1" si="347"/>
        <v>1.998686975876776</v>
      </c>
      <c r="AP628" s="3">
        <f t="shared" ca="1" si="348"/>
        <v>8.682370222650043</v>
      </c>
      <c r="AQ628" s="3">
        <f t="shared" ca="1" si="360"/>
        <v>0.39998458629724648</v>
      </c>
      <c r="AR628" s="3">
        <f t="shared" ca="1" si="349"/>
        <v>2.9795872026879325E-4</v>
      </c>
      <c r="AS628" s="3">
        <f t="shared" ca="1" si="350"/>
        <v>0.16611998149464968</v>
      </c>
      <c r="AT628" s="3">
        <f t="shared" ca="1" si="351"/>
        <v>0.70865990224791453</v>
      </c>
      <c r="AU628" s="3">
        <f t="shared" ca="1" si="352"/>
        <v>5.3417907621404206E-2</v>
      </c>
      <c r="AV628" s="10">
        <f t="shared" ca="1" si="355"/>
        <v>0.70865990224791453</v>
      </c>
      <c r="AW628" s="10">
        <f t="shared" ca="1" si="356"/>
        <v>0.70865990224791453</v>
      </c>
      <c r="AX628" s="10"/>
      <c r="AY628" s="3">
        <f t="shared" ca="1" si="359"/>
        <v>8.682370222650043</v>
      </c>
      <c r="AZ628" s="3">
        <f t="shared" ca="1" si="361"/>
        <v>0.39998458629724648</v>
      </c>
      <c r="BA628" s="3">
        <f t="shared" ca="1" si="353"/>
        <v>2.9795872026879325E-4</v>
      </c>
      <c r="BB628" s="3">
        <f t="shared" ca="1" si="362"/>
        <v>0.16611998149464968</v>
      </c>
      <c r="BC628" s="3">
        <f t="shared" ca="1" si="363"/>
        <v>0.70865990224791453</v>
      </c>
      <c r="BD628" s="3">
        <f t="shared" ca="1" si="354"/>
        <v>5.3417907621404206E-2</v>
      </c>
      <c r="BE628" s="3">
        <f t="shared" ca="1" si="357"/>
        <v>0.70865990224791453</v>
      </c>
      <c r="BF628" s="3">
        <f t="shared" ca="1" si="358"/>
        <v>0.70865990224791453</v>
      </c>
    </row>
    <row r="629" spans="1:58" ht="15" x14ac:dyDescent="0.25">
      <c r="A629" s="72">
        <v>563</v>
      </c>
      <c r="B629" s="72">
        <v>1498730416.1140001</v>
      </c>
      <c r="C629" s="73">
        <v>2.9851091779009602E-4</v>
      </c>
      <c r="D629" s="73">
        <v>-6.9683823200260606E-5</v>
      </c>
      <c r="E629" s="73">
        <v>1.2327219953815201E-2</v>
      </c>
      <c r="F629" s="73">
        <v>8.9067474081249895E-4</v>
      </c>
      <c r="G629" s="73">
        <v>0.22564418219108501</v>
      </c>
      <c r="H629" s="73">
        <v>6.7019868437517199E-6</v>
      </c>
      <c r="I629" s="73">
        <v>0.163311593728106</v>
      </c>
      <c r="J629" s="73">
        <v>1.9594232315387199</v>
      </c>
      <c r="K629" s="73"/>
      <c r="L629" s="73"/>
      <c r="M629" s="73"/>
      <c r="N629" s="19"/>
      <c r="O629" s="13">
        <f t="shared" ca="1" si="324"/>
        <v>3.3823688518534441E-5</v>
      </c>
      <c r="P629" s="13">
        <f t="shared" ca="1" si="325"/>
        <v>-8.0971298585100785E-5</v>
      </c>
      <c r="Q629" s="13">
        <f t="shared" ca="1" si="326"/>
        <v>1.1486480335842516E-2</v>
      </c>
      <c r="R629" s="13">
        <f t="shared" ca="1" si="327"/>
        <v>8.8089846192181782E-4</v>
      </c>
      <c r="S629" s="13">
        <f t="shared" ca="1" si="328"/>
        <v>0.22450910355784365</v>
      </c>
      <c r="T629" s="13">
        <f t="shared" ca="1" si="329"/>
        <v>6.3521653327276334E-6</v>
      </c>
      <c r="U629" s="13">
        <f t="shared" ca="1" si="330"/>
        <v>0.16265774973331748</v>
      </c>
      <c r="V629" s="13">
        <f t="shared" ca="1" si="331"/>
        <v>1.9522844506162658</v>
      </c>
      <c r="X629" s="3">
        <f t="shared" ca="1" si="332"/>
        <v>3.3823688518534441E-5</v>
      </c>
      <c r="Y629" s="3">
        <f t="shared" ca="1" si="333"/>
        <v>-8.0971298585100785E-5</v>
      </c>
      <c r="Z629" s="3">
        <f t="shared" ca="1" si="334"/>
        <v>1.1486431737024346E-2</v>
      </c>
      <c r="AA629" s="3">
        <f t="shared" ca="1" si="335"/>
        <v>8.7972214961838408E-4</v>
      </c>
      <c r="AB629" s="3">
        <f t="shared" ca="1" si="336"/>
        <v>0.22450054906132713</v>
      </c>
      <c r="AC629" s="3">
        <f t="shared" ca="1" si="337"/>
        <v>6.3521653327276334E-6</v>
      </c>
      <c r="AD629" s="3">
        <f t="shared" ca="1" si="338"/>
        <v>0.16264511680188976</v>
      </c>
      <c r="AE629" s="3">
        <f t="shared" ca="1" si="339"/>
        <v>1.9522793244665733</v>
      </c>
      <c r="AG629" s="3">
        <f t="shared" ca="1" si="340"/>
        <v>3.3823688518534441E-5</v>
      </c>
      <c r="AH629" s="3">
        <f t="shared" ca="1" si="341"/>
        <v>-8.0971298585100785E-5</v>
      </c>
      <c r="AI629" s="3">
        <f t="shared" ca="1" si="342"/>
        <v>1.1486431737024346E-2</v>
      </c>
      <c r="AJ629" s="3">
        <f t="shared" ca="1" si="343"/>
        <v>8.7972214961838408E-4</v>
      </c>
      <c r="AK629" s="3">
        <f t="shared" ca="1" si="344"/>
        <v>0.22450054906132713</v>
      </c>
      <c r="AL629" s="3">
        <f t="shared" ca="1" si="345"/>
        <v>6.3521653327276334E-6</v>
      </c>
      <c r="AM629" s="3">
        <f t="shared" ca="1" si="346"/>
        <v>0.16264511680188976</v>
      </c>
      <c r="AN629" s="3">
        <f t="shared" ca="1" si="347"/>
        <v>1.9522793244665733</v>
      </c>
      <c r="AP629" s="3">
        <f t="shared" ca="1" si="348"/>
        <v>8.6957919286033292</v>
      </c>
      <c r="AQ629" s="3">
        <f t="shared" ca="1" si="360"/>
        <v>0.40061041074032122</v>
      </c>
      <c r="AR629" s="3">
        <f t="shared" ca="1" si="349"/>
        <v>3.5289709465101664E-4</v>
      </c>
      <c r="AS629" s="3">
        <f t="shared" ca="1" si="350"/>
        <v>0.16230485263866645</v>
      </c>
      <c r="AT629" s="3">
        <f t="shared" ca="1" si="351"/>
        <v>0.7093853033669073</v>
      </c>
      <c r="AU629" s="3">
        <f t="shared" ca="1" si="352"/>
        <v>5.3167446143860375E-2</v>
      </c>
      <c r="AV629" s="10">
        <f t="shared" ca="1" si="355"/>
        <v>0.7093853033669073</v>
      </c>
      <c r="AW629" s="10">
        <f t="shared" ca="1" si="356"/>
        <v>0.7093853033669073</v>
      </c>
      <c r="AX629" s="10"/>
      <c r="AY629" s="3">
        <f t="shared" ca="1" si="359"/>
        <v>8.6961004444281613</v>
      </c>
      <c r="AZ629" s="3">
        <f t="shared" ca="1" si="361"/>
        <v>0.40062479628822734</v>
      </c>
      <c r="BA629" s="3">
        <f t="shared" ca="1" si="353"/>
        <v>3.5243850698110657E-4</v>
      </c>
      <c r="BB629" s="3">
        <f t="shared" ca="1" si="362"/>
        <v>0.16229267829490865</v>
      </c>
      <c r="BC629" s="3">
        <f t="shared" ca="1" si="363"/>
        <v>0.70934644811223202</v>
      </c>
      <c r="BD629" s="3">
        <f t="shared" ca="1" si="354"/>
        <v>5.3171177347016388E-2</v>
      </c>
      <c r="BE629" s="3">
        <f t="shared" ca="1" si="357"/>
        <v>0.70934644811223202</v>
      </c>
      <c r="BF629" s="3">
        <f t="shared" ca="1" si="358"/>
        <v>0.70934644811223202</v>
      </c>
    </row>
    <row r="630" spans="1:58" ht="15" x14ac:dyDescent="0.25">
      <c r="A630" s="72">
        <v>564</v>
      </c>
      <c r="B630" s="72">
        <v>1498730416.641</v>
      </c>
      <c r="C630" s="73">
        <v>3.4347689123941598E-4</v>
      </c>
      <c r="D630" s="73">
        <v>-6.1428295118919103E-6</v>
      </c>
      <c r="E630" s="73">
        <v>1.2488342804597799E-2</v>
      </c>
      <c r="F630" s="73">
        <v>8.0613596319861205E-4</v>
      </c>
      <c r="G630" s="73">
        <v>0.22881663588791501</v>
      </c>
      <c r="H630" s="73">
        <v>4.2733672394193403E-5</v>
      </c>
      <c r="I630" s="73">
        <v>0.16519149283142701</v>
      </c>
      <c r="J630" s="73">
        <v>1.9840781523567299</v>
      </c>
      <c r="K630" s="73"/>
      <c r="L630" s="73"/>
      <c r="M630" s="73"/>
      <c r="N630" s="19"/>
      <c r="O630" s="13">
        <f t="shared" ca="1" si="324"/>
        <v>7.87896619678544E-5</v>
      </c>
      <c r="P630" s="13">
        <f t="shared" ca="1" si="325"/>
        <v>-1.7430304896732083E-5</v>
      </c>
      <c r="Q630" s="13">
        <f t="shared" ca="1" si="326"/>
        <v>1.1647603186625114E-2</v>
      </c>
      <c r="R630" s="13">
        <f t="shared" ca="1" si="327"/>
        <v>7.9635968430793091E-4</v>
      </c>
      <c r="S630" s="13">
        <f t="shared" ca="1" si="328"/>
        <v>0.22768155725467365</v>
      </c>
      <c r="T630" s="13">
        <f t="shared" ca="1" si="329"/>
        <v>4.2383850883169313E-5</v>
      </c>
      <c r="U630" s="13">
        <f t="shared" ca="1" si="330"/>
        <v>0.16453764883663849</v>
      </c>
      <c r="V630" s="13">
        <f t="shared" ca="1" si="331"/>
        <v>1.9769393714342758</v>
      </c>
      <c r="X630" s="3">
        <f t="shared" ca="1" si="332"/>
        <v>7.87896619678544E-5</v>
      </c>
      <c r="Y630" s="3">
        <f t="shared" ca="1" si="333"/>
        <v>-1.7430304896732083E-5</v>
      </c>
      <c r="Z630" s="3">
        <f t="shared" ca="1" si="334"/>
        <v>1.1647278918449694E-2</v>
      </c>
      <c r="AA630" s="3">
        <f t="shared" ca="1" si="335"/>
        <v>7.8851092051648766E-4</v>
      </c>
      <c r="AB630" s="3">
        <f t="shared" ca="1" si="336"/>
        <v>0.22762447868606828</v>
      </c>
      <c r="AC630" s="3">
        <f t="shared" ca="1" si="337"/>
        <v>4.2383850883169313E-5</v>
      </c>
      <c r="AD630" s="3">
        <f t="shared" ca="1" si="338"/>
        <v>0.16445335753535714</v>
      </c>
      <c r="AE630" s="3">
        <f t="shared" ca="1" si="339"/>
        <v>1.9769051679850906</v>
      </c>
      <c r="AG630" s="3">
        <f t="shared" ca="1" si="340"/>
        <v>7.87896619678544E-5</v>
      </c>
      <c r="AH630" s="3">
        <f t="shared" ca="1" si="341"/>
        <v>-1.7430304896732083E-5</v>
      </c>
      <c r="AI630" s="3">
        <f t="shared" ca="1" si="342"/>
        <v>1.1647278918449694E-2</v>
      </c>
      <c r="AJ630" s="3">
        <f t="shared" ca="1" si="343"/>
        <v>7.8851092051648766E-4</v>
      </c>
      <c r="AK630" s="3">
        <f t="shared" ca="1" si="344"/>
        <v>0.22762447868606828</v>
      </c>
      <c r="AL630" s="3">
        <f t="shared" ca="1" si="345"/>
        <v>4.2383850883169313E-5</v>
      </c>
      <c r="AM630" s="3">
        <f t="shared" ca="1" si="346"/>
        <v>0.16445335753535714</v>
      </c>
      <c r="AN630" s="3">
        <f t="shared" ca="1" si="347"/>
        <v>1.9769051679850906</v>
      </c>
      <c r="AP630" s="3">
        <f t="shared" ca="1" si="348"/>
        <v>8.6829139578616221</v>
      </c>
      <c r="AQ630" s="3">
        <f t="shared" ca="1" si="360"/>
        <v>0.4000099392388165</v>
      </c>
      <c r="AR630" s="3">
        <f t="shared" ca="1" si="349"/>
        <v>3.1855178893225853E-4</v>
      </c>
      <c r="AS630" s="3">
        <f t="shared" ca="1" si="350"/>
        <v>0.16421909704770624</v>
      </c>
      <c r="AT630" s="3">
        <f t="shared" ca="1" si="351"/>
        <v>0.70827934723307751</v>
      </c>
      <c r="AU630" s="3">
        <f t="shared" ca="1" si="352"/>
        <v>5.3081463545957178E-2</v>
      </c>
      <c r="AV630" s="10">
        <f t="shared" ca="1" si="355"/>
        <v>0.70827934723307751</v>
      </c>
      <c r="AW630" s="10">
        <f t="shared" ca="1" si="356"/>
        <v>0.70827934723307751</v>
      </c>
      <c r="AX630" s="10"/>
      <c r="AY630" s="3">
        <f t="shared" ca="1" si="359"/>
        <v>8.6849410019366555</v>
      </c>
      <c r="AZ630" s="3">
        <f t="shared" ca="1" si="361"/>
        <v>0.40010445513767418</v>
      </c>
      <c r="BA630" s="3">
        <f t="shared" ca="1" si="353"/>
        <v>3.1548673222335521E-4</v>
      </c>
      <c r="BB630" s="3">
        <f t="shared" ca="1" si="362"/>
        <v>0.16413787080313377</v>
      </c>
      <c r="BC630" s="3">
        <f t="shared" ca="1" si="363"/>
        <v>0.70802330198835894</v>
      </c>
      <c r="BD630" s="3">
        <f t="shared" ca="1" si="354"/>
        <v>5.3105978929752447E-2</v>
      </c>
      <c r="BE630" s="3">
        <f t="shared" ca="1" si="357"/>
        <v>0.70802330198835894</v>
      </c>
      <c r="BF630" s="3">
        <f t="shared" ca="1" si="358"/>
        <v>0.70802330198835894</v>
      </c>
    </row>
    <row r="631" spans="1:58" ht="15" x14ac:dyDescent="0.25">
      <c r="A631" s="72">
        <v>565</v>
      </c>
      <c r="B631" s="72">
        <v>1498730417.168</v>
      </c>
      <c r="C631" s="73">
        <v>3.2706050753253401E-4</v>
      </c>
      <c r="D631" s="73">
        <v>1.15517638906139E-4</v>
      </c>
      <c r="E631" s="73">
        <v>1.27665749744301E-2</v>
      </c>
      <c r="F631" s="73">
        <v>8.0685034543352696E-4</v>
      </c>
      <c r="G631" s="73">
        <v>0.23319682668654301</v>
      </c>
      <c r="H631" s="73">
        <v>1.74983054286706E-5</v>
      </c>
      <c r="I631" s="73">
        <v>0.16876048152325701</v>
      </c>
      <c r="J631" s="73">
        <v>2.0251037674863301</v>
      </c>
      <c r="K631" s="73"/>
      <c r="L631" s="73"/>
      <c r="M631" s="73"/>
      <c r="N631" s="19"/>
      <c r="O631" s="13">
        <f t="shared" ca="1" si="324"/>
        <v>6.2373278260972431E-5</v>
      </c>
      <c r="P631" s="13">
        <f t="shared" ca="1" si="325"/>
        <v>1.0423016352129882E-4</v>
      </c>
      <c r="Q631" s="13">
        <f t="shared" ca="1" si="326"/>
        <v>1.1925835356457415E-2</v>
      </c>
      <c r="R631" s="13">
        <f t="shared" ca="1" si="327"/>
        <v>7.9707406654284582E-4</v>
      </c>
      <c r="S631" s="13">
        <f t="shared" ca="1" si="328"/>
        <v>0.23206174805330165</v>
      </c>
      <c r="T631" s="13">
        <f t="shared" ca="1" si="329"/>
        <v>1.7148483917646513E-5</v>
      </c>
      <c r="U631" s="13">
        <f t="shared" ca="1" si="330"/>
        <v>0.16810663752846849</v>
      </c>
      <c r="V631" s="13">
        <f t="shared" ca="1" si="331"/>
        <v>2.017964986563876</v>
      </c>
      <c r="X631" s="3">
        <f t="shared" ca="1" si="332"/>
        <v>6.2373278260972431E-5</v>
      </c>
      <c r="Y631" s="3">
        <f t="shared" ca="1" si="333"/>
        <v>1.0423016352129882E-4</v>
      </c>
      <c r="Z631" s="3">
        <f t="shared" ca="1" si="334"/>
        <v>1.1925704157723101E-2</v>
      </c>
      <c r="AA631" s="3">
        <f t="shared" ca="1" si="335"/>
        <v>7.9389846081457023E-4</v>
      </c>
      <c r="AB631" s="3">
        <f t="shared" ca="1" si="336"/>
        <v>0.23203865409427302</v>
      </c>
      <c r="AC631" s="3">
        <f t="shared" ca="1" si="337"/>
        <v>1.7148483917646513E-5</v>
      </c>
      <c r="AD631" s="3">
        <f t="shared" ca="1" si="338"/>
        <v>0.16807253331202046</v>
      </c>
      <c r="AE631" s="3">
        <f t="shared" ca="1" si="339"/>
        <v>2.0179511478662104</v>
      </c>
      <c r="AG631" s="3">
        <f t="shared" ca="1" si="340"/>
        <v>6.2373278260972431E-5</v>
      </c>
      <c r="AH631" s="3">
        <f t="shared" ca="1" si="341"/>
        <v>1.0423016352129882E-4</v>
      </c>
      <c r="AI631" s="3">
        <f t="shared" ca="1" si="342"/>
        <v>1.1841747313870159E-2</v>
      </c>
      <c r="AJ631" s="3">
        <f t="shared" ca="1" si="343"/>
        <v>7.4753726588898709E-4</v>
      </c>
      <c r="AK631" s="3">
        <f t="shared" ca="1" si="344"/>
        <v>0.23203865409427302</v>
      </c>
      <c r="AL631" s="3">
        <f t="shared" ca="1" si="345"/>
        <v>1.7148483917646513E-5</v>
      </c>
      <c r="AM631" s="3">
        <f t="shared" ca="1" si="346"/>
        <v>0.16807253331202046</v>
      </c>
      <c r="AN631" s="3">
        <f t="shared" ca="1" si="347"/>
        <v>2.0179511478662104</v>
      </c>
      <c r="AP631" s="3">
        <f t="shared" ca="1" si="348"/>
        <v>8.6958105051435481</v>
      </c>
      <c r="AQ631" s="3">
        <f t="shared" ca="1" si="360"/>
        <v>0.40061127693140014</v>
      </c>
      <c r="AR631" s="3">
        <f t="shared" ca="1" si="349"/>
        <v>3.1931685960663326E-4</v>
      </c>
      <c r="AS631" s="3">
        <f t="shared" ca="1" si="350"/>
        <v>0.16778732066886187</v>
      </c>
      <c r="AT631" s="3">
        <f t="shared" ca="1" si="351"/>
        <v>0.70947933508377048</v>
      </c>
      <c r="AU631" s="3">
        <f t="shared" ca="1" si="352"/>
        <v>5.3404638732090906E-2</v>
      </c>
      <c r="AV631" s="10">
        <f t="shared" ca="1" si="355"/>
        <v>0.70947933508377048</v>
      </c>
      <c r="AW631" s="10">
        <f t="shared" ca="1" si="356"/>
        <v>0.70947933508377048</v>
      </c>
      <c r="AX631" s="10"/>
      <c r="AY631" s="3">
        <f t="shared" ca="1" si="359"/>
        <v>8.6966163277535404</v>
      </c>
      <c r="AZ631" s="3">
        <f t="shared" ca="1" si="361"/>
        <v>0.4006488510301901</v>
      </c>
      <c r="BA631" s="3">
        <f t="shared" ca="1" si="353"/>
        <v>2.9949994668067238E-4</v>
      </c>
      <c r="BB631" s="3">
        <f t="shared" ca="1" si="362"/>
        <v>0.1677730333653398</v>
      </c>
      <c r="BC631" s="3">
        <f t="shared" ca="1" si="363"/>
        <v>0.70945642049074475</v>
      </c>
      <c r="BD631" s="3">
        <f t="shared" ca="1" si="354"/>
        <v>5.3038393655810631E-2</v>
      </c>
      <c r="BE631" s="3">
        <f t="shared" ca="1" si="357"/>
        <v>0.70945642049074475</v>
      </c>
      <c r="BF631" s="3">
        <f t="shared" ca="1" si="358"/>
        <v>0.70945642049074475</v>
      </c>
    </row>
    <row r="632" spans="1:58" ht="15" x14ac:dyDescent="0.25">
      <c r="A632" s="72">
        <v>566</v>
      </c>
      <c r="B632" s="72">
        <v>1498730417.6949999</v>
      </c>
      <c r="C632" s="73">
        <v>1.92646647787357E-4</v>
      </c>
      <c r="D632" s="73">
        <v>5.3858721614383202E-5</v>
      </c>
      <c r="E632" s="73">
        <v>1.24300562386959E-2</v>
      </c>
      <c r="F632" s="73">
        <v>8.1351793759403001E-4</v>
      </c>
      <c r="G632" s="73">
        <v>0.22599097871650201</v>
      </c>
      <c r="H632" s="73">
        <v>1.1899192639761299E-5</v>
      </c>
      <c r="I632" s="73">
        <v>0.16347519457975701</v>
      </c>
      <c r="J632" s="73">
        <v>1.96131634202469</v>
      </c>
      <c r="K632" s="73"/>
      <c r="L632" s="73"/>
      <c r="M632" s="73"/>
      <c r="N632" s="19"/>
      <c r="O632" s="13">
        <f t="shared" ca="1" si="324"/>
        <v>-7.2040581484204586E-5</v>
      </c>
      <c r="P632" s="13">
        <f t="shared" ca="1" si="325"/>
        <v>4.2571246229543031E-5</v>
      </c>
      <c r="Q632" s="13">
        <f t="shared" ca="1" si="326"/>
        <v>1.1589316620723215E-2</v>
      </c>
      <c r="R632" s="13">
        <f t="shared" ca="1" si="327"/>
        <v>8.0374165870334888E-4</v>
      </c>
      <c r="S632" s="13">
        <f t="shared" ca="1" si="328"/>
        <v>0.22485590008326065</v>
      </c>
      <c r="T632" s="13">
        <f t="shared" ca="1" si="329"/>
        <v>1.1549371128737213E-5</v>
      </c>
      <c r="U632" s="13">
        <f t="shared" ca="1" si="330"/>
        <v>0.16282135058496849</v>
      </c>
      <c r="V632" s="13">
        <f t="shared" ca="1" si="331"/>
        <v>1.9541775611022358</v>
      </c>
      <c r="X632" s="3">
        <f t="shared" ca="1" si="332"/>
        <v>-7.2040581484204586E-5</v>
      </c>
      <c r="Y632" s="3">
        <f t="shared" ca="1" si="333"/>
        <v>4.2571246229543031E-5</v>
      </c>
      <c r="Z632" s="3">
        <f t="shared" ca="1" si="334"/>
        <v>1.1589228259391595E-2</v>
      </c>
      <c r="AA632" s="3">
        <f t="shared" ca="1" si="335"/>
        <v>8.0160291283575317E-4</v>
      </c>
      <c r="AB632" s="3">
        <f t="shared" ca="1" si="336"/>
        <v>0.22484034648068363</v>
      </c>
      <c r="AC632" s="3">
        <f t="shared" ca="1" si="337"/>
        <v>1.1549371128737213E-5</v>
      </c>
      <c r="AD632" s="3">
        <f t="shared" ca="1" si="338"/>
        <v>0.16279838165927776</v>
      </c>
      <c r="AE632" s="3">
        <f t="shared" ca="1" si="339"/>
        <v>1.9541682408465184</v>
      </c>
      <c r="AG632" s="3">
        <f t="shared" ca="1" si="340"/>
        <v>-7.2040581484204586E-5</v>
      </c>
      <c r="AH632" s="3">
        <f t="shared" ca="1" si="341"/>
        <v>4.2571246229543031E-5</v>
      </c>
      <c r="AI632" s="3">
        <f t="shared" ca="1" si="342"/>
        <v>1.1554937346362483E-2</v>
      </c>
      <c r="AJ632" s="3">
        <f t="shared" ca="1" si="343"/>
        <v>7.8266737845688271E-4</v>
      </c>
      <c r="AK632" s="3">
        <f t="shared" ca="1" si="344"/>
        <v>0.22484034648068363</v>
      </c>
      <c r="AL632" s="3">
        <f t="shared" ca="1" si="345"/>
        <v>1.1549371128737213E-5</v>
      </c>
      <c r="AM632" s="3">
        <f t="shared" ca="1" si="346"/>
        <v>0.16279838165927776</v>
      </c>
      <c r="AN632" s="3">
        <f t="shared" ca="1" si="347"/>
        <v>1.9541682408465184</v>
      </c>
      <c r="AP632" s="3">
        <f t="shared" ca="1" si="348"/>
        <v>8.6907995759890415</v>
      </c>
      <c r="AQ632" s="3">
        <f t="shared" ca="1" si="360"/>
        <v>0.40037762701781998</v>
      </c>
      <c r="AR632" s="3">
        <f t="shared" ca="1" si="349"/>
        <v>3.218001780470134E-4</v>
      </c>
      <c r="AS632" s="3">
        <f t="shared" ca="1" si="350"/>
        <v>0.16249955040692149</v>
      </c>
      <c r="AT632" s="3">
        <f t="shared" ca="1" si="351"/>
        <v>0.70934598123114923</v>
      </c>
      <c r="AU632" s="3">
        <f t="shared" ca="1" si="352"/>
        <v>5.3529245093879053E-2</v>
      </c>
      <c r="AV632" s="10">
        <f t="shared" ca="1" si="355"/>
        <v>0.70934598123114923</v>
      </c>
      <c r="AW632" s="10">
        <f t="shared" ca="1" si="356"/>
        <v>0.70934598123114923</v>
      </c>
      <c r="AX632" s="10"/>
      <c r="AY632" s="3">
        <f t="shared" ca="1" si="359"/>
        <v>8.6913593197758399</v>
      </c>
      <c r="AZ632" s="3">
        <f t="shared" ca="1" si="361"/>
        <v>0.40040372670457475</v>
      </c>
      <c r="BA632" s="3">
        <f t="shared" ca="1" si="353"/>
        <v>3.1338293510423565E-4</v>
      </c>
      <c r="BB632" s="3">
        <f t="shared" ca="1" si="362"/>
        <v>0.16248499872417352</v>
      </c>
      <c r="BC632" s="3">
        <f t="shared" ca="1" si="363"/>
        <v>0.70930851961293706</v>
      </c>
      <c r="BD632" s="3">
        <f t="shared" ca="1" si="354"/>
        <v>5.3377662125644793E-2</v>
      </c>
      <c r="BE632" s="3">
        <f t="shared" ca="1" si="357"/>
        <v>0.70930851961293706</v>
      </c>
      <c r="BF632" s="3">
        <f t="shared" ca="1" si="358"/>
        <v>0.70930851961293706</v>
      </c>
    </row>
    <row r="633" spans="1:58" ht="15" x14ac:dyDescent="0.25">
      <c r="A633" s="72">
        <v>567</v>
      </c>
      <c r="B633" s="72">
        <v>1498730418.2219999</v>
      </c>
      <c r="C633" s="73">
        <v>2.69724241243925E-4</v>
      </c>
      <c r="D633" s="73">
        <v>-3.7806323348355798E-6</v>
      </c>
      <c r="E633" s="73">
        <v>1.2278575050584301E-2</v>
      </c>
      <c r="F633" s="73">
        <v>8.7329012621889101E-4</v>
      </c>
      <c r="G633" s="73">
        <v>0.22362044388439101</v>
      </c>
      <c r="H633" s="73">
        <v>-4.9245219795796899E-5</v>
      </c>
      <c r="I633" s="73">
        <v>0.16180408416636199</v>
      </c>
      <c r="J633" s="73">
        <v>1.9415431880990699</v>
      </c>
      <c r="K633" s="73"/>
      <c r="L633" s="73"/>
      <c r="M633" s="73"/>
      <c r="N633" s="19"/>
      <c r="O633" s="13">
        <f t="shared" ca="1" si="324"/>
        <v>5.0370119723634212E-6</v>
      </c>
      <c r="P633" s="13">
        <f t="shared" ca="1" si="325"/>
        <v>-1.5068107719675753E-5</v>
      </c>
      <c r="Q633" s="13">
        <f t="shared" ca="1" si="326"/>
        <v>1.1437835432611615E-2</v>
      </c>
      <c r="R633" s="13">
        <f t="shared" ca="1" si="327"/>
        <v>8.6351384732820987E-4</v>
      </c>
      <c r="S633" s="13">
        <f t="shared" ca="1" si="328"/>
        <v>0.22248536525114965</v>
      </c>
      <c r="T633" s="13">
        <f t="shared" ca="1" si="329"/>
        <v>-4.9595041306820989E-5</v>
      </c>
      <c r="U633" s="13">
        <f t="shared" ca="1" si="330"/>
        <v>0.16115024017157348</v>
      </c>
      <c r="V633" s="13">
        <f t="shared" ca="1" si="331"/>
        <v>1.9344044071766158</v>
      </c>
      <c r="X633" s="3">
        <f t="shared" ca="1" si="332"/>
        <v>5.0370119723634212E-6</v>
      </c>
      <c r="Y633" s="3">
        <f t="shared" ca="1" si="333"/>
        <v>-1.5068107719675753E-5</v>
      </c>
      <c r="Z633" s="3">
        <f t="shared" ca="1" si="334"/>
        <v>1.1437835432611615E-2</v>
      </c>
      <c r="AA633" s="3">
        <f t="shared" ca="1" si="335"/>
        <v>8.6351384732820987E-4</v>
      </c>
      <c r="AB633" s="3">
        <f t="shared" ca="1" si="336"/>
        <v>0.22248536525114965</v>
      </c>
      <c r="AC633" s="3">
        <f t="shared" ca="1" si="337"/>
        <v>-4.9595041306820989E-5</v>
      </c>
      <c r="AD633" s="3">
        <f t="shared" ca="1" si="338"/>
        <v>0.16115024017157348</v>
      </c>
      <c r="AE633" s="3">
        <f t="shared" ca="1" si="339"/>
        <v>1.9344044071766158</v>
      </c>
      <c r="AG633" s="3">
        <f t="shared" ca="1" si="340"/>
        <v>5.0370119723634212E-6</v>
      </c>
      <c r="AH633" s="3">
        <f t="shared" ca="1" si="341"/>
        <v>-1.5068107719675753E-5</v>
      </c>
      <c r="AI633" s="3">
        <f t="shared" ca="1" si="342"/>
        <v>1.1437835432611615E-2</v>
      </c>
      <c r="AJ633" s="3">
        <f t="shared" ca="1" si="343"/>
        <v>8.6351384732820987E-4</v>
      </c>
      <c r="AK633" s="3">
        <f t="shared" ca="1" si="344"/>
        <v>0.22248536525114965</v>
      </c>
      <c r="AL633" s="3">
        <f t="shared" ca="1" si="345"/>
        <v>-4.9595041306820989E-5</v>
      </c>
      <c r="AM633" s="3">
        <f t="shared" ca="1" si="346"/>
        <v>0.16115024017157348</v>
      </c>
      <c r="AN633" s="3">
        <f t="shared" ca="1" si="347"/>
        <v>1.9344044071766158</v>
      </c>
      <c r="AP633" s="3">
        <f t="shared" ca="1" si="348"/>
        <v>8.6945242667668907</v>
      </c>
      <c r="AQ633" s="3">
        <f t="shared" ca="1" si="360"/>
        <v>0.40055130197323996</v>
      </c>
      <c r="AR633" s="3">
        <f t="shared" ca="1" si="349"/>
        <v>3.4588159581923599E-4</v>
      </c>
      <c r="AS633" s="3">
        <f t="shared" ca="1" si="350"/>
        <v>0.16080435857575423</v>
      </c>
      <c r="AT633" s="3">
        <f t="shared" ca="1" si="351"/>
        <v>0.70927212194395961</v>
      </c>
      <c r="AU633" s="3">
        <f t="shared" ca="1" si="352"/>
        <v>5.3415880192275167E-2</v>
      </c>
      <c r="AV633" s="10">
        <f t="shared" ca="1" si="355"/>
        <v>0.70927212194395961</v>
      </c>
      <c r="AW633" s="10">
        <f t="shared" ca="1" si="356"/>
        <v>0.70927212194395961</v>
      </c>
      <c r="AX633" s="10"/>
      <c r="AY633" s="3">
        <f t="shared" ca="1" si="359"/>
        <v>8.6945242667668907</v>
      </c>
      <c r="AZ633" s="3">
        <f t="shared" ca="1" si="361"/>
        <v>0.40055130197323996</v>
      </c>
      <c r="BA633" s="3">
        <f t="shared" ca="1" si="353"/>
        <v>3.4588159581923599E-4</v>
      </c>
      <c r="BB633" s="3">
        <f t="shared" ca="1" si="362"/>
        <v>0.16080435857575423</v>
      </c>
      <c r="BC633" s="3">
        <f t="shared" ca="1" si="363"/>
        <v>0.70927212194395961</v>
      </c>
      <c r="BD633" s="3">
        <f t="shared" ca="1" si="354"/>
        <v>5.3415880192275167E-2</v>
      </c>
      <c r="BE633" s="3">
        <f t="shared" ca="1" si="357"/>
        <v>0.70927212194395961</v>
      </c>
      <c r="BF633" s="3">
        <f t="shared" ca="1" si="358"/>
        <v>0.70927212194395961</v>
      </c>
    </row>
    <row r="634" spans="1:58" ht="15" x14ac:dyDescent="0.25">
      <c r="A634" s="72">
        <v>568</v>
      </c>
      <c r="B634" s="72">
        <v>1498730418.7479999</v>
      </c>
      <c r="C634" s="73">
        <v>2.7805088056110798E-4</v>
      </c>
      <c r="D634" s="73">
        <v>8.9530654899720098E-5</v>
      </c>
      <c r="E634" s="73">
        <v>1.1128155371955399E-2</v>
      </c>
      <c r="F634" s="73">
        <v>7.7494177043793396E-4</v>
      </c>
      <c r="G634" s="73">
        <v>0.20240841075803001</v>
      </c>
      <c r="H634" s="73">
        <v>-3.0774711194892002E-6</v>
      </c>
      <c r="I634" s="73">
        <v>0.14635766147247001</v>
      </c>
      <c r="J634" s="73">
        <v>1.75718833924757</v>
      </c>
      <c r="K634" s="73"/>
      <c r="L634" s="73"/>
      <c r="M634" s="73"/>
      <c r="N634" s="19"/>
      <c r="O634" s="13">
        <f t="shared" ca="1" si="324"/>
        <v>1.3363651289546397E-5</v>
      </c>
      <c r="P634" s="13">
        <f t="shared" ca="1" si="325"/>
        <v>7.824317951487992E-5</v>
      </c>
      <c r="Q634" s="13">
        <f t="shared" ca="1" si="326"/>
        <v>1.0287415753982714E-2</v>
      </c>
      <c r="R634" s="13">
        <f t="shared" ca="1" si="327"/>
        <v>7.6516549154725282E-4</v>
      </c>
      <c r="S634" s="13">
        <f t="shared" ca="1" si="328"/>
        <v>0.20127333212478865</v>
      </c>
      <c r="T634" s="13">
        <f t="shared" ca="1" si="329"/>
        <v>-3.4272926305132867E-6</v>
      </c>
      <c r="U634" s="13">
        <f t="shared" ca="1" si="330"/>
        <v>0.14570381747768149</v>
      </c>
      <c r="V634" s="13">
        <f t="shared" ca="1" si="331"/>
        <v>1.7500495583251159</v>
      </c>
      <c r="X634" s="3">
        <f t="shared" ca="1" si="332"/>
        <v>1.3363651289546397E-5</v>
      </c>
      <c r="Y634" s="3">
        <f t="shared" ca="1" si="333"/>
        <v>7.824317951487992E-5</v>
      </c>
      <c r="Z634" s="3">
        <f t="shared" ca="1" si="334"/>
        <v>1.0287415753982714E-2</v>
      </c>
      <c r="AA634" s="3">
        <f t="shared" ca="1" si="335"/>
        <v>7.6516549154725282E-4</v>
      </c>
      <c r="AB634" s="3">
        <f t="shared" ca="1" si="336"/>
        <v>0.20127333212478865</v>
      </c>
      <c r="AC634" s="3">
        <f t="shared" ca="1" si="337"/>
        <v>-3.4272926305132867E-6</v>
      </c>
      <c r="AD634" s="3">
        <f t="shared" ca="1" si="338"/>
        <v>0.14570381747768149</v>
      </c>
      <c r="AE634" s="3">
        <f t="shared" ca="1" si="339"/>
        <v>1.7500495583251159</v>
      </c>
      <c r="AG634" s="3">
        <f t="shared" ca="1" si="340"/>
        <v>1.3363651289546397E-5</v>
      </c>
      <c r="AH634" s="3">
        <f t="shared" ca="1" si="341"/>
        <v>7.824317951487992E-5</v>
      </c>
      <c r="AI634" s="3">
        <f t="shared" ca="1" si="342"/>
        <v>1.0224391287905327E-2</v>
      </c>
      <c r="AJ634" s="3">
        <f t="shared" ca="1" si="343"/>
        <v>7.3036321191401123E-4</v>
      </c>
      <c r="AK634" s="3">
        <f t="shared" ca="1" si="344"/>
        <v>0.20127333212478865</v>
      </c>
      <c r="AL634" s="3">
        <f t="shared" ca="1" si="345"/>
        <v>-3.4272926305132867E-6</v>
      </c>
      <c r="AM634" s="3">
        <f t="shared" ca="1" si="346"/>
        <v>0.14570381747768149</v>
      </c>
      <c r="AN634" s="3">
        <f t="shared" ca="1" si="347"/>
        <v>1.7500495583251159</v>
      </c>
      <c r="AP634" s="3">
        <f t="shared" ca="1" si="348"/>
        <v>8.6948903754427445</v>
      </c>
      <c r="AQ634" s="3">
        <f t="shared" ca="1" si="360"/>
        <v>0.40056837294454978</v>
      </c>
      <c r="AR634" s="3">
        <f t="shared" ca="1" si="349"/>
        <v>3.0650109598239969E-4</v>
      </c>
      <c r="AS634" s="3">
        <f t="shared" ca="1" si="350"/>
        <v>0.14539731638169909</v>
      </c>
      <c r="AT634" s="3">
        <f t="shared" ca="1" si="351"/>
        <v>0.7088877446354872</v>
      </c>
      <c r="AU634" s="3">
        <f t="shared" ca="1" si="352"/>
        <v>5.3108833407286365E-2</v>
      </c>
      <c r="AV634" s="10">
        <f t="shared" ca="1" si="355"/>
        <v>0.7088877446354872</v>
      </c>
      <c r="AW634" s="10">
        <f t="shared" ca="1" si="356"/>
        <v>0.7088877446354872</v>
      </c>
      <c r="AX634" s="10"/>
      <c r="AY634" s="3">
        <f t="shared" ca="1" si="359"/>
        <v>8.6948903754427445</v>
      </c>
      <c r="AZ634" s="3">
        <f t="shared" ca="1" si="361"/>
        <v>0.40056837294454978</v>
      </c>
      <c r="BA634" s="3">
        <f t="shared" ca="1" si="353"/>
        <v>2.925604034549509E-4</v>
      </c>
      <c r="BB634" s="3">
        <f t="shared" ca="1" si="362"/>
        <v>0.14541125707422653</v>
      </c>
      <c r="BC634" s="3">
        <f t="shared" ca="1" si="363"/>
        <v>0.70895571278187641</v>
      </c>
      <c r="BD634" s="3">
        <f t="shared" ca="1" si="354"/>
        <v>5.2783469297432897E-2</v>
      </c>
      <c r="BE634" s="3">
        <f t="shared" ca="1" si="357"/>
        <v>0.70895571278187641</v>
      </c>
      <c r="BF634" s="3">
        <f t="shared" ca="1" si="358"/>
        <v>0.70895571278187641</v>
      </c>
    </row>
    <row r="635" spans="1:58" ht="15" x14ac:dyDescent="0.25">
      <c r="A635" s="72">
        <v>569</v>
      </c>
      <c r="B635" s="72">
        <v>1498730419.2750001</v>
      </c>
      <c r="C635" s="73">
        <v>3.84875926811973E-4</v>
      </c>
      <c r="D635" s="73">
        <v>2.3621265930310301E-5</v>
      </c>
      <c r="E635" s="73">
        <v>1.1174580014338501E-2</v>
      </c>
      <c r="F635" s="73">
        <v>8.4947607669504804E-4</v>
      </c>
      <c r="G635" s="73">
        <v>0.20077113136594099</v>
      </c>
      <c r="H635" s="73">
        <v>1.5088521940601699E-5</v>
      </c>
      <c r="I635" s="73">
        <v>0.145205990045988</v>
      </c>
      <c r="J635" s="73">
        <v>1.7422769095445201</v>
      </c>
      <c r="K635" s="73"/>
      <c r="L635" s="73"/>
      <c r="M635" s="73"/>
      <c r="N635" s="19"/>
      <c r="O635" s="13">
        <f t="shared" ca="1" si="324"/>
        <v>1.2018869754041141E-4</v>
      </c>
      <c r="P635" s="13">
        <f t="shared" ca="1" si="325"/>
        <v>1.2333790545470127E-5</v>
      </c>
      <c r="Q635" s="13">
        <f t="shared" ca="1" si="326"/>
        <v>1.0333840396365816E-2</v>
      </c>
      <c r="R635" s="13">
        <f t="shared" ca="1" si="327"/>
        <v>8.3969979780436691E-4</v>
      </c>
      <c r="S635" s="13">
        <f t="shared" ca="1" si="328"/>
        <v>0.19963605273269963</v>
      </c>
      <c r="T635" s="13">
        <f t="shared" ca="1" si="329"/>
        <v>1.4738700429577613E-5</v>
      </c>
      <c r="U635" s="13">
        <f t="shared" ca="1" si="330"/>
        <v>0.14455214605119948</v>
      </c>
      <c r="V635" s="13">
        <f t="shared" ca="1" si="331"/>
        <v>1.735138128622066</v>
      </c>
      <c r="X635" s="3">
        <f t="shared" ca="1" si="332"/>
        <v>1.2018869754041141E-4</v>
      </c>
      <c r="Y635" s="3">
        <f t="shared" ca="1" si="333"/>
        <v>1.2333790545470127E-5</v>
      </c>
      <c r="Z635" s="3">
        <f t="shared" ca="1" si="334"/>
        <v>1.0333727634278445E-2</v>
      </c>
      <c r="AA635" s="3">
        <f t="shared" ca="1" si="335"/>
        <v>8.3697044273506305E-4</v>
      </c>
      <c r="AB635" s="3">
        <f t="shared" ca="1" si="336"/>
        <v>0.19961620404254773</v>
      </c>
      <c r="AC635" s="3">
        <f t="shared" ca="1" si="337"/>
        <v>1.4738700429577613E-5</v>
      </c>
      <c r="AD635" s="3">
        <f t="shared" ca="1" si="338"/>
        <v>0.14452283431541998</v>
      </c>
      <c r="AE635" s="3">
        <f t="shared" ca="1" si="339"/>
        <v>1.7351262346015677</v>
      </c>
      <c r="AG635" s="3">
        <f t="shared" ca="1" si="340"/>
        <v>1.2018869754041141E-4</v>
      </c>
      <c r="AH635" s="3">
        <f t="shared" ca="1" si="341"/>
        <v>1.2333790545470127E-5</v>
      </c>
      <c r="AI635" s="3">
        <f t="shared" ca="1" si="342"/>
        <v>1.032379283141565E-2</v>
      </c>
      <c r="AJ635" s="3">
        <f t="shared" ca="1" si="343"/>
        <v>8.3148441788072217E-4</v>
      </c>
      <c r="AK635" s="3">
        <f t="shared" ca="1" si="344"/>
        <v>0.19961620404254773</v>
      </c>
      <c r="AL635" s="3">
        <f t="shared" ca="1" si="345"/>
        <v>1.4738700429577613E-5</v>
      </c>
      <c r="AM635" s="3">
        <f t="shared" ca="1" si="346"/>
        <v>0.14452283431541998</v>
      </c>
      <c r="AN635" s="3">
        <f t="shared" ca="1" si="347"/>
        <v>1.7351262346015677</v>
      </c>
      <c r="AP635" s="3">
        <f t="shared" ca="1" si="348"/>
        <v>8.691506894024343</v>
      </c>
      <c r="AQ635" s="3">
        <f t="shared" ca="1" si="360"/>
        <v>0.40041060778776089</v>
      </c>
      <c r="AR635" s="3">
        <f t="shared" ca="1" si="349"/>
        <v>3.362247063981065E-4</v>
      </c>
      <c r="AS635" s="3">
        <f t="shared" ca="1" si="350"/>
        <v>0.14421592134480138</v>
      </c>
      <c r="AT635" s="3">
        <f t="shared" ca="1" si="351"/>
        <v>0.70903336437500786</v>
      </c>
      <c r="AU635" s="3">
        <f t="shared" ca="1" si="352"/>
        <v>5.3764612506076746E-2</v>
      </c>
      <c r="AV635" s="10">
        <f t="shared" ca="1" si="355"/>
        <v>0.70903336437500786</v>
      </c>
      <c r="AW635" s="10">
        <f t="shared" ca="1" si="356"/>
        <v>0.70903336437500786</v>
      </c>
      <c r="AX635" s="10"/>
      <c r="AY635" s="3">
        <f t="shared" ca="1" si="359"/>
        <v>8.6923115431637488</v>
      </c>
      <c r="AZ635" s="3">
        <f t="shared" ca="1" si="361"/>
        <v>0.40044812694438031</v>
      </c>
      <c r="BA635" s="3">
        <f t="shared" ca="1" si="353"/>
        <v>3.3296637772377362E-4</v>
      </c>
      <c r="BB635" s="3">
        <f t="shared" ca="1" si="362"/>
        <v>0.1441898679376962</v>
      </c>
      <c r="BC635" s="3">
        <f t="shared" ca="1" si="363"/>
        <v>0.7089427114271154</v>
      </c>
      <c r="BD635" s="3">
        <f t="shared" ca="1" si="354"/>
        <v>5.3722766916151451E-2</v>
      </c>
      <c r="BE635" s="3">
        <f t="shared" ca="1" si="357"/>
        <v>0.7089427114271154</v>
      </c>
      <c r="BF635" s="3">
        <f t="shared" ca="1" si="358"/>
        <v>0.7089427114271154</v>
      </c>
    </row>
    <row r="636" spans="1:58" ht="15" x14ac:dyDescent="0.25">
      <c r="A636" s="72">
        <v>570</v>
      </c>
      <c r="B636" s="72">
        <v>1498730419.802</v>
      </c>
      <c r="C636" s="73">
        <v>3.4419065317484301E-4</v>
      </c>
      <c r="D636" s="73">
        <v>-7.3239259914628902E-6</v>
      </c>
      <c r="E636" s="73">
        <v>1.0891014048291099E-2</v>
      </c>
      <c r="F636" s="73">
        <v>7.3446220904312197E-4</v>
      </c>
      <c r="G636" s="73">
        <v>0.19838017591520399</v>
      </c>
      <c r="H636" s="73">
        <v>6.2657134137779897E-5</v>
      </c>
      <c r="I636" s="73">
        <v>0.14355852356483501</v>
      </c>
      <c r="J636" s="73">
        <v>1.72233363820542</v>
      </c>
      <c r="K636" s="73"/>
      <c r="L636" s="73"/>
      <c r="M636" s="73"/>
      <c r="N636" s="19"/>
      <c r="O636" s="13">
        <f t="shared" ca="1" si="324"/>
        <v>7.9503423903281429E-5</v>
      </c>
      <c r="P636" s="13">
        <f t="shared" ca="1" si="325"/>
        <v>-1.8611401376303063E-5</v>
      </c>
      <c r="Q636" s="13">
        <f t="shared" ca="1" si="326"/>
        <v>1.0050274430318414E-2</v>
      </c>
      <c r="R636" s="13">
        <f t="shared" ca="1" si="327"/>
        <v>7.2468593015244083E-4</v>
      </c>
      <c r="S636" s="13">
        <f t="shared" ca="1" si="328"/>
        <v>0.19724509728196263</v>
      </c>
      <c r="T636" s="13">
        <f t="shared" ca="1" si="329"/>
        <v>6.2307312626755807E-5</v>
      </c>
      <c r="U636" s="13">
        <f t="shared" ca="1" si="330"/>
        <v>0.14290467957004649</v>
      </c>
      <c r="V636" s="13">
        <f t="shared" ca="1" si="331"/>
        <v>1.7151948572829658</v>
      </c>
      <c r="X636" s="3">
        <f t="shared" ca="1" si="332"/>
        <v>7.9503423903281429E-5</v>
      </c>
      <c r="Y636" s="3">
        <f t="shared" ca="1" si="333"/>
        <v>-1.8611401376303063E-5</v>
      </c>
      <c r="Z636" s="3">
        <f t="shared" ca="1" si="334"/>
        <v>1.0049797732751773E-2</v>
      </c>
      <c r="AA636" s="3">
        <f t="shared" ca="1" si="335"/>
        <v>7.1314768223261309E-4</v>
      </c>
      <c r="AB636" s="3">
        <f t="shared" ca="1" si="336"/>
        <v>0.19716118767619825</v>
      </c>
      <c r="AC636" s="3">
        <f t="shared" ca="1" si="337"/>
        <v>6.2307312626755807E-5</v>
      </c>
      <c r="AD636" s="3">
        <f t="shared" ca="1" si="338"/>
        <v>0.14278076528780889</v>
      </c>
      <c r="AE636" s="3">
        <f t="shared" ca="1" si="339"/>
        <v>1.7151445757498611</v>
      </c>
      <c r="AG636" s="3">
        <f t="shared" ca="1" si="340"/>
        <v>7.9503423903281429E-5</v>
      </c>
      <c r="AH636" s="3">
        <f t="shared" ca="1" si="341"/>
        <v>-1.8611401376303063E-5</v>
      </c>
      <c r="AI636" s="3">
        <f t="shared" ca="1" si="342"/>
        <v>1.0049797732751773E-2</v>
      </c>
      <c r="AJ636" s="3">
        <f t="shared" ca="1" si="343"/>
        <v>7.1314768223261309E-4</v>
      </c>
      <c r="AK636" s="3">
        <f t="shared" ca="1" si="344"/>
        <v>0.19716118767619825</v>
      </c>
      <c r="AL636" s="3">
        <f t="shared" ca="1" si="345"/>
        <v>6.2307312626755807E-5</v>
      </c>
      <c r="AM636" s="3">
        <f t="shared" ca="1" si="346"/>
        <v>0.14278076528780889</v>
      </c>
      <c r="AN636" s="3">
        <f t="shared" ca="1" si="347"/>
        <v>1.7151445757498611</v>
      </c>
      <c r="AP636" s="3">
        <f t="shared" ca="1" si="348"/>
        <v>8.695754069015404</v>
      </c>
      <c r="AQ636" s="3">
        <f t="shared" ca="1" si="360"/>
        <v>0.40060864541504315</v>
      </c>
      <c r="AR636" s="3">
        <f t="shared" ca="1" si="349"/>
        <v>2.9031544882970992E-4</v>
      </c>
      <c r="AS636" s="3">
        <f t="shared" ca="1" si="350"/>
        <v>0.14261436412121678</v>
      </c>
      <c r="AT636" s="3">
        <f t="shared" ca="1" si="351"/>
        <v>0.70948406022841237</v>
      </c>
      <c r="AU636" s="3">
        <f t="shared" ca="1" si="352"/>
        <v>5.2949583808169637E-2</v>
      </c>
      <c r="AV636" s="10">
        <f t="shared" ca="1" si="355"/>
        <v>0.70948406022841237</v>
      </c>
      <c r="AW636" s="10">
        <f t="shared" ca="1" si="356"/>
        <v>0.70948406022841237</v>
      </c>
      <c r="AX636" s="10"/>
      <c r="AY636" s="3">
        <f t="shared" ca="1" si="359"/>
        <v>8.6991998575636362</v>
      </c>
      <c r="AZ636" s="3">
        <f t="shared" ca="1" si="361"/>
        <v>0.40076931679092342</v>
      </c>
      <c r="BA636" s="3">
        <f t="shared" ca="1" si="353"/>
        <v>2.8580770937939492E-4</v>
      </c>
      <c r="BB636" s="3">
        <f t="shared" ca="1" si="362"/>
        <v>0.1424949575784295</v>
      </c>
      <c r="BC636" s="3">
        <f t="shared" ca="1" si="363"/>
        <v>0.70905024695234375</v>
      </c>
      <c r="BD636" s="3">
        <f t="shared" ca="1" si="354"/>
        <v>5.2991083937542011E-2</v>
      </c>
      <c r="BE636" s="3">
        <f t="shared" ca="1" si="357"/>
        <v>0.70905024695234375</v>
      </c>
      <c r="BF636" s="3">
        <f t="shared" ca="1" si="358"/>
        <v>0.70905024695234375</v>
      </c>
    </row>
    <row r="637" spans="1:58" ht="15" x14ac:dyDescent="0.25">
      <c r="A637" s="72">
        <v>571</v>
      </c>
      <c r="B637" s="72">
        <v>1498730420.329</v>
      </c>
      <c r="C637" s="73">
        <v>2.13104935172265E-4</v>
      </c>
      <c r="D637" s="73">
        <v>1.7479395343899399E-5</v>
      </c>
      <c r="E637" s="73">
        <v>1.0697936935011801E-2</v>
      </c>
      <c r="F637" s="73">
        <v>8.11136649571122E-4</v>
      </c>
      <c r="G637" s="73">
        <v>0.195143884550151</v>
      </c>
      <c r="H637" s="73">
        <v>-7.6125446244399003E-6</v>
      </c>
      <c r="I637" s="73">
        <v>0.141150308634238</v>
      </c>
      <c r="J637" s="73">
        <v>1.6938143550131199</v>
      </c>
      <c r="K637" s="73"/>
      <c r="L637" s="73"/>
      <c r="M637" s="73"/>
      <c r="N637" s="19"/>
      <c r="O637" s="13">
        <f t="shared" ca="1" si="324"/>
        <v>-5.1582294099296588E-5</v>
      </c>
      <c r="P637" s="13">
        <f t="shared" ca="1" si="325"/>
        <v>6.1919199590592254E-6</v>
      </c>
      <c r="Q637" s="13">
        <f t="shared" ca="1" si="326"/>
        <v>9.8571973170391153E-3</v>
      </c>
      <c r="R637" s="13">
        <f t="shared" ca="1" si="327"/>
        <v>8.0136037068044086E-4</v>
      </c>
      <c r="S637" s="13">
        <f t="shared" ca="1" si="328"/>
        <v>0.19400880591690964</v>
      </c>
      <c r="T637" s="13">
        <f t="shared" ca="1" si="329"/>
        <v>-7.9623661354639876E-6</v>
      </c>
      <c r="U637" s="13">
        <f t="shared" ca="1" si="330"/>
        <v>0.14049646463944948</v>
      </c>
      <c r="V637" s="13">
        <f t="shared" ca="1" si="331"/>
        <v>1.6866755740906658</v>
      </c>
      <c r="X637" s="3">
        <f t="shared" ca="1" si="332"/>
        <v>-5.1582294099296588E-5</v>
      </c>
      <c r="Y637" s="3">
        <f t="shared" ca="1" si="333"/>
        <v>6.1919199590592254E-6</v>
      </c>
      <c r="Z637" s="3">
        <f t="shared" ca="1" si="334"/>
        <v>9.8571973170391153E-3</v>
      </c>
      <c r="AA637" s="3">
        <f t="shared" ca="1" si="335"/>
        <v>8.0136037068044086E-4</v>
      </c>
      <c r="AB637" s="3">
        <f t="shared" ca="1" si="336"/>
        <v>0.19400880591690964</v>
      </c>
      <c r="AC637" s="3">
        <f t="shared" ca="1" si="337"/>
        <v>-7.9623661354639876E-6</v>
      </c>
      <c r="AD637" s="3">
        <f t="shared" ca="1" si="338"/>
        <v>0.14049646463944948</v>
      </c>
      <c r="AE637" s="3">
        <f t="shared" ca="1" si="339"/>
        <v>1.6866755740906658</v>
      </c>
      <c r="AG637" s="3">
        <f t="shared" ca="1" si="340"/>
        <v>-5.1582294099296588E-5</v>
      </c>
      <c r="AH637" s="3">
        <f t="shared" ca="1" si="341"/>
        <v>6.1919199590592254E-6</v>
      </c>
      <c r="AI637" s="3">
        <f t="shared" ca="1" si="342"/>
        <v>9.852209758355622E-3</v>
      </c>
      <c r="AJ637" s="3">
        <f t="shared" ca="1" si="343"/>
        <v>7.986062273644621E-4</v>
      </c>
      <c r="AK637" s="3">
        <f t="shared" ca="1" si="344"/>
        <v>0.19400880591690964</v>
      </c>
      <c r="AL637" s="3">
        <f t="shared" ca="1" si="345"/>
        <v>-7.9623661354639876E-6</v>
      </c>
      <c r="AM637" s="3">
        <f t="shared" ca="1" si="346"/>
        <v>0.14049646463944948</v>
      </c>
      <c r="AN637" s="3">
        <f t="shared" ca="1" si="347"/>
        <v>1.6866755740906658</v>
      </c>
      <c r="AP637" s="3">
        <f t="shared" ca="1" si="348"/>
        <v>8.6938093666379128</v>
      </c>
      <c r="AQ637" s="3">
        <f t="shared" ca="1" si="360"/>
        <v>0.40051796752586399</v>
      </c>
      <c r="AR637" s="3">
        <f t="shared" ca="1" si="349"/>
        <v>3.2095922692070315E-4</v>
      </c>
      <c r="AS637" s="3">
        <f t="shared" ca="1" si="350"/>
        <v>0.14017550541252877</v>
      </c>
      <c r="AT637" s="3">
        <f t="shared" ca="1" si="351"/>
        <v>0.70906360589937456</v>
      </c>
      <c r="AU637" s="3">
        <f t="shared" ca="1" si="352"/>
        <v>5.2786572149010509E-2</v>
      </c>
      <c r="AV637" s="10">
        <f t="shared" ca="1" si="355"/>
        <v>0.70906360589937456</v>
      </c>
      <c r="AW637" s="10">
        <f t="shared" ca="1" si="356"/>
        <v>0.70906360589937456</v>
      </c>
      <c r="AX637" s="10"/>
      <c r="AY637" s="3">
        <f t="shared" ca="1" si="359"/>
        <v>8.6938093666379128</v>
      </c>
      <c r="AZ637" s="3">
        <f t="shared" ca="1" si="361"/>
        <v>0.40051796752586399</v>
      </c>
      <c r="BA637" s="3">
        <f t="shared" ca="1" si="353"/>
        <v>3.1985614303751237E-4</v>
      </c>
      <c r="BB637" s="3">
        <f t="shared" ca="1" si="362"/>
        <v>0.14017660849641198</v>
      </c>
      <c r="BC637" s="3">
        <f t="shared" ca="1" si="363"/>
        <v>0.70906918573754629</v>
      </c>
      <c r="BD637" s="3">
        <f t="shared" ca="1" si="354"/>
        <v>5.2759863124342964E-2</v>
      </c>
      <c r="BE637" s="3">
        <f t="shared" ca="1" si="357"/>
        <v>0.70906918573754629</v>
      </c>
      <c r="BF637" s="3">
        <f t="shared" ca="1" si="358"/>
        <v>0.70906918573754629</v>
      </c>
    </row>
    <row r="638" spans="1:58" ht="15" x14ac:dyDescent="0.25">
      <c r="A638" s="72">
        <v>572</v>
      </c>
      <c r="B638" s="72">
        <v>1498730420.8559999</v>
      </c>
      <c r="C638" s="73">
        <v>2.4236577233869999E-4</v>
      </c>
      <c r="D638" s="73">
        <v>-2.3386698526808901E-5</v>
      </c>
      <c r="E638" s="73">
        <v>1.05117450595523E-2</v>
      </c>
      <c r="F638" s="73">
        <v>6.7469832577164495E-4</v>
      </c>
      <c r="G638" s="73">
        <v>0.19020113540651201</v>
      </c>
      <c r="H638" s="73">
        <v>-6.4079359510952596E-6</v>
      </c>
      <c r="I638" s="73">
        <v>0.13748837493519001</v>
      </c>
      <c r="J638" s="73">
        <v>1.6514132158677901</v>
      </c>
      <c r="K638" s="73"/>
      <c r="L638" s="73"/>
      <c r="M638" s="73"/>
      <c r="N638" s="19"/>
      <c r="O638" s="13">
        <f t="shared" ca="1" si="324"/>
        <v>-2.2321456932861589E-5</v>
      </c>
      <c r="P638" s="13">
        <f t="shared" ca="1" si="325"/>
        <v>-3.4674173911649073E-5</v>
      </c>
      <c r="Q638" s="13">
        <f t="shared" ca="1" si="326"/>
        <v>9.6710054415796148E-3</v>
      </c>
      <c r="R638" s="13">
        <f t="shared" ca="1" si="327"/>
        <v>6.6492204688096382E-4</v>
      </c>
      <c r="S638" s="13">
        <f t="shared" ca="1" si="328"/>
        <v>0.18906605677327065</v>
      </c>
      <c r="T638" s="13">
        <f t="shared" ca="1" si="329"/>
        <v>-6.7577574621193461E-6</v>
      </c>
      <c r="U638" s="13">
        <f t="shared" ca="1" si="330"/>
        <v>0.13683453094040149</v>
      </c>
      <c r="V638" s="13">
        <f t="shared" ca="1" si="331"/>
        <v>1.644274434945336</v>
      </c>
      <c r="X638" s="3">
        <f t="shared" ca="1" si="332"/>
        <v>-2.2321456932861589E-5</v>
      </c>
      <c r="Y638" s="3">
        <f t="shared" ca="1" si="333"/>
        <v>-3.4674173911649073E-5</v>
      </c>
      <c r="Z638" s="3">
        <f t="shared" ca="1" si="334"/>
        <v>9.6710054415796148E-3</v>
      </c>
      <c r="AA638" s="3">
        <f t="shared" ca="1" si="335"/>
        <v>6.6492204688096382E-4</v>
      </c>
      <c r="AB638" s="3">
        <f t="shared" ca="1" si="336"/>
        <v>0.18906605677327065</v>
      </c>
      <c r="AC638" s="3">
        <f t="shared" ca="1" si="337"/>
        <v>-6.7577574621193461E-6</v>
      </c>
      <c r="AD638" s="3">
        <f t="shared" ca="1" si="338"/>
        <v>0.13683453094040149</v>
      </c>
      <c r="AE638" s="3">
        <f t="shared" ca="1" si="339"/>
        <v>1.644274434945336</v>
      </c>
      <c r="AG638" s="3">
        <f t="shared" ca="1" si="340"/>
        <v>-2.2321456932861589E-5</v>
      </c>
      <c r="AH638" s="3">
        <f t="shared" ca="1" si="341"/>
        <v>-3.4674173911649073E-5</v>
      </c>
      <c r="AI638" s="3">
        <f t="shared" ca="1" si="342"/>
        <v>9.6710054415796148E-3</v>
      </c>
      <c r="AJ638" s="3">
        <f t="shared" ca="1" si="343"/>
        <v>6.6492204688096382E-4</v>
      </c>
      <c r="AK638" s="3">
        <f t="shared" ca="1" si="344"/>
        <v>0.18906605677327065</v>
      </c>
      <c r="AL638" s="3">
        <f t="shared" ca="1" si="345"/>
        <v>-6.7577574621193461E-6</v>
      </c>
      <c r="AM638" s="3">
        <f t="shared" ca="1" si="346"/>
        <v>0.13683453094040149</v>
      </c>
      <c r="AN638" s="3">
        <f t="shared" ca="1" si="347"/>
        <v>1.644274434945336</v>
      </c>
      <c r="AP638" s="3">
        <f t="shared" ca="1" si="348"/>
        <v>8.6968251361859288</v>
      </c>
      <c r="AQ638" s="3">
        <f t="shared" ca="1" si="360"/>
        <v>0.40065858740904159</v>
      </c>
      <c r="AR638" s="3">
        <f t="shared" ca="1" si="349"/>
        <v>2.6640672804045552E-4</v>
      </c>
      <c r="AS638" s="3">
        <f t="shared" ca="1" si="350"/>
        <v>0.13656812421236103</v>
      </c>
      <c r="AT638" s="3">
        <f t="shared" ca="1" si="351"/>
        <v>0.70875221807814381</v>
      </c>
      <c r="AU638" s="3">
        <f t="shared" ca="1" si="352"/>
        <v>5.3162285264383519E-2</v>
      </c>
      <c r="AV638" s="10">
        <f t="shared" ca="1" si="355"/>
        <v>0.70875221807814381</v>
      </c>
      <c r="AW638" s="10">
        <f t="shared" ca="1" si="356"/>
        <v>0.70875221807814381</v>
      </c>
      <c r="AX638" s="10"/>
      <c r="AY638" s="3">
        <f t="shared" ca="1" si="359"/>
        <v>8.6968251361859288</v>
      </c>
      <c r="AZ638" s="3">
        <f t="shared" ca="1" si="361"/>
        <v>0.40065858740904159</v>
      </c>
      <c r="BA638" s="3">
        <f t="shared" ca="1" si="353"/>
        <v>2.6640672804045552E-4</v>
      </c>
      <c r="BB638" s="3">
        <f t="shared" ca="1" si="362"/>
        <v>0.13656812421236103</v>
      </c>
      <c r="BC638" s="3">
        <f t="shared" ca="1" si="363"/>
        <v>0.70875221807814381</v>
      </c>
      <c r="BD638" s="3">
        <f t="shared" ca="1" si="354"/>
        <v>5.3162285264383519E-2</v>
      </c>
      <c r="BE638" s="3">
        <f t="shared" ca="1" si="357"/>
        <v>0.70875221807814381</v>
      </c>
      <c r="BF638" s="3">
        <f t="shared" ca="1" si="358"/>
        <v>0.70875221807814381</v>
      </c>
    </row>
    <row r="639" spans="1:58" ht="15" x14ac:dyDescent="0.25">
      <c r="A639" s="72">
        <v>573</v>
      </c>
      <c r="B639" s="72">
        <v>1498730421.382</v>
      </c>
      <c r="C639" s="73">
        <v>2.64252487497463E-4</v>
      </c>
      <c r="D639" s="73">
        <v>2.1022777580787E-5</v>
      </c>
      <c r="E639" s="73">
        <v>1.0510781672069799E-2</v>
      </c>
      <c r="F639" s="73">
        <v>6.7350784648843203E-4</v>
      </c>
      <c r="G639" s="73">
        <v>0.19193460973769999</v>
      </c>
      <c r="H639" s="73">
        <v>-4.48773253636347E-5</v>
      </c>
      <c r="I639" s="73">
        <v>0.13897428580326401</v>
      </c>
      <c r="J639" s="73">
        <v>1.6652272386501901</v>
      </c>
      <c r="K639" s="73"/>
      <c r="L639" s="73"/>
      <c r="M639" s="73"/>
      <c r="N639" s="19"/>
      <c r="O639" s="13">
        <f t="shared" ca="1" si="324"/>
        <v>-4.3474177409858232E-7</v>
      </c>
      <c r="P639" s="13">
        <f t="shared" ca="1" si="325"/>
        <v>9.7353021959468272E-6</v>
      </c>
      <c r="Q639" s="13">
        <f t="shared" ca="1" si="326"/>
        <v>9.6700420540971142E-3</v>
      </c>
      <c r="R639" s="13">
        <f t="shared" ca="1" si="327"/>
        <v>6.637315675977509E-4</v>
      </c>
      <c r="S639" s="13">
        <f t="shared" ca="1" si="328"/>
        <v>0.19079953110445863</v>
      </c>
      <c r="T639" s="13">
        <f t="shared" ca="1" si="329"/>
        <v>-4.522714687465879E-5</v>
      </c>
      <c r="U639" s="13">
        <f t="shared" ca="1" si="330"/>
        <v>0.1383204418084755</v>
      </c>
      <c r="V639" s="13">
        <f t="shared" ca="1" si="331"/>
        <v>1.6580884577277359</v>
      </c>
      <c r="X639" s="3">
        <f t="shared" ca="1" si="332"/>
        <v>-4.3474177409858232E-7</v>
      </c>
      <c r="Y639" s="3">
        <f t="shared" ca="1" si="333"/>
        <v>9.7353021959468272E-6</v>
      </c>
      <c r="Z639" s="3">
        <f t="shared" ca="1" si="334"/>
        <v>9.6700420540971142E-3</v>
      </c>
      <c r="AA639" s="3">
        <f t="shared" ca="1" si="335"/>
        <v>6.637315675977509E-4</v>
      </c>
      <c r="AB639" s="3">
        <f t="shared" ca="1" si="336"/>
        <v>0.19079953110445863</v>
      </c>
      <c r="AC639" s="3">
        <f t="shared" ca="1" si="337"/>
        <v>-4.522714687465879E-5</v>
      </c>
      <c r="AD639" s="3">
        <f t="shared" ca="1" si="338"/>
        <v>0.1383204418084755</v>
      </c>
      <c r="AE639" s="3">
        <f t="shared" ca="1" si="339"/>
        <v>1.6580884577277359</v>
      </c>
      <c r="AG639" s="3">
        <f t="shared" ca="1" si="340"/>
        <v>-4.3474177409858232E-7</v>
      </c>
      <c r="AH639" s="3">
        <f t="shared" ca="1" si="341"/>
        <v>9.7353021959468272E-6</v>
      </c>
      <c r="AI639" s="3">
        <f t="shared" ca="1" si="342"/>
        <v>9.6622003198168129E-3</v>
      </c>
      <c r="AJ639" s="3">
        <f t="shared" ca="1" si="343"/>
        <v>6.5940134084267613E-4</v>
      </c>
      <c r="AK639" s="3">
        <f t="shared" ca="1" si="344"/>
        <v>0.19079953110445863</v>
      </c>
      <c r="AL639" s="3">
        <f t="shared" ca="1" si="345"/>
        <v>-4.522714687465879E-5</v>
      </c>
      <c r="AM639" s="3">
        <f t="shared" ca="1" si="346"/>
        <v>0.1383204418084755</v>
      </c>
      <c r="AN639" s="3">
        <f t="shared" ca="1" si="347"/>
        <v>1.6580884577277359</v>
      </c>
      <c r="AP639" s="3">
        <f t="shared" ca="1" si="348"/>
        <v>8.6902124346415093</v>
      </c>
      <c r="AQ639" s="3">
        <f t="shared" ca="1" si="360"/>
        <v>0.40035024986179091</v>
      </c>
      <c r="AR639" s="3">
        <f t="shared" ca="1" si="349"/>
        <v>2.6572509892891776E-4</v>
      </c>
      <c r="AS639" s="3">
        <f t="shared" ca="1" si="350"/>
        <v>0.13805471670954658</v>
      </c>
      <c r="AT639" s="3">
        <f t="shared" ca="1" si="351"/>
        <v>0.7102299114801004</v>
      </c>
      <c r="AU639" s="3">
        <f t="shared" ca="1" si="352"/>
        <v>5.2633059337061083E-2</v>
      </c>
      <c r="AV639" s="10" t="str">
        <f t="shared" ca="1" si="355"/>
        <v>rejected</v>
      </c>
      <c r="AW639" s="10" t="e">
        <f t="shared" ca="1" si="356"/>
        <v>#N/A</v>
      </c>
      <c r="AX639" s="10"/>
      <c r="AY639" s="3">
        <f t="shared" ca="1" si="359"/>
        <v>8.6902124346415093</v>
      </c>
      <c r="AZ639" s="3">
        <f t="shared" ca="1" si="361"/>
        <v>0.40035024986179091</v>
      </c>
      <c r="BA639" s="3">
        <f t="shared" ca="1" si="353"/>
        <v>2.6399149156556531E-4</v>
      </c>
      <c r="BB639" s="3">
        <f t="shared" ca="1" si="362"/>
        <v>0.13805645031690994</v>
      </c>
      <c r="BC639" s="3">
        <f t="shared" ca="1" si="363"/>
        <v>0.71023883011637423</v>
      </c>
      <c r="BD639" s="3">
        <f t="shared" ca="1" si="354"/>
        <v>5.2590377571731461E-2</v>
      </c>
      <c r="BE639" s="3" t="str">
        <f t="shared" ca="1" si="357"/>
        <v>rejected</v>
      </c>
      <c r="BF639" s="3" t="e">
        <f t="shared" ca="1" si="358"/>
        <v>#N/A</v>
      </c>
    </row>
    <row r="640" spans="1:58" ht="15" x14ac:dyDescent="0.25">
      <c r="A640" s="72">
        <v>574</v>
      </c>
      <c r="B640" s="72">
        <v>1498730421.9089999</v>
      </c>
      <c r="C640" s="73">
        <v>2.59732365712927E-4</v>
      </c>
      <c r="D640" s="73">
        <v>-9.9223332974867194E-6</v>
      </c>
      <c r="E640" s="73">
        <v>1.05274002348983E-2</v>
      </c>
      <c r="F640" s="73">
        <v>7.3946253665839695E-4</v>
      </c>
      <c r="G640" s="73">
        <v>0.191140205917876</v>
      </c>
      <c r="H640" s="73">
        <v>-3.5735048847897601E-6</v>
      </c>
      <c r="I640" s="73">
        <v>0.138093561982056</v>
      </c>
      <c r="J640" s="73">
        <v>1.6585336374280499</v>
      </c>
      <c r="K640" s="73"/>
      <c r="L640" s="73"/>
      <c r="M640" s="73"/>
      <c r="N640" s="19"/>
      <c r="O640" s="13">
        <f t="shared" ca="1" si="324"/>
        <v>-4.9548635586345877E-6</v>
      </c>
      <c r="P640" s="13">
        <f t="shared" ca="1" si="325"/>
        <v>-2.1209808682326893E-5</v>
      </c>
      <c r="Q640" s="13">
        <f t="shared" ca="1" si="326"/>
        <v>9.6866606169256145E-3</v>
      </c>
      <c r="R640" s="13">
        <f t="shared" ca="1" si="327"/>
        <v>7.2968625776771582E-4</v>
      </c>
      <c r="S640" s="13">
        <f t="shared" ca="1" si="328"/>
        <v>0.19000512728463465</v>
      </c>
      <c r="T640" s="13">
        <f t="shared" ca="1" si="329"/>
        <v>-3.9233263958138465E-6</v>
      </c>
      <c r="U640" s="13">
        <f t="shared" ca="1" si="330"/>
        <v>0.13743971798726748</v>
      </c>
      <c r="V640" s="13">
        <f t="shared" ca="1" si="331"/>
        <v>1.6513948565055958</v>
      </c>
      <c r="X640" s="3">
        <f t="shared" ca="1" si="332"/>
        <v>-4.9548635586345877E-6</v>
      </c>
      <c r="Y640" s="3">
        <f t="shared" ca="1" si="333"/>
        <v>-2.1209808682326893E-5</v>
      </c>
      <c r="Z640" s="3">
        <f t="shared" ca="1" si="334"/>
        <v>9.6866606169256145E-3</v>
      </c>
      <c r="AA640" s="3">
        <f t="shared" ca="1" si="335"/>
        <v>7.2968625776771582E-4</v>
      </c>
      <c r="AB640" s="3">
        <f t="shared" ca="1" si="336"/>
        <v>0.19000512728463465</v>
      </c>
      <c r="AC640" s="3">
        <f t="shared" ca="1" si="337"/>
        <v>-3.9233263958138465E-6</v>
      </c>
      <c r="AD640" s="3">
        <f t="shared" ca="1" si="338"/>
        <v>0.13743971798726748</v>
      </c>
      <c r="AE640" s="3">
        <f t="shared" ca="1" si="339"/>
        <v>1.6513948565055958</v>
      </c>
      <c r="AG640" s="3">
        <f t="shared" ca="1" si="340"/>
        <v>-4.9548635586345877E-6</v>
      </c>
      <c r="AH640" s="3">
        <f t="shared" ca="1" si="341"/>
        <v>-2.1209808682326893E-5</v>
      </c>
      <c r="AI640" s="3">
        <f t="shared" ca="1" si="342"/>
        <v>9.6866606169256145E-3</v>
      </c>
      <c r="AJ640" s="3">
        <f t="shared" ca="1" si="343"/>
        <v>7.2968625776771582E-4</v>
      </c>
      <c r="AK640" s="3">
        <f t="shared" ca="1" si="344"/>
        <v>0.19000512728463465</v>
      </c>
      <c r="AL640" s="3">
        <f t="shared" ca="1" si="345"/>
        <v>-3.9233263958138465E-6</v>
      </c>
      <c r="AM640" s="3">
        <f t="shared" ca="1" si="346"/>
        <v>0.13743971798726748</v>
      </c>
      <c r="AN640" s="3">
        <f t="shared" ca="1" si="347"/>
        <v>1.6513948565055958</v>
      </c>
      <c r="AP640" s="3">
        <f t="shared" ca="1" si="348"/>
        <v>8.6913173349882591</v>
      </c>
      <c r="AQ640" s="3">
        <f t="shared" ca="1" si="360"/>
        <v>0.4004017690406827</v>
      </c>
      <c r="AR640" s="3">
        <f t="shared" ca="1" si="349"/>
        <v>2.9216766845486901E-4</v>
      </c>
      <c r="AS640" s="3">
        <f t="shared" ca="1" si="350"/>
        <v>0.13714755031881262</v>
      </c>
      <c r="AT640" s="3">
        <f t="shared" ca="1" si="351"/>
        <v>0.70846751499389227</v>
      </c>
      <c r="AU640" s="3">
        <f t="shared" ca="1" si="352"/>
        <v>5.2950835359181644E-2</v>
      </c>
      <c r="AV640" s="10">
        <f t="shared" ca="1" si="355"/>
        <v>0.70846751499389227</v>
      </c>
      <c r="AW640" s="10">
        <f t="shared" ca="1" si="356"/>
        <v>0.70846751499389227</v>
      </c>
      <c r="AX640" s="10"/>
      <c r="AY640" s="3">
        <f t="shared" ca="1" si="359"/>
        <v>8.6913173349882591</v>
      </c>
      <c r="AZ640" s="3">
        <f t="shared" ca="1" si="361"/>
        <v>0.4004017690406827</v>
      </c>
      <c r="BA640" s="3">
        <f t="shared" ca="1" si="353"/>
        <v>2.9216766845486901E-4</v>
      </c>
      <c r="BB640" s="3">
        <f t="shared" ca="1" si="362"/>
        <v>0.13714755031881262</v>
      </c>
      <c r="BC640" s="3">
        <f t="shared" ca="1" si="363"/>
        <v>0.70846751499389227</v>
      </c>
      <c r="BD640" s="3">
        <f t="shared" ca="1" si="354"/>
        <v>5.2950835359181644E-2</v>
      </c>
      <c r="BE640" s="3">
        <f t="shared" ca="1" si="357"/>
        <v>0.70846751499389227</v>
      </c>
      <c r="BF640" s="3">
        <f t="shared" ca="1" si="358"/>
        <v>0.70846751499389227</v>
      </c>
    </row>
    <row r="641" spans="1:58" ht="15" x14ac:dyDescent="0.25">
      <c r="A641" s="72">
        <v>575</v>
      </c>
      <c r="B641" s="72">
        <v>1498730422.437</v>
      </c>
      <c r="C641" s="73">
        <v>2.4855109973243299E-4</v>
      </c>
      <c r="D641" s="73">
        <v>-1.7245080911261E-5</v>
      </c>
      <c r="E641" s="73">
        <v>1.0736637538344701E-2</v>
      </c>
      <c r="F641" s="73">
        <v>7.0160353591592597E-4</v>
      </c>
      <c r="G641" s="73">
        <v>0.19439034256802001</v>
      </c>
      <c r="H641" s="73">
        <v>-3.7935518875082998E-5</v>
      </c>
      <c r="I641" s="73">
        <v>0.140515967733535</v>
      </c>
      <c r="J641" s="73">
        <v>1.6869605597678901</v>
      </c>
      <c r="K641" s="73"/>
      <c r="L641" s="73"/>
      <c r="M641" s="73"/>
      <c r="N641" s="19"/>
      <c r="O641" s="13">
        <f t="shared" ca="1" si="324"/>
        <v>-1.6136129539128592E-5</v>
      </c>
      <c r="P641" s="13">
        <f t="shared" ca="1" si="325"/>
        <v>-2.8532556296101175E-5</v>
      </c>
      <c r="Q641" s="13">
        <f t="shared" ca="1" si="326"/>
        <v>9.8958979203720154E-3</v>
      </c>
      <c r="R641" s="13">
        <f t="shared" ca="1" si="327"/>
        <v>6.9182725702524484E-4</v>
      </c>
      <c r="S641" s="13">
        <f t="shared" ca="1" si="328"/>
        <v>0.19325526393477865</v>
      </c>
      <c r="T641" s="13">
        <f t="shared" ca="1" si="329"/>
        <v>-3.8285340386107088E-5</v>
      </c>
      <c r="U641" s="13">
        <f t="shared" ca="1" si="330"/>
        <v>0.13986212373874649</v>
      </c>
      <c r="V641" s="13">
        <f t="shared" ca="1" si="331"/>
        <v>1.6798217788454359</v>
      </c>
      <c r="X641" s="3">
        <f t="shared" ca="1" si="332"/>
        <v>-1.6136129539128592E-5</v>
      </c>
      <c r="Y641" s="3">
        <f t="shared" ca="1" si="333"/>
        <v>-2.8532556296101175E-5</v>
      </c>
      <c r="Z641" s="3">
        <f t="shared" ca="1" si="334"/>
        <v>9.8958979203720154E-3</v>
      </c>
      <c r="AA641" s="3">
        <f t="shared" ca="1" si="335"/>
        <v>6.9182725702524484E-4</v>
      </c>
      <c r="AB641" s="3">
        <f t="shared" ca="1" si="336"/>
        <v>0.19325526393477865</v>
      </c>
      <c r="AC641" s="3">
        <f t="shared" ca="1" si="337"/>
        <v>-3.8285340386107088E-5</v>
      </c>
      <c r="AD641" s="3">
        <f t="shared" ca="1" si="338"/>
        <v>0.13986212373874649</v>
      </c>
      <c r="AE641" s="3">
        <f t="shared" ca="1" si="339"/>
        <v>1.6798217788454359</v>
      </c>
      <c r="AG641" s="3">
        <f t="shared" ca="1" si="340"/>
        <v>-1.6136129539128592E-5</v>
      </c>
      <c r="AH641" s="3">
        <f t="shared" ca="1" si="341"/>
        <v>-2.8532556296101175E-5</v>
      </c>
      <c r="AI641" s="3">
        <f t="shared" ca="1" si="342"/>
        <v>9.8958979203720154E-3</v>
      </c>
      <c r="AJ641" s="3">
        <f t="shared" ca="1" si="343"/>
        <v>6.9182725702524484E-4</v>
      </c>
      <c r="AK641" s="3">
        <f t="shared" ca="1" si="344"/>
        <v>0.19325526393477865</v>
      </c>
      <c r="AL641" s="3">
        <f t="shared" ca="1" si="345"/>
        <v>-3.8285340386107088E-5</v>
      </c>
      <c r="AM641" s="3">
        <f t="shared" ca="1" si="346"/>
        <v>0.13986212373874649</v>
      </c>
      <c r="AN641" s="3">
        <f t="shared" ca="1" si="347"/>
        <v>1.6798217788454359</v>
      </c>
      <c r="AP641" s="3">
        <f t="shared" ca="1" si="348"/>
        <v>8.692243329591042</v>
      </c>
      <c r="AQ641" s="3">
        <f t="shared" ca="1" si="360"/>
        <v>0.40044494628226607</v>
      </c>
      <c r="AR641" s="3">
        <f t="shared" ca="1" si="349"/>
        <v>2.7703872877608165E-4</v>
      </c>
      <c r="AS641" s="3">
        <f t="shared" ca="1" si="350"/>
        <v>0.13958508500997041</v>
      </c>
      <c r="AT641" s="3">
        <f t="shared" ca="1" si="351"/>
        <v>0.70889447261214167</v>
      </c>
      <c r="AU641" s="3">
        <f t="shared" ca="1" si="352"/>
        <v>5.3190646777138209E-2</v>
      </c>
      <c r="AV641" s="10">
        <f t="shared" ca="1" si="355"/>
        <v>0.70889447261214167</v>
      </c>
      <c r="AW641" s="10">
        <f t="shared" ca="1" si="356"/>
        <v>0.70889447261214167</v>
      </c>
      <c r="AX641" s="10"/>
      <c r="AY641" s="3">
        <f t="shared" ca="1" si="359"/>
        <v>8.692243329591042</v>
      </c>
      <c r="AZ641" s="3">
        <f t="shared" ca="1" si="361"/>
        <v>0.40044494628226607</v>
      </c>
      <c r="BA641" s="3">
        <f t="shared" ca="1" si="353"/>
        <v>2.7703872877608165E-4</v>
      </c>
      <c r="BB641" s="3">
        <f t="shared" ca="1" si="362"/>
        <v>0.13958508500997041</v>
      </c>
      <c r="BC641" s="3">
        <f t="shared" ca="1" si="363"/>
        <v>0.70889447261214167</v>
      </c>
      <c r="BD641" s="3">
        <f t="shared" ca="1" si="354"/>
        <v>5.3190646777138209E-2</v>
      </c>
      <c r="BE641" s="3">
        <f t="shared" ca="1" si="357"/>
        <v>0.70889447261214167</v>
      </c>
      <c r="BF641" s="3">
        <f t="shared" ca="1" si="358"/>
        <v>0.70889447261214167</v>
      </c>
    </row>
    <row r="642" spans="1:58" ht="15" x14ac:dyDescent="0.25">
      <c r="A642" s="72">
        <v>576</v>
      </c>
      <c r="B642" s="72">
        <v>1498730422.964</v>
      </c>
      <c r="C642" s="73">
        <v>2.8590177551221502E-4</v>
      </c>
      <c r="D642" s="73">
        <v>-7.2754474460416595E-5</v>
      </c>
      <c r="E642" s="73">
        <v>1.0866725837632501E-2</v>
      </c>
      <c r="F642" s="73">
        <v>6.2850876992152905E-4</v>
      </c>
      <c r="G642" s="73">
        <v>0.195669553130459</v>
      </c>
      <c r="H642" s="73">
        <v>3.7121316607829602E-7</v>
      </c>
      <c r="I642" s="73">
        <v>0.141494552090107</v>
      </c>
      <c r="J642" s="73">
        <v>1.6982513282554399</v>
      </c>
      <c r="K642" s="73"/>
      <c r="L642" s="73"/>
      <c r="M642" s="73"/>
      <c r="N642" s="19"/>
      <c r="O642" s="13">
        <f t="shared" ca="1" si="324"/>
        <v>2.1214546240653435E-5</v>
      </c>
      <c r="P642" s="13">
        <f t="shared" ca="1" si="325"/>
        <v>-8.4041949845256773E-5</v>
      </c>
      <c r="Q642" s="13">
        <f t="shared" ca="1" si="326"/>
        <v>1.0025986219659815E-2</v>
      </c>
      <c r="R642" s="13">
        <f t="shared" ca="1" si="327"/>
        <v>6.1873249103084791E-4</v>
      </c>
      <c r="S642" s="13">
        <f t="shared" ca="1" si="328"/>
        <v>0.19453447449721764</v>
      </c>
      <c r="T642" s="13">
        <f t="shared" ca="1" si="329"/>
        <v>2.1391655054209397E-8</v>
      </c>
      <c r="U642" s="13">
        <f t="shared" ca="1" si="330"/>
        <v>0.14084070809531848</v>
      </c>
      <c r="V642" s="13">
        <f t="shared" ca="1" si="331"/>
        <v>1.6911125473329858</v>
      </c>
      <c r="X642" s="3">
        <f t="shared" ca="1" si="332"/>
        <v>2.1214546240653435E-5</v>
      </c>
      <c r="Y642" s="3">
        <f t="shared" ca="1" si="333"/>
        <v>-8.4041949845256773E-5</v>
      </c>
      <c r="Z642" s="3">
        <f t="shared" ca="1" si="334"/>
        <v>1.0025986055997646E-2</v>
      </c>
      <c r="AA642" s="3">
        <f t="shared" ca="1" si="335"/>
        <v>6.1872852966244631E-4</v>
      </c>
      <c r="AB642" s="3">
        <f t="shared" ca="1" si="336"/>
        <v>0.19453444568895636</v>
      </c>
      <c r="AC642" s="3">
        <f t="shared" ca="1" si="337"/>
        <v>2.1391655054209397E-8</v>
      </c>
      <c r="AD642" s="3">
        <f t="shared" ca="1" si="338"/>
        <v>0.14084066555245361</v>
      </c>
      <c r="AE642" s="3">
        <f t="shared" ca="1" si="339"/>
        <v>1.6911125300700809</v>
      </c>
      <c r="AG642" s="3">
        <f t="shared" ca="1" si="340"/>
        <v>2.1214546240653435E-5</v>
      </c>
      <c r="AH642" s="3">
        <f t="shared" ca="1" si="341"/>
        <v>-8.4041949845256773E-5</v>
      </c>
      <c r="AI642" s="3">
        <f t="shared" ca="1" si="342"/>
        <v>1.0025986055997646E-2</v>
      </c>
      <c r="AJ642" s="3">
        <f t="shared" ca="1" si="343"/>
        <v>6.1872852966244631E-4</v>
      </c>
      <c r="AK642" s="3">
        <f t="shared" ca="1" si="344"/>
        <v>0.19453444568895636</v>
      </c>
      <c r="AL642" s="3">
        <f t="shared" ca="1" si="345"/>
        <v>2.1391655054209397E-8</v>
      </c>
      <c r="AM642" s="3">
        <f t="shared" ca="1" si="346"/>
        <v>0.14084066555245361</v>
      </c>
      <c r="AN642" s="3">
        <f t="shared" ca="1" si="347"/>
        <v>1.6911125300700809</v>
      </c>
      <c r="AP642" s="3">
        <f t="shared" ca="1" si="348"/>
        <v>8.6931252247383703</v>
      </c>
      <c r="AQ642" s="3">
        <f t="shared" ca="1" si="360"/>
        <v>0.40048606730796277</v>
      </c>
      <c r="AR642" s="3">
        <f t="shared" ca="1" si="349"/>
        <v>2.4779374204860361E-4</v>
      </c>
      <c r="AS642" s="3">
        <f t="shared" ca="1" si="350"/>
        <v>0.14059291435326987</v>
      </c>
      <c r="AT642" s="3">
        <f t="shared" ca="1" si="351"/>
        <v>0.70928140752344992</v>
      </c>
      <c r="AU642" s="3">
        <f t="shared" ca="1" si="352"/>
        <v>5.3541065364148432E-2</v>
      </c>
      <c r="AV642" s="10">
        <f t="shared" ca="1" si="355"/>
        <v>0.70928140752344992</v>
      </c>
      <c r="AW642" s="10">
        <f t="shared" ca="1" si="356"/>
        <v>0.70928140752344992</v>
      </c>
      <c r="AX642" s="10"/>
      <c r="AY642" s="3">
        <f t="shared" ca="1" si="359"/>
        <v>8.6931264233482981</v>
      </c>
      <c r="AZ642" s="3">
        <f t="shared" ca="1" si="361"/>
        <v>0.40048612319680649</v>
      </c>
      <c r="BA642" s="3">
        <f t="shared" ca="1" si="353"/>
        <v>2.4779219015577339E-4</v>
      </c>
      <c r="BB642" s="3">
        <f t="shared" ca="1" si="362"/>
        <v>0.14059287336229784</v>
      </c>
      <c r="BC642" s="3">
        <f t="shared" ca="1" si="363"/>
        <v>0.70928125651373075</v>
      </c>
      <c r="BD642" s="3">
        <f t="shared" ca="1" si="354"/>
        <v>5.3541079972851437E-2</v>
      </c>
      <c r="BE642" s="3">
        <f t="shared" ca="1" si="357"/>
        <v>0.70928125651373075</v>
      </c>
      <c r="BF642" s="3">
        <f t="shared" ca="1" si="358"/>
        <v>0.70928125651373075</v>
      </c>
    </row>
    <row r="643" spans="1:58" ht="15" x14ac:dyDescent="0.25">
      <c r="A643" s="72">
        <v>577</v>
      </c>
      <c r="B643" s="72">
        <v>1498730423.4909999</v>
      </c>
      <c r="C643" s="73">
        <v>3.0897900592251597E-4</v>
      </c>
      <c r="D643" s="73">
        <v>-3.4724969629655398E-5</v>
      </c>
      <c r="E643" s="73">
        <v>1.0788093754353099E-2</v>
      </c>
      <c r="F643" s="73">
        <v>6.7088879705912803E-4</v>
      </c>
      <c r="G643" s="73">
        <v>0.19570983862163999</v>
      </c>
      <c r="H643" s="73">
        <v>-9.6201932324315995E-6</v>
      </c>
      <c r="I643" s="73">
        <v>0.14143988268341501</v>
      </c>
      <c r="J643" s="73">
        <v>1.6985265520892501</v>
      </c>
      <c r="K643" s="73"/>
      <c r="L643" s="73"/>
      <c r="M643" s="73"/>
      <c r="N643" s="19"/>
      <c r="O643" s="13">
        <f t="shared" ref="O643:O666" ca="1" si="364">C643-AVERAGE(OFFSET(C$67,$J$2,0,$J$3))</f>
        <v>4.4291776650954391E-5</v>
      </c>
      <c r="P643" s="13">
        <f t="shared" ref="P643:P666" ca="1" si="365">D643-AVERAGE(OFFSET(D$67,$J$2,0,$J$3))</f>
        <v>-4.6012445014495569E-5</v>
      </c>
      <c r="Q643" s="13">
        <f t="shared" ref="Q643:Q666" ca="1" si="366">E643-AVERAGE(OFFSET(E$67,$J$2,0,$J$3))</f>
        <v>9.9473541363804142E-3</v>
      </c>
      <c r="R643" s="13">
        <f t="shared" ref="R643:R666" ca="1" si="367">F643-AVERAGE(OFFSET(F$67,$J$2,0,$J$3))</f>
        <v>6.6111251816844689E-4</v>
      </c>
      <c r="S643" s="13">
        <f t="shared" ref="S643:S666" ca="1" si="368">G643-AVERAGE(OFFSET(G$67,$J$2,0,$J$3))</f>
        <v>0.19457475998839863</v>
      </c>
      <c r="T643" s="13">
        <f t="shared" ref="T643:T666" ca="1" si="369">H643-AVERAGE(OFFSET(H$67,$J$2,0,$J$3))</f>
        <v>-9.970014743455686E-6</v>
      </c>
      <c r="U643" s="13">
        <f t="shared" ref="U643:U666" ca="1" si="370">I643-AVERAGE(OFFSET(I$67,$J$2,0,$J$3))</f>
        <v>0.14078603868862649</v>
      </c>
      <c r="V643" s="13">
        <f t="shared" ref="V643:V666" ca="1" si="371">J643-AVERAGE(OFFSET(J$67,$J$2,0,$J$3))</f>
        <v>1.691387771166796</v>
      </c>
      <c r="X643" s="3">
        <f t="shared" ref="X643:X666" ca="1" si="372">O643</f>
        <v>4.4291776650954391E-5</v>
      </c>
      <c r="Y643" s="3">
        <f t="shared" ref="Y643:Y666" ca="1" si="373">P643</f>
        <v>-4.6012445014495569E-5</v>
      </c>
      <c r="Z643" s="3">
        <f t="shared" ref="Z643:Z666" ca="1" si="374">IF($T643&gt;0,Q643-($B$14/$B$18*$T643), Q643)</f>
        <v>9.9473541363804142E-3</v>
      </c>
      <c r="AA643" s="3">
        <f t="shared" ref="AA643:AA666" ca="1" si="375">IF($T643&gt;0,R643-($B$15/$B$18*$T643), R643)</f>
        <v>6.6111251816844689E-4</v>
      </c>
      <c r="AB643" s="3">
        <f t="shared" ref="AB643:AB666" ca="1" si="376">IF($T643&gt;0,S643-($B$17/$B$18*$T643), S643)</f>
        <v>0.19457475998839863</v>
      </c>
      <c r="AC643" s="3">
        <f t="shared" ref="AC643:AC666" ca="1" si="377">T643</f>
        <v>-9.970014743455686E-6</v>
      </c>
      <c r="AD643" s="3">
        <f t="shared" ref="AD643:AD666" ca="1" si="378">IF($T643&gt;0,U643-($B$19/$B$18*$T643), U643)</f>
        <v>0.14078603868862649</v>
      </c>
      <c r="AE643" s="3">
        <f t="shared" ref="AE643:AE666" ca="1" si="379">IF($T643&gt;0,V643-($B$20/$B$18*$T643), V643)</f>
        <v>1.691387771166796</v>
      </c>
      <c r="AG643" s="3">
        <f t="shared" ref="AG643:AG666" ca="1" si="380">X643</f>
        <v>4.4291776650954391E-5</v>
      </c>
      <c r="AH643" s="3">
        <f t="shared" ref="AH643:AH666" ca="1" si="381">Y643</f>
        <v>-4.6012445014495569E-5</v>
      </c>
      <c r="AI643" s="3">
        <f t="shared" ref="AI643:AI666" ca="1" si="382">IF($Y643&gt;0,Z643-($B$25/$B$23*$Y643),Z643)</f>
        <v>9.9473541363804142E-3</v>
      </c>
      <c r="AJ643" s="3">
        <f t="shared" ref="AJ643:AJ666" ca="1" si="383">IF($Y643&gt;0,AA643-($B$26/$B$23*$Y643),AA643)</f>
        <v>6.6111251816844689E-4</v>
      </c>
      <c r="AK643" s="3">
        <f t="shared" ref="AK643:AK666" ca="1" si="384">AB643</f>
        <v>0.19457475998839863</v>
      </c>
      <c r="AL643" s="3">
        <f t="shared" ref="AL643:AL666" ca="1" si="385">AC643</f>
        <v>-9.970014743455686E-6</v>
      </c>
      <c r="AM643" s="3">
        <f t="shared" ref="AM643:AM666" ca="1" si="386">AD643</f>
        <v>0.14078603868862649</v>
      </c>
      <c r="AN643" s="3">
        <f t="shared" ref="AN643:AN666" ca="1" si="387">AE643</f>
        <v>1.691387771166796</v>
      </c>
      <c r="AP643" s="3">
        <f t="shared" ref="AP643:AP666" ca="1" si="388">IF(AND(S643&gt;0,V643&gt;0),V643/S643, #N/A)</f>
        <v>8.6927398562261811</v>
      </c>
      <c r="AQ643" s="3">
        <f t="shared" ca="1" si="360"/>
        <v>0.40046809833055114</v>
      </c>
      <c r="AR643" s="3">
        <f t="shared" ref="AR643:AR666" ca="1" si="389">AQ643*R643</f>
        <v>2.6475447293343988E-4</v>
      </c>
      <c r="AS643" s="3">
        <f t="shared" ref="AS643:AS666" ca="1" si="390">U643-AR643</f>
        <v>0.14052128421569304</v>
      </c>
      <c r="AT643" s="3">
        <f t="shared" ref="AT643:AT666" ca="1" si="391">(AS643/S643)/((AP643/$B$10)^$B$12)</f>
        <v>0.70878908450143308</v>
      </c>
      <c r="AU643" s="3">
        <f t="shared" ref="AU643:AU666" ca="1" si="392">(Q643/S643)/((AP643/$B$10)^$B$13)</f>
        <v>5.3107744479422035E-2</v>
      </c>
      <c r="AV643" s="10">
        <f t="shared" ca="1" si="355"/>
        <v>0.70878908450143308</v>
      </c>
      <c r="AW643" s="10">
        <f t="shared" ca="1" si="356"/>
        <v>0.70878908450143308</v>
      </c>
      <c r="AX643" s="10"/>
      <c r="AY643" s="3">
        <f t="shared" ca="1" si="359"/>
        <v>8.6927398562261811</v>
      </c>
      <c r="AZ643" s="3">
        <f t="shared" ca="1" si="361"/>
        <v>0.40046809833055114</v>
      </c>
      <c r="BA643" s="3">
        <f t="shared" ref="BA643:BA666" ca="1" si="393">AZ643*AJ643</f>
        <v>2.6475447293343988E-4</v>
      </c>
      <c r="BB643" s="3">
        <f t="shared" ca="1" si="362"/>
        <v>0.14052128421569304</v>
      </c>
      <c r="BC643" s="3">
        <f t="shared" ca="1" si="363"/>
        <v>0.70878908450143308</v>
      </c>
      <c r="BD643" s="3">
        <f t="shared" ref="BD643:BD666" ca="1" si="394">(AI643/AK643)/((AY643/$B$10)^$B$13)</f>
        <v>5.3107744479422035E-2</v>
      </c>
      <c r="BE643" s="3">
        <f t="shared" ca="1" si="357"/>
        <v>0.70878908450143308</v>
      </c>
      <c r="BF643" s="3">
        <f t="shared" ca="1" si="358"/>
        <v>0.70878908450143308</v>
      </c>
    </row>
    <row r="644" spans="1:58" ht="15" x14ac:dyDescent="0.25">
      <c r="A644" s="72">
        <v>578</v>
      </c>
      <c r="B644" s="72">
        <v>1498730424.0179999</v>
      </c>
      <c r="C644" s="73">
        <v>3.4990076702339098E-4</v>
      </c>
      <c r="D644" s="73">
        <v>3.9921029900312897E-5</v>
      </c>
      <c r="E644" s="73">
        <v>1.11178123483492E-2</v>
      </c>
      <c r="F644" s="73">
        <v>7.26842710327422E-4</v>
      </c>
      <c r="G644" s="73">
        <v>0.20103017663323999</v>
      </c>
      <c r="H644" s="73">
        <v>4.9043517361780903E-5</v>
      </c>
      <c r="I644" s="73">
        <v>0.14533972318584601</v>
      </c>
      <c r="J644" s="73">
        <v>1.74454782224183</v>
      </c>
      <c r="K644" s="73"/>
      <c r="L644" s="73"/>
      <c r="M644" s="73"/>
      <c r="N644" s="19"/>
      <c r="O644" s="13">
        <f t="shared" ca="1" si="364"/>
        <v>8.5213537751829393E-5</v>
      </c>
      <c r="P644" s="13">
        <f t="shared" ca="1" si="365"/>
        <v>2.8633554515472726E-5</v>
      </c>
      <c r="Q644" s="13">
        <f t="shared" ca="1" si="366"/>
        <v>1.0277072730376514E-2</v>
      </c>
      <c r="R644" s="13">
        <f t="shared" ca="1" si="367"/>
        <v>7.1706643143674086E-4</v>
      </c>
      <c r="S644" s="13">
        <f t="shared" ca="1" si="368"/>
        <v>0.19989509799999863</v>
      </c>
      <c r="T644" s="13">
        <f t="shared" ca="1" si="369"/>
        <v>4.8693695850756813E-5</v>
      </c>
      <c r="U644" s="13">
        <f t="shared" ca="1" si="370"/>
        <v>0.14468587919105749</v>
      </c>
      <c r="V644" s="13">
        <f t="shared" ca="1" si="371"/>
        <v>1.7374090413193759</v>
      </c>
      <c r="X644" s="3">
        <f t="shared" ca="1" si="372"/>
        <v>8.5213537751829393E-5</v>
      </c>
      <c r="Y644" s="3">
        <f t="shared" ca="1" si="373"/>
        <v>2.8633554515472726E-5</v>
      </c>
      <c r="Z644" s="3">
        <f t="shared" ca="1" si="374"/>
        <v>1.0276700187165385E-2</v>
      </c>
      <c r="AA644" s="3">
        <f t="shared" ca="1" si="375"/>
        <v>7.0804919234918225E-4</v>
      </c>
      <c r="AB644" s="3">
        <f t="shared" ca="1" si="376"/>
        <v>0.19982952192794873</v>
      </c>
      <c r="AC644" s="3">
        <f t="shared" ca="1" si="377"/>
        <v>4.8693695850756813E-5</v>
      </c>
      <c r="AD644" s="3">
        <f t="shared" ca="1" si="378"/>
        <v>0.1445890391233918</v>
      </c>
      <c r="AE644" s="3">
        <f t="shared" ca="1" si="379"/>
        <v>1.7373697458727151</v>
      </c>
      <c r="AG644" s="3">
        <f t="shared" ca="1" si="380"/>
        <v>8.5213537751829393E-5</v>
      </c>
      <c r="AH644" s="3">
        <f t="shared" ca="1" si="381"/>
        <v>2.8633554515472726E-5</v>
      </c>
      <c r="AI644" s="3">
        <f t="shared" ca="1" si="382"/>
        <v>1.0253636010882874E-2</v>
      </c>
      <c r="AJ644" s="3">
        <f t="shared" ca="1" si="383"/>
        <v>6.9531309218914675E-4</v>
      </c>
      <c r="AK644" s="3">
        <f t="shared" ca="1" si="384"/>
        <v>0.19982952192794873</v>
      </c>
      <c r="AL644" s="3">
        <f t="shared" ca="1" si="385"/>
        <v>4.8693695850756813E-5</v>
      </c>
      <c r="AM644" s="3">
        <f t="shared" ca="1" si="386"/>
        <v>0.1445890391233918</v>
      </c>
      <c r="AN644" s="3">
        <f t="shared" ca="1" si="387"/>
        <v>1.7373697458727151</v>
      </c>
      <c r="AP644" s="3">
        <f t="shared" ca="1" si="388"/>
        <v>8.691604039831871</v>
      </c>
      <c r="AQ644" s="3">
        <f t="shared" ca="1" si="360"/>
        <v>0.40041513749740687</v>
      </c>
      <c r="AR644" s="3">
        <f t="shared" ca="1" si="389"/>
        <v>2.8712425373851749E-4</v>
      </c>
      <c r="AS644" s="3">
        <f t="shared" ca="1" si="390"/>
        <v>0.14439875493731896</v>
      </c>
      <c r="AT644" s="3">
        <f t="shared" ca="1" si="391"/>
        <v>0.70900826408743156</v>
      </c>
      <c r="AU644" s="3">
        <f t="shared" ca="1" si="392"/>
        <v>5.3400582891204924E-2</v>
      </c>
      <c r="AV644" s="10">
        <f t="shared" ref="AV644:AV666" ca="1" si="395">IF(AND(AT644&lt;$M$3,AT644&gt;$M$4),AT644,"rejected")</f>
        <v>0.70900826408743156</v>
      </c>
      <c r="AW644" s="10">
        <f t="shared" ref="AW644:AW666" ca="1" si="396">IF(AND(AT644&lt;$M$3,AT644&gt;$M$4),AT644,#N/A)</f>
        <v>0.70900826408743156</v>
      </c>
      <c r="AX644" s="10"/>
      <c r="AY644" s="3">
        <f t="shared" ca="1" si="359"/>
        <v>8.6942596324638544</v>
      </c>
      <c r="AZ644" s="3">
        <f t="shared" ca="1" si="361"/>
        <v>0.40053896256992833</v>
      </c>
      <c r="BA644" s="3">
        <f t="shared" ca="1" si="393"/>
        <v>2.7849998460672978E-4</v>
      </c>
      <c r="BB644" s="3">
        <f t="shared" ca="1" si="362"/>
        <v>0.14431053913878508</v>
      </c>
      <c r="BC644" s="3">
        <f t="shared" ca="1" si="363"/>
        <v>0.70869860819532882</v>
      </c>
      <c r="BD644" s="3">
        <f t="shared" ca="1" si="394"/>
        <v>5.3312950160713121E-2</v>
      </c>
      <c r="BE644" s="3">
        <f t="shared" ref="BE644:BE666" ca="1" si="397">IF(AND(BC644&lt;$P$3,BC644&gt;$P$4),BC644,"rejected")</f>
        <v>0.70869860819532882</v>
      </c>
      <c r="BF644" s="3">
        <f t="shared" ref="BF644:BF666" ca="1" si="398">IF(AND(BC644&lt;$P$3,BC644&gt;$P$4),BC644,#N/A)</f>
        <v>0.70869860819532882</v>
      </c>
    </row>
    <row r="645" spans="1:58" ht="15" x14ac:dyDescent="0.25">
      <c r="A645" s="72">
        <v>579</v>
      </c>
      <c r="B645" s="72">
        <v>1498730424.5450001</v>
      </c>
      <c r="C645" s="73">
        <v>2.9351482350310201E-4</v>
      </c>
      <c r="D645" s="73">
        <v>4.2519567744249099E-5</v>
      </c>
      <c r="E645" s="73">
        <v>1.0776311492269E-2</v>
      </c>
      <c r="F645" s="73">
        <v>7.6184526226350999E-4</v>
      </c>
      <c r="G645" s="73">
        <v>0.193562122153844</v>
      </c>
      <c r="H645" s="73">
        <v>7.4263272144700496E-5</v>
      </c>
      <c r="I645" s="73">
        <v>0.13992695633892699</v>
      </c>
      <c r="J645" s="73">
        <v>1.68016596406556</v>
      </c>
      <c r="K645" s="73"/>
      <c r="L645" s="73"/>
      <c r="M645" s="73"/>
      <c r="N645" s="19"/>
      <c r="O645" s="13">
        <f t="shared" ca="1" si="364"/>
        <v>2.8827594231540426E-5</v>
      </c>
      <c r="P645" s="13">
        <f t="shared" ca="1" si="365"/>
        <v>3.1232092359408927E-5</v>
      </c>
      <c r="Q645" s="13">
        <f t="shared" ca="1" si="366"/>
        <v>9.9355718742963148E-3</v>
      </c>
      <c r="R645" s="13">
        <f t="shared" ca="1" si="367"/>
        <v>7.5206898337282886E-4</v>
      </c>
      <c r="S645" s="13">
        <f t="shared" ca="1" si="368"/>
        <v>0.19242704352060264</v>
      </c>
      <c r="T645" s="13">
        <f t="shared" ca="1" si="369"/>
        <v>7.3913450633676406E-5</v>
      </c>
      <c r="U645" s="13">
        <f t="shared" ca="1" si="370"/>
        <v>0.13927311234413847</v>
      </c>
      <c r="V645" s="13">
        <f t="shared" ca="1" si="371"/>
        <v>1.6730271831431058</v>
      </c>
      <c r="X645" s="3">
        <f t="shared" ca="1" si="372"/>
        <v>2.8827594231540426E-5</v>
      </c>
      <c r="Y645" s="3">
        <f t="shared" ca="1" si="373"/>
        <v>3.1232092359408927E-5</v>
      </c>
      <c r="Z645" s="3">
        <f t="shared" ca="1" si="374"/>
        <v>9.9350063810889587E-3</v>
      </c>
      <c r="AA645" s="3">
        <f t="shared" ca="1" si="375"/>
        <v>7.383814773311209E-4</v>
      </c>
      <c r="AB645" s="3">
        <f t="shared" ca="1" si="376"/>
        <v>0.19232750386398947</v>
      </c>
      <c r="AC645" s="3">
        <f t="shared" ca="1" si="377"/>
        <v>7.3913450633676406E-5</v>
      </c>
      <c r="AD645" s="3">
        <f t="shared" ca="1" si="378"/>
        <v>0.13912611624052154</v>
      </c>
      <c r="AE645" s="3">
        <f t="shared" ca="1" si="379"/>
        <v>1.6729675355438396</v>
      </c>
      <c r="AG645" s="3">
        <f t="shared" ca="1" si="380"/>
        <v>2.8827594231540426E-5</v>
      </c>
      <c r="AH645" s="3">
        <f t="shared" ca="1" si="381"/>
        <v>3.1232092359408927E-5</v>
      </c>
      <c r="AI645" s="3">
        <f t="shared" ca="1" si="382"/>
        <v>9.9098490963564663E-3</v>
      </c>
      <c r="AJ645" s="3">
        <f t="shared" ca="1" si="383"/>
        <v>7.2448955705688579E-4</v>
      </c>
      <c r="AK645" s="3">
        <f t="shared" ca="1" si="384"/>
        <v>0.19232750386398947</v>
      </c>
      <c r="AL645" s="3">
        <f t="shared" ca="1" si="385"/>
        <v>7.3913450633676406E-5</v>
      </c>
      <c r="AM645" s="3">
        <f t="shared" ca="1" si="386"/>
        <v>0.13912611624052154</v>
      </c>
      <c r="AN645" s="3">
        <f t="shared" ca="1" si="387"/>
        <v>1.6729675355438396</v>
      </c>
      <c r="AP645" s="3">
        <f t="shared" ca="1" si="388"/>
        <v>8.6943454128576239</v>
      </c>
      <c r="AQ645" s="3">
        <f t="shared" ca="1" si="360"/>
        <v>0.40054296234898484</v>
      </c>
      <c r="AR645" s="3">
        <f t="shared" ca="1" si="389"/>
        <v>3.0123593849094231E-4</v>
      </c>
      <c r="AS645" s="3">
        <f t="shared" ca="1" si="390"/>
        <v>0.13897187640564754</v>
      </c>
      <c r="AT645" s="3">
        <f t="shared" ca="1" si="391"/>
        <v>0.7087316641844007</v>
      </c>
      <c r="AU645" s="3">
        <f t="shared" ca="1" si="392"/>
        <v>5.3647021520701312E-2</v>
      </c>
      <c r="AV645" s="10">
        <f t="shared" ca="1" si="395"/>
        <v>0.7087316641844007</v>
      </c>
      <c r="AW645" s="10">
        <f t="shared" ca="1" si="396"/>
        <v>0.7087316641844007</v>
      </c>
      <c r="AX645" s="10"/>
      <c r="AY645" s="3">
        <f t="shared" ref="AY645:AY666" ca="1" si="399">IF(AND(AN645&gt;0, AK645&gt;0),AN645/AK645, #N/A)</f>
        <v>8.6985350609392391</v>
      </c>
      <c r="AZ645" s="3">
        <f t="shared" ca="1" si="361"/>
        <v>0.40073831837243706</v>
      </c>
      <c r="BA645" s="3">
        <f t="shared" ca="1" si="393"/>
        <v>2.9033072677336821E-4</v>
      </c>
      <c r="BB645" s="3">
        <f t="shared" ca="1" si="362"/>
        <v>0.13883578551374817</v>
      </c>
      <c r="BC645" s="3">
        <f t="shared" ca="1" si="363"/>
        <v>0.70823222400397357</v>
      </c>
      <c r="BD645" s="3">
        <f t="shared" ca="1" si="394"/>
        <v>5.3562222835207195E-2</v>
      </c>
      <c r="BE645" s="3">
        <f t="shared" ca="1" si="397"/>
        <v>0.70823222400397357</v>
      </c>
      <c r="BF645" s="3">
        <f t="shared" ca="1" si="398"/>
        <v>0.70823222400397357</v>
      </c>
    </row>
    <row r="646" spans="1:58" ht="15" x14ac:dyDescent="0.25">
      <c r="A646" s="72">
        <v>580</v>
      </c>
      <c r="B646" s="72">
        <v>1498730425.0710001</v>
      </c>
      <c r="C646" s="73">
        <v>2.6615570279098E-4</v>
      </c>
      <c r="D646" s="73">
        <v>7.0158982337740504E-5</v>
      </c>
      <c r="E646" s="73">
        <v>1.0610978890875001E-2</v>
      </c>
      <c r="F646" s="73">
        <v>6.8303172047767498E-4</v>
      </c>
      <c r="G646" s="73">
        <v>0.19178001742263201</v>
      </c>
      <c r="H646" s="73">
        <v>3.1113491866938899E-6</v>
      </c>
      <c r="I646" s="73">
        <v>0.13858806988924599</v>
      </c>
      <c r="J646" s="73">
        <v>1.6633652249944499</v>
      </c>
      <c r="K646" s="73"/>
      <c r="L646" s="73"/>
      <c r="M646" s="73"/>
      <c r="N646" s="19"/>
      <c r="O646" s="13">
        <f t="shared" ca="1" si="364"/>
        <v>1.468473519418412E-6</v>
      </c>
      <c r="P646" s="13">
        <f t="shared" ca="1" si="365"/>
        <v>5.8871506952900333E-5</v>
      </c>
      <c r="Q646" s="13">
        <f t="shared" ca="1" si="366"/>
        <v>9.7702392729023153E-3</v>
      </c>
      <c r="R646" s="13">
        <f t="shared" ca="1" si="367"/>
        <v>6.7325544158699385E-4</v>
      </c>
      <c r="S646" s="13">
        <f t="shared" ca="1" si="368"/>
        <v>0.19064493878939065</v>
      </c>
      <c r="T646" s="13">
        <f t="shared" ca="1" si="369"/>
        <v>2.7615276756698034E-6</v>
      </c>
      <c r="U646" s="13">
        <f t="shared" ca="1" si="370"/>
        <v>0.13793422589445747</v>
      </c>
      <c r="V646" s="13">
        <f t="shared" ca="1" si="371"/>
        <v>1.6562264440719958</v>
      </c>
      <c r="X646" s="3">
        <f t="shared" ca="1" si="372"/>
        <v>1.468473519418412E-6</v>
      </c>
      <c r="Y646" s="3">
        <f t="shared" ca="1" si="373"/>
        <v>5.8871506952900333E-5</v>
      </c>
      <c r="Z646" s="3">
        <f t="shared" ca="1" si="374"/>
        <v>9.7702181451491243E-3</v>
      </c>
      <c r="AA646" s="3">
        <f t="shared" ca="1" si="375"/>
        <v>6.7274405392451803E-4</v>
      </c>
      <c r="AB646" s="3">
        <f t="shared" ca="1" si="376"/>
        <v>0.19064121982465274</v>
      </c>
      <c r="AC646" s="3">
        <f t="shared" ca="1" si="377"/>
        <v>2.7615276756698034E-6</v>
      </c>
      <c r="AD646" s="3">
        <f t="shared" ca="1" si="378"/>
        <v>0.1379287338790682</v>
      </c>
      <c r="AE646" s="3">
        <f t="shared" ca="1" si="379"/>
        <v>1.6562242155399121</v>
      </c>
      <c r="AG646" s="3">
        <f t="shared" ca="1" si="380"/>
        <v>1.468473519418412E-6</v>
      </c>
      <c r="AH646" s="3">
        <f t="shared" ca="1" si="381"/>
        <v>5.8871506952900333E-5</v>
      </c>
      <c r="AI646" s="3">
        <f t="shared" ca="1" si="382"/>
        <v>9.7227974585681037E-3</v>
      </c>
      <c r="AJ646" s="3">
        <f t="shared" ca="1" si="383"/>
        <v>6.4655822328588044E-4</v>
      </c>
      <c r="AK646" s="3">
        <f t="shared" ca="1" si="384"/>
        <v>0.19064121982465274</v>
      </c>
      <c r="AL646" s="3">
        <f t="shared" ca="1" si="385"/>
        <v>2.7615276756698034E-6</v>
      </c>
      <c r="AM646" s="3">
        <f t="shared" ca="1" si="386"/>
        <v>0.1379287338790682</v>
      </c>
      <c r="AN646" s="3">
        <f t="shared" ca="1" si="387"/>
        <v>1.6562242155399121</v>
      </c>
      <c r="AP646" s="3">
        <f t="shared" ca="1" si="388"/>
        <v>8.6874923330729636</v>
      </c>
      <c r="AQ646" s="3">
        <f t="shared" ca="1" si="360"/>
        <v>0.40022341758624491</v>
      </c>
      <c r="AR646" s="3">
        <f t="shared" ca="1" si="389"/>
        <v>2.6945259374048315E-4</v>
      </c>
      <c r="AS646" s="3">
        <f t="shared" ca="1" si="390"/>
        <v>0.137664773300717</v>
      </c>
      <c r="AT646" s="3">
        <f t="shared" ca="1" si="391"/>
        <v>0.70890987222670976</v>
      </c>
      <c r="AU646" s="3">
        <f t="shared" ca="1" si="392"/>
        <v>5.3204498563918332E-2</v>
      </c>
      <c r="AV646" s="10">
        <f t="shared" ca="1" si="395"/>
        <v>0.70890987222670976</v>
      </c>
      <c r="AW646" s="10">
        <f t="shared" ca="1" si="396"/>
        <v>0.70890987222670976</v>
      </c>
      <c r="AX646" s="10"/>
      <c r="AY646" s="3">
        <f t="shared" ca="1" si="399"/>
        <v>8.687650116083331</v>
      </c>
      <c r="AZ646" s="3">
        <f t="shared" ca="1" si="361"/>
        <v>0.40023077464330792</v>
      </c>
      <c r="BA646" s="3">
        <f t="shared" ca="1" si="393"/>
        <v>2.5877249855770878E-4</v>
      </c>
      <c r="BB646" s="3">
        <f t="shared" ca="1" si="362"/>
        <v>0.13766996138051049</v>
      </c>
      <c r="BC646" s="3">
        <f t="shared" ca="1" si="363"/>
        <v>0.70894393394381183</v>
      </c>
      <c r="BD646" s="3">
        <f t="shared" ca="1" si="394"/>
        <v>5.2948167801990284E-2</v>
      </c>
      <c r="BE646" s="3">
        <f t="shared" ca="1" si="397"/>
        <v>0.70894393394381183</v>
      </c>
      <c r="BF646" s="3">
        <f t="shared" ca="1" si="398"/>
        <v>0.70894393394381183</v>
      </c>
    </row>
    <row r="647" spans="1:58" ht="15" x14ac:dyDescent="0.25">
      <c r="A647" s="72">
        <v>581</v>
      </c>
      <c r="B647" s="72">
        <v>1498730425.598</v>
      </c>
      <c r="C647" s="73">
        <v>2.4593422577455E-4</v>
      </c>
      <c r="D647" s="73">
        <v>-6.5195931186048505E-5</v>
      </c>
      <c r="E647" s="73">
        <v>1.1086062332472399E-2</v>
      </c>
      <c r="F647" s="73">
        <v>5.4661089074175E-4</v>
      </c>
      <c r="G647" s="73">
        <v>0.20270247210579301</v>
      </c>
      <c r="H647" s="73">
        <v>7.0859294629721194E-5</v>
      </c>
      <c r="I647" s="73">
        <v>0.14653973845250201</v>
      </c>
      <c r="J647" s="73">
        <v>1.75832097723074</v>
      </c>
      <c r="K647" s="73"/>
      <c r="L647" s="73"/>
      <c r="M647" s="73"/>
      <c r="N647" s="19"/>
      <c r="O647" s="13">
        <f t="shared" ca="1" si="364"/>
        <v>-1.8753003497011588E-5</v>
      </c>
      <c r="P647" s="13">
        <f t="shared" ca="1" si="365"/>
        <v>-7.6483406570888683E-5</v>
      </c>
      <c r="Q647" s="13">
        <f t="shared" ca="1" si="366"/>
        <v>1.0245322714499714E-2</v>
      </c>
      <c r="R647" s="13">
        <f t="shared" ca="1" si="367"/>
        <v>5.3683461185106886E-4</v>
      </c>
      <c r="S647" s="13">
        <f t="shared" ca="1" si="368"/>
        <v>0.20156739347255165</v>
      </c>
      <c r="T647" s="13">
        <f t="shared" ca="1" si="369"/>
        <v>7.0509473118697105E-5</v>
      </c>
      <c r="U647" s="13">
        <f t="shared" ca="1" si="370"/>
        <v>0.14588589445771349</v>
      </c>
      <c r="V647" s="13">
        <f t="shared" ca="1" si="371"/>
        <v>1.7511821963082859</v>
      </c>
      <c r="X647" s="3">
        <f t="shared" ca="1" si="372"/>
        <v>-1.8753003497011588E-5</v>
      </c>
      <c r="Y647" s="3">
        <f t="shared" ca="1" si="373"/>
        <v>-7.6483406570888683E-5</v>
      </c>
      <c r="Z647" s="3">
        <f t="shared" ca="1" si="374"/>
        <v>1.024478326426757E-2</v>
      </c>
      <c r="AA647" s="3">
        <f t="shared" ca="1" si="375"/>
        <v>5.2377746418666134E-4</v>
      </c>
      <c r="AB647" s="3">
        <f t="shared" ca="1" si="376"/>
        <v>0.20147243797146167</v>
      </c>
      <c r="AC647" s="3">
        <f t="shared" ca="1" si="377"/>
        <v>7.0509473118697105E-5</v>
      </c>
      <c r="AD647" s="3">
        <f t="shared" ca="1" si="378"/>
        <v>0.14574566804793729</v>
      </c>
      <c r="AE647" s="3">
        <f t="shared" ca="1" si="379"/>
        <v>1.7511252956932963</v>
      </c>
      <c r="AG647" s="3">
        <f t="shared" ca="1" si="380"/>
        <v>-1.8753003497011588E-5</v>
      </c>
      <c r="AH647" s="3">
        <f t="shared" ca="1" si="381"/>
        <v>-7.6483406570888683E-5</v>
      </c>
      <c r="AI647" s="3">
        <f t="shared" ca="1" si="382"/>
        <v>1.024478326426757E-2</v>
      </c>
      <c r="AJ647" s="3">
        <f t="shared" ca="1" si="383"/>
        <v>5.2377746418666134E-4</v>
      </c>
      <c r="AK647" s="3">
        <f t="shared" ca="1" si="384"/>
        <v>0.20147243797146167</v>
      </c>
      <c r="AL647" s="3">
        <f t="shared" ca="1" si="385"/>
        <v>7.0509473118697105E-5</v>
      </c>
      <c r="AM647" s="3">
        <f t="shared" ca="1" si="386"/>
        <v>0.14574566804793729</v>
      </c>
      <c r="AN647" s="3">
        <f t="shared" ca="1" si="387"/>
        <v>1.7511252956932963</v>
      </c>
      <c r="AP647" s="3">
        <f t="shared" ca="1" si="388"/>
        <v>8.6878247822694217</v>
      </c>
      <c r="AQ647" s="3">
        <f t="shared" ca="1" si="360"/>
        <v>0.40023891892571994</v>
      </c>
      <c r="AR647" s="3">
        <f t="shared" ca="1" si="389"/>
        <v>2.1486210468918028E-4</v>
      </c>
      <c r="AS647" s="3">
        <f t="shared" ca="1" si="390"/>
        <v>0.14567103235302431</v>
      </c>
      <c r="AT647" s="3">
        <f t="shared" ca="1" si="391"/>
        <v>0.70947652390207783</v>
      </c>
      <c r="AU647" s="3">
        <f t="shared" ca="1" si="392"/>
        <v>5.2770450678241321E-2</v>
      </c>
      <c r="AV647" s="10">
        <f t="shared" ca="1" si="395"/>
        <v>0.70947652390207783</v>
      </c>
      <c r="AW647" s="10">
        <f t="shared" ca="1" si="396"/>
        <v>0.70947652390207783</v>
      </c>
      <c r="AX647" s="10"/>
      <c r="AY647" s="3">
        <f t="shared" ca="1" si="399"/>
        <v>8.6916369967257818</v>
      </c>
      <c r="AZ647" s="3">
        <f t="shared" ca="1" si="361"/>
        <v>0.40041667420987637</v>
      </c>
      <c r="BA647" s="3">
        <f t="shared" ca="1" si="393"/>
        <v>2.0972923023570555E-4</v>
      </c>
      <c r="BB647" s="3">
        <f t="shared" ca="1" si="362"/>
        <v>0.14553593881770158</v>
      </c>
      <c r="BC647" s="3">
        <f t="shared" ca="1" si="363"/>
        <v>0.70899598122130403</v>
      </c>
      <c r="BD647" s="3">
        <f t="shared" ca="1" si="394"/>
        <v>5.2816246021363408E-2</v>
      </c>
      <c r="BE647" s="3">
        <f t="shared" ca="1" si="397"/>
        <v>0.70899598122130403</v>
      </c>
      <c r="BF647" s="3">
        <f t="shared" ca="1" si="398"/>
        <v>0.70899598122130403</v>
      </c>
    </row>
    <row r="648" spans="1:58" ht="15" x14ac:dyDescent="0.25">
      <c r="A648" s="72">
        <v>582</v>
      </c>
      <c r="B648" s="72">
        <v>1498730426.125</v>
      </c>
      <c r="C648" s="73">
        <v>2.7709926112511198E-4</v>
      </c>
      <c r="D648" s="73">
        <v>1.65244251589724E-6</v>
      </c>
      <c r="E648" s="73">
        <v>1.15872035610686E-2</v>
      </c>
      <c r="F648" s="73">
        <v>7.1327062219253003E-4</v>
      </c>
      <c r="G648" s="73">
        <v>0.21232565816924601</v>
      </c>
      <c r="H648" s="73">
        <v>-5.4533656073562503E-5</v>
      </c>
      <c r="I648" s="73">
        <v>0.153543793252269</v>
      </c>
      <c r="J648" s="73">
        <v>1.84190688663791</v>
      </c>
      <c r="K648" s="73"/>
      <c r="L648" s="73"/>
      <c r="M648" s="73"/>
      <c r="N648" s="19"/>
      <c r="O648" s="13">
        <f t="shared" ca="1" si="364"/>
        <v>1.2412031853550399E-5</v>
      </c>
      <c r="P648" s="13">
        <f t="shared" ca="1" si="365"/>
        <v>-9.6350328689429326E-6</v>
      </c>
      <c r="Q648" s="13">
        <f t="shared" ca="1" si="366"/>
        <v>1.0746463943095915E-2</v>
      </c>
      <c r="R648" s="13">
        <f t="shared" ca="1" si="367"/>
        <v>7.034943433018489E-4</v>
      </c>
      <c r="S648" s="13">
        <f t="shared" ca="1" si="368"/>
        <v>0.21119057953600465</v>
      </c>
      <c r="T648" s="13">
        <f t="shared" ca="1" si="369"/>
        <v>-5.4883477584586593E-5</v>
      </c>
      <c r="U648" s="13">
        <f t="shared" ca="1" si="370"/>
        <v>0.15288994925748048</v>
      </c>
      <c r="V648" s="13">
        <f t="shared" ca="1" si="371"/>
        <v>1.8347681057154559</v>
      </c>
      <c r="X648" s="3">
        <f t="shared" ca="1" si="372"/>
        <v>1.2412031853550399E-5</v>
      </c>
      <c r="Y648" s="3">
        <f t="shared" ca="1" si="373"/>
        <v>-9.6350328689429326E-6</v>
      </c>
      <c r="Z648" s="3">
        <f t="shared" ca="1" si="374"/>
        <v>1.0746463943095915E-2</v>
      </c>
      <c r="AA648" s="3">
        <f t="shared" ca="1" si="375"/>
        <v>7.034943433018489E-4</v>
      </c>
      <c r="AB648" s="3">
        <f t="shared" ca="1" si="376"/>
        <v>0.21119057953600465</v>
      </c>
      <c r="AC648" s="3">
        <f t="shared" ca="1" si="377"/>
        <v>-5.4883477584586593E-5</v>
      </c>
      <c r="AD648" s="3">
        <f t="shared" ca="1" si="378"/>
        <v>0.15288994925748048</v>
      </c>
      <c r="AE648" s="3">
        <f t="shared" ca="1" si="379"/>
        <v>1.8347681057154559</v>
      </c>
      <c r="AG648" s="3">
        <f t="shared" ca="1" si="380"/>
        <v>1.2412031853550399E-5</v>
      </c>
      <c r="AH648" s="3">
        <f t="shared" ca="1" si="381"/>
        <v>-9.6350328689429326E-6</v>
      </c>
      <c r="AI648" s="3">
        <f t="shared" ca="1" si="382"/>
        <v>1.0746463943095915E-2</v>
      </c>
      <c r="AJ648" s="3">
        <f t="shared" ca="1" si="383"/>
        <v>7.034943433018489E-4</v>
      </c>
      <c r="AK648" s="3">
        <f t="shared" ca="1" si="384"/>
        <v>0.21119057953600465</v>
      </c>
      <c r="AL648" s="3">
        <f t="shared" ca="1" si="385"/>
        <v>-5.4883477584586593E-5</v>
      </c>
      <c r="AM648" s="3">
        <f t="shared" ca="1" si="386"/>
        <v>0.15288994925748048</v>
      </c>
      <c r="AN648" s="3">
        <f t="shared" ca="1" si="387"/>
        <v>1.8347681057154559</v>
      </c>
      <c r="AP648" s="3">
        <f t="shared" ca="1" si="388"/>
        <v>8.6877364972742885</v>
      </c>
      <c r="AQ648" s="3">
        <f t="shared" ca="1" si="360"/>
        <v>0.40023480239926135</v>
      </c>
      <c r="AR648" s="3">
        <f t="shared" ca="1" si="389"/>
        <v>2.8156291948041364E-4</v>
      </c>
      <c r="AS648" s="3">
        <f t="shared" ca="1" si="390"/>
        <v>0.15260838633800006</v>
      </c>
      <c r="AT648" s="3">
        <f t="shared" ca="1" si="391"/>
        <v>0.70940001300047462</v>
      </c>
      <c r="AU648" s="3">
        <f t="shared" ca="1" si="392"/>
        <v>5.2828948716804908E-2</v>
      </c>
      <c r="AV648" s="10">
        <f t="shared" ca="1" si="395"/>
        <v>0.70940001300047462</v>
      </c>
      <c r="AW648" s="10">
        <f t="shared" ca="1" si="396"/>
        <v>0.70940001300047462</v>
      </c>
      <c r="AX648" s="10"/>
      <c r="AY648" s="3">
        <f t="shared" ca="1" si="399"/>
        <v>8.6877364972742885</v>
      </c>
      <c r="AZ648" s="3">
        <f t="shared" ca="1" si="361"/>
        <v>0.40023480239926135</v>
      </c>
      <c r="BA648" s="3">
        <f t="shared" ca="1" si="393"/>
        <v>2.8156291948041364E-4</v>
      </c>
      <c r="BB648" s="3">
        <f t="shared" ca="1" si="362"/>
        <v>0.15260838633800006</v>
      </c>
      <c r="BC648" s="3">
        <f t="shared" ca="1" si="363"/>
        <v>0.70940001300047462</v>
      </c>
      <c r="BD648" s="3">
        <f t="shared" ca="1" si="394"/>
        <v>5.2828948716804908E-2</v>
      </c>
      <c r="BE648" s="3">
        <f t="shared" ca="1" si="397"/>
        <v>0.70940001300047462</v>
      </c>
      <c r="BF648" s="3">
        <f t="shared" ca="1" si="398"/>
        <v>0.70940001300047462</v>
      </c>
    </row>
    <row r="649" spans="1:58" ht="15" x14ac:dyDescent="0.25">
      <c r="A649" s="72">
        <v>583</v>
      </c>
      <c r="B649" s="72">
        <v>1498730426.652</v>
      </c>
      <c r="C649" s="73">
        <v>2.58304963084518E-4</v>
      </c>
      <c r="D649" s="73">
        <v>4.9134058419861702E-5</v>
      </c>
      <c r="E649" s="73">
        <v>1.1706811667818701E-2</v>
      </c>
      <c r="F649" s="73">
        <v>7.2874757955800897E-4</v>
      </c>
      <c r="G649" s="73">
        <v>0.21441969794510801</v>
      </c>
      <c r="H649" s="73">
        <v>2.5791243071345801E-5</v>
      </c>
      <c r="I649" s="73">
        <v>0.155221318895789</v>
      </c>
      <c r="J649" s="73">
        <v>1.86169598531543</v>
      </c>
      <c r="K649" s="73"/>
      <c r="L649" s="73"/>
      <c r="M649" s="73"/>
      <c r="N649" s="19"/>
      <c r="O649" s="13">
        <f t="shared" ca="1" si="364"/>
        <v>-6.3822661870435791E-6</v>
      </c>
      <c r="P649" s="13">
        <f t="shared" ca="1" si="365"/>
        <v>3.7846583035021531E-5</v>
      </c>
      <c r="Q649" s="13">
        <f t="shared" ca="1" si="366"/>
        <v>1.0866072049846015E-2</v>
      </c>
      <c r="R649" s="13">
        <f t="shared" ca="1" si="367"/>
        <v>7.1897130066732784E-4</v>
      </c>
      <c r="S649" s="13">
        <f t="shared" ca="1" si="368"/>
        <v>0.21328461931186665</v>
      </c>
      <c r="T649" s="13">
        <f t="shared" ca="1" si="369"/>
        <v>2.5441421560321714E-5</v>
      </c>
      <c r="U649" s="13">
        <f t="shared" ca="1" si="370"/>
        <v>0.15456747490100048</v>
      </c>
      <c r="V649" s="13">
        <f t="shared" ca="1" si="371"/>
        <v>1.8545572043929759</v>
      </c>
      <c r="X649" s="3">
        <f t="shared" ca="1" si="372"/>
        <v>-6.3822661870435791E-6</v>
      </c>
      <c r="Y649" s="3">
        <f t="shared" ca="1" si="373"/>
        <v>3.7846583035021531E-5</v>
      </c>
      <c r="Z649" s="3">
        <f t="shared" ca="1" si="374"/>
        <v>1.0865877403933065E-2</v>
      </c>
      <c r="AA649" s="3">
        <f t="shared" ca="1" si="375"/>
        <v>7.1425998481979144E-4</v>
      </c>
      <c r="AB649" s="3">
        <f t="shared" ca="1" si="376"/>
        <v>0.21325035720741672</v>
      </c>
      <c r="AC649" s="3">
        <f t="shared" ca="1" si="377"/>
        <v>2.5441421560321714E-5</v>
      </c>
      <c r="AD649" s="3">
        <f t="shared" ca="1" si="378"/>
        <v>0.15451687802306038</v>
      </c>
      <c r="AE649" s="3">
        <f t="shared" ca="1" si="379"/>
        <v>1.8545366733569468</v>
      </c>
      <c r="AG649" s="3">
        <f t="shared" ca="1" si="380"/>
        <v>-6.3822661870435791E-6</v>
      </c>
      <c r="AH649" s="3">
        <f t="shared" ca="1" si="381"/>
        <v>3.7846583035021531E-5</v>
      </c>
      <c r="AI649" s="3">
        <f t="shared" ca="1" si="382"/>
        <v>1.0835392182046318E-2</v>
      </c>
      <c r="AJ649" s="3">
        <f t="shared" ca="1" si="383"/>
        <v>6.9742596332278634E-4</v>
      </c>
      <c r="AK649" s="3">
        <f t="shared" ca="1" si="384"/>
        <v>0.21325035720741672</v>
      </c>
      <c r="AL649" s="3">
        <f t="shared" ca="1" si="385"/>
        <v>2.5441421560321714E-5</v>
      </c>
      <c r="AM649" s="3">
        <f t="shared" ca="1" si="386"/>
        <v>0.15451687802306038</v>
      </c>
      <c r="AN649" s="3">
        <f t="shared" ca="1" si="387"/>
        <v>1.8545366733569468</v>
      </c>
      <c r="AP649" s="3">
        <f t="shared" ca="1" si="388"/>
        <v>8.6952224233348296</v>
      </c>
      <c r="AQ649" s="3">
        <f t="shared" ca="1" si="360"/>
        <v>0.4005838557319657</v>
      </c>
      <c r="AR649" s="3">
        <f t="shared" ca="1" si="389"/>
        <v>2.8800829578194459E-4</v>
      </c>
      <c r="AS649" s="3">
        <f t="shared" ca="1" si="390"/>
        <v>0.15427946660521855</v>
      </c>
      <c r="AT649" s="3">
        <f t="shared" ca="1" si="391"/>
        <v>0.70981888959687389</v>
      </c>
      <c r="AU649" s="3">
        <f t="shared" ca="1" si="392"/>
        <v>5.2939120189236508E-2</v>
      </c>
      <c r="AV649" s="10" t="str">
        <f t="shared" ca="1" si="395"/>
        <v>rejected</v>
      </c>
      <c r="AW649" s="10" t="e">
        <f t="shared" ca="1" si="396"/>
        <v>#N/A</v>
      </c>
      <c r="AX649" s="10"/>
      <c r="AY649" s="3">
        <f t="shared" ca="1" si="399"/>
        <v>8.6965231741822713</v>
      </c>
      <c r="AZ649" s="3">
        <f t="shared" ca="1" si="361"/>
        <v>0.40064450743994379</v>
      </c>
      <c r="BA649" s="3">
        <f t="shared" ca="1" si="393"/>
        <v>2.7941988155128606E-4</v>
      </c>
      <c r="BB649" s="3">
        <f t="shared" ca="1" si="362"/>
        <v>0.1542374581415091</v>
      </c>
      <c r="BC649" s="3">
        <f t="shared" ca="1" si="363"/>
        <v>0.70968616534038653</v>
      </c>
      <c r="BD649" s="3">
        <f t="shared" ca="1" si="394"/>
        <v>5.2806212383920428E-2</v>
      </c>
      <c r="BE649" s="3" t="str">
        <f t="shared" ca="1" si="397"/>
        <v>rejected</v>
      </c>
      <c r="BF649" s="3" t="e">
        <f t="shared" ca="1" si="398"/>
        <v>#N/A</v>
      </c>
    </row>
    <row r="650" spans="1:58" ht="15" x14ac:dyDescent="0.25">
      <c r="A650" s="72">
        <v>584</v>
      </c>
      <c r="B650" s="72">
        <v>1498730427.1789999</v>
      </c>
      <c r="C650" s="73">
        <v>4.0391054210766898E-4</v>
      </c>
      <c r="D650" s="73">
        <v>4.8189128480829697E-5</v>
      </c>
      <c r="E650" s="73">
        <v>1.16288361655091E-2</v>
      </c>
      <c r="F650" s="73">
        <v>9.0663074920867303E-4</v>
      </c>
      <c r="G650" s="73">
        <v>0.21204055773977201</v>
      </c>
      <c r="H650" s="73">
        <v>-1.51469218096564E-5</v>
      </c>
      <c r="I650" s="73">
        <v>0.15349979761843299</v>
      </c>
      <c r="J650" s="73">
        <v>1.84042258112965</v>
      </c>
      <c r="K650" s="73"/>
      <c r="L650" s="73"/>
      <c r="M650" s="73"/>
      <c r="N650" s="19"/>
      <c r="O650" s="13">
        <f t="shared" ca="1" si="364"/>
        <v>1.3922331283610739E-4</v>
      </c>
      <c r="P650" s="13">
        <f t="shared" ca="1" si="365"/>
        <v>3.6901653095989525E-5</v>
      </c>
      <c r="Q650" s="13">
        <f t="shared" ca="1" si="366"/>
        <v>1.0788096547536414E-2</v>
      </c>
      <c r="R650" s="13">
        <f t="shared" ca="1" si="367"/>
        <v>8.968544703179919E-4</v>
      </c>
      <c r="S650" s="13">
        <f t="shared" ca="1" si="368"/>
        <v>0.21090547910653065</v>
      </c>
      <c r="T650" s="13">
        <f t="shared" ca="1" si="369"/>
        <v>-1.5496743320680488E-5</v>
      </c>
      <c r="U650" s="13">
        <f t="shared" ca="1" si="370"/>
        <v>0.15284595362364448</v>
      </c>
      <c r="V650" s="13">
        <f t="shared" ca="1" si="371"/>
        <v>1.8332838002071958</v>
      </c>
      <c r="X650" s="3">
        <f t="shared" ca="1" si="372"/>
        <v>1.3922331283610739E-4</v>
      </c>
      <c r="Y650" s="3">
        <f t="shared" ca="1" si="373"/>
        <v>3.6901653095989525E-5</v>
      </c>
      <c r="Z650" s="3">
        <f t="shared" ca="1" si="374"/>
        <v>1.0788096547536414E-2</v>
      </c>
      <c r="AA650" s="3">
        <f t="shared" ca="1" si="375"/>
        <v>8.968544703179919E-4</v>
      </c>
      <c r="AB650" s="3">
        <f t="shared" ca="1" si="376"/>
        <v>0.21090547910653065</v>
      </c>
      <c r="AC650" s="3">
        <f t="shared" ca="1" si="377"/>
        <v>-1.5496743320680488E-5</v>
      </c>
      <c r="AD650" s="3">
        <f t="shared" ca="1" si="378"/>
        <v>0.15284595362364448</v>
      </c>
      <c r="AE650" s="3">
        <f t="shared" ca="1" si="379"/>
        <v>1.8332838002071958</v>
      </c>
      <c r="AG650" s="3">
        <f t="shared" ca="1" si="380"/>
        <v>1.3922331283610739E-4</v>
      </c>
      <c r="AH650" s="3">
        <f t="shared" ca="1" si="381"/>
        <v>3.6901653095989525E-5</v>
      </c>
      <c r="AI650" s="3">
        <f t="shared" ca="1" si="382"/>
        <v>1.0758372461703407E-2</v>
      </c>
      <c r="AJ650" s="3">
        <f t="shared" ca="1" si="383"/>
        <v>8.804407501964666E-4</v>
      </c>
      <c r="AK650" s="3">
        <f t="shared" ca="1" si="384"/>
        <v>0.21090547910653065</v>
      </c>
      <c r="AL650" s="3">
        <f t="shared" ca="1" si="385"/>
        <v>-1.5496743320680488E-5</v>
      </c>
      <c r="AM650" s="3">
        <f t="shared" ca="1" si="386"/>
        <v>0.15284595362364448</v>
      </c>
      <c r="AN650" s="3">
        <f t="shared" ca="1" si="387"/>
        <v>1.8332838002071958</v>
      </c>
      <c r="AP650" s="3">
        <f t="shared" ca="1" si="388"/>
        <v>8.6924427377307936</v>
      </c>
      <c r="AQ650" s="3">
        <f t="shared" ca="1" si="360"/>
        <v>0.40045424428482274</v>
      </c>
      <c r="AR650" s="3">
        <f t="shared" ca="1" si="389"/>
        <v>3.5914917914465643E-4</v>
      </c>
      <c r="AS650" s="3">
        <f t="shared" ca="1" si="390"/>
        <v>0.15248680444449983</v>
      </c>
      <c r="AT650" s="3">
        <f t="shared" ca="1" si="391"/>
        <v>0.7095994831179242</v>
      </c>
      <c r="AU650" s="3">
        <f t="shared" ca="1" si="392"/>
        <v>5.313473920997016E-2</v>
      </c>
      <c r="AV650" s="10" t="str">
        <f t="shared" ca="1" si="395"/>
        <v>rejected</v>
      </c>
      <c r="AW650" s="10" t="e">
        <f t="shared" ca="1" si="396"/>
        <v>#N/A</v>
      </c>
      <c r="AX650" s="10"/>
      <c r="AY650" s="3">
        <f t="shared" ca="1" si="399"/>
        <v>8.6924427377307936</v>
      </c>
      <c r="AZ650" s="3">
        <f t="shared" ca="1" si="361"/>
        <v>0.40045424428482274</v>
      </c>
      <c r="BA650" s="3">
        <f t="shared" ca="1" si="393"/>
        <v>3.5257623525748841E-4</v>
      </c>
      <c r="BB650" s="3">
        <f t="shared" ca="1" si="362"/>
        <v>0.15249337738838697</v>
      </c>
      <c r="BC650" s="3">
        <f t="shared" ca="1" si="363"/>
        <v>0.70963007040448889</v>
      </c>
      <c r="BD650" s="3">
        <f t="shared" ca="1" si="394"/>
        <v>5.2988338819314383E-2</v>
      </c>
      <c r="BE650" s="3" t="str">
        <f t="shared" ca="1" si="397"/>
        <v>rejected</v>
      </c>
      <c r="BF650" s="3" t="e">
        <f t="shared" ca="1" si="398"/>
        <v>#N/A</v>
      </c>
    </row>
    <row r="651" spans="1:58" ht="15" x14ac:dyDescent="0.25">
      <c r="A651" s="72">
        <v>585</v>
      </c>
      <c r="B651" s="72">
        <v>1498730427.7060001</v>
      </c>
      <c r="C651" s="73">
        <v>2.37607854260784E-4</v>
      </c>
      <c r="D651" s="73">
        <v>-3.9449211014029703E-5</v>
      </c>
      <c r="E651" s="73">
        <v>1.14914310154739E-2</v>
      </c>
      <c r="F651" s="73">
        <v>7.3446220904312197E-4</v>
      </c>
      <c r="G651" s="73">
        <v>0.20937086473496799</v>
      </c>
      <c r="H651" s="73">
        <v>5.3770255918381703E-5</v>
      </c>
      <c r="I651" s="73">
        <v>0.151372888735162</v>
      </c>
      <c r="J651" s="73">
        <v>1.81802126709555</v>
      </c>
      <c r="K651" s="73"/>
      <c r="L651" s="73"/>
      <c r="M651" s="73"/>
      <c r="N651" s="19"/>
      <c r="O651" s="13">
        <f t="shared" ca="1" si="364"/>
        <v>-2.7079375010777588E-5</v>
      </c>
      <c r="P651" s="13">
        <f t="shared" ca="1" si="365"/>
        <v>-5.0736686398869875E-5</v>
      </c>
      <c r="Q651" s="13">
        <f t="shared" ca="1" si="366"/>
        <v>1.0650691397501215E-2</v>
      </c>
      <c r="R651" s="13">
        <f t="shared" ca="1" si="367"/>
        <v>7.2468593015244083E-4</v>
      </c>
      <c r="S651" s="13">
        <f t="shared" ca="1" si="368"/>
        <v>0.20823578610172663</v>
      </c>
      <c r="T651" s="13">
        <f t="shared" ca="1" si="369"/>
        <v>5.3420434407357613E-5</v>
      </c>
      <c r="U651" s="13">
        <f t="shared" ca="1" si="370"/>
        <v>0.15071904474037348</v>
      </c>
      <c r="V651" s="13">
        <f t="shared" ca="1" si="371"/>
        <v>1.8108824861730959</v>
      </c>
      <c r="X651" s="3">
        <f t="shared" ca="1" si="372"/>
        <v>-2.7079375010777588E-5</v>
      </c>
      <c r="Y651" s="3">
        <f t="shared" ca="1" si="373"/>
        <v>-5.0736686398869875E-5</v>
      </c>
      <c r="Z651" s="3">
        <f t="shared" ca="1" si="374"/>
        <v>1.0650282691203073E-2</v>
      </c>
      <c r="AA651" s="3">
        <f t="shared" ca="1" si="375"/>
        <v>7.1479337998149497E-4</v>
      </c>
      <c r="AB651" s="3">
        <f t="shared" ca="1" si="376"/>
        <v>0.20816384450447406</v>
      </c>
      <c r="AC651" s="3">
        <f t="shared" ca="1" si="377"/>
        <v>5.3420434407357613E-5</v>
      </c>
      <c r="AD651" s="3">
        <f t="shared" ca="1" si="378"/>
        <v>0.15061280432480523</v>
      </c>
      <c r="AE651" s="3">
        <f t="shared" ca="1" si="379"/>
        <v>1.8108393762839372</v>
      </c>
      <c r="AG651" s="3">
        <f t="shared" ca="1" si="380"/>
        <v>-2.7079375010777588E-5</v>
      </c>
      <c r="AH651" s="3">
        <f t="shared" ca="1" si="381"/>
        <v>-5.0736686398869875E-5</v>
      </c>
      <c r="AI651" s="3">
        <f t="shared" ca="1" si="382"/>
        <v>1.0650282691203073E-2</v>
      </c>
      <c r="AJ651" s="3">
        <f t="shared" ca="1" si="383"/>
        <v>7.1479337998149497E-4</v>
      </c>
      <c r="AK651" s="3">
        <f t="shared" ca="1" si="384"/>
        <v>0.20816384450447406</v>
      </c>
      <c r="AL651" s="3">
        <f t="shared" ca="1" si="385"/>
        <v>5.3420434407357613E-5</v>
      </c>
      <c r="AM651" s="3">
        <f t="shared" ca="1" si="386"/>
        <v>0.15061280432480523</v>
      </c>
      <c r="AN651" s="3">
        <f t="shared" ca="1" si="387"/>
        <v>1.8108393762839372</v>
      </c>
      <c r="AP651" s="3">
        <f t="shared" ca="1" si="388"/>
        <v>8.696307777225428</v>
      </c>
      <c r="AQ651" s="3">
        <f t="shared" ca="1" si="360"/>
        <v>0.40063446385377982</v>
      </c>
      <c r="AR651" s="3">
        <f t="shared" ca="1" si="389"/>
        <v>2.9033415908900087E-4</v>
      </c>
      <c r="AS651" s="3">
        <f t="shared" ca="1" si="390"/>
        <v>0.15042871058128449</v>
      </c>
      <c r="AT651" s="3">
        <f t="shared" ca="1" si="391"/>
        <v>0.70883806332046784</v>
      </c>
      <c r="AU651" s="3">
        <f t="shared" ca="1" si="392"/>
        <v>5.3154688567337828E-2</v>
      </c>
      <c r="AV651" s="10">
        <f t="shared" ca="1" si="395"/>
        <v>0.70883806332046784</v>
      </c>
      <c r="AW651" s="10">
        <f t="shared" ca="1" si="396"/>
        <v>0.70883806332046784</v>
      </c>
      <c r="AX651" s="10"/>
      <c r="AY651" s="3">
        <f t="shared" ca="1" si="399"/>
        <v>8.6991061324533572</v>
      </c>
      <c r="AZ651" s="3">
        <f t="shared" ca="1" si="361"/>
        <v>0.40076494653505695</v>
      </c>
      <c r="BA651" s="3">
        <f t="shared" ca="1" si="393"/>
        <v>2.8646413071189649E-4</v>
      </c>
      <c r="BB651" s="3">
        <f t="shared" ca="1" si="362"/>
        <v>0.15032634019409333</v>
      </c>
      <c r="BC651" s="3">
        <f t="shared" ca="1" si="363"/>
        <v>0.70848568949956059</v>
      </c>
      <c r="BD651" s="3">
        <f t="shared" ca="1" si="394"/>
        <v>5.3188526020683427E-2</v>
      </c>
      <c r="BE651" s="3">
        <f t="shared" ca="1" si="397"/>
        <v>0.70848568949956059</v>
      </c>
      <c r="BF651" s="3">
        <f t="shared" ca="1" si="398"/>
        <v>0.70848568949956059</v>
      </c>
    </row>
    <row r="652" spans="1:58" ht="15" x14ac:dyDescent="0.25">
      <c r="A652" s="72">
        <v>586</v>
      </c>
      <c r="B652" s="72">
        <v>1498730428.233</v>
      </c>
      <c r="C652" s="73">
        <v>2.7590973810531799E-4</v>
      </c>
      <c r="D652" s="73">
        <v>8.7404477238627298E-5</v>
      </c>
      <c r="E652" s="73">
        <v>1.1383878195754401E-2</v>
      </c>
      <c r="F652" s="73">
        <v>7.8232351433823696E-4</v>
      </c>
      <c r="G652" s="73">
        <v>0.20645345335255499</v>
      </c>
      <c r="H652" s="73">
        <v>8.9934485601749692E-6</v>
      </c>
      <c r="I652" s="73">
        <v>0.14938438820487501</v>
      </c>
      <c r="J652" s="73">
        <v>1.7915094778348599</v>
      </c>
      <c r="K652" s="73"/>
      <c r="L652" s="73"/>
      <c r="M652" s="73"/>
      <c r="N652" s="19"/>
      <c r="O652" s="13">
        <f t="shared" ca="1" si="364"/>
        <v>1.1222508833756402E-5</v>
      </c>
      <c r="P652" s="13">
        <f t="shared" ca="1" si="365"/>
        <v>7.6117001853787119E-5</v>
      </c>
      <c r="Q652" s="13">
        <f t="shared" ca="1" si="366"/>
        <v>1.0543138577781715E-2</v>
      </c>
      <c r="R652" s="13">
        <f t="shared" ca="1" si="367"/>
        <v>7.7254723544755582E-4</v>
      </c>
      <c r="S652" s="13">
        <f t="shared" ca="1" si="368"/>
        <v>0.20531837471931363</v>
      </c>
      <c r="T652" s="13">
        <f t="shared" ca="1" si="369"/>
        <v>8.6436270491508827E-6</v>
      </c>
      <c r="U652" s="13">
        <f t="shared" ca="1" si="370"/>
        <v>0.1487305442100865</v>
      </c>
      <c r="V652" s="13">
        <f t="shared" ca="1" si="371"/>
        <v>1.7843706969124058</v>
      </c>
      <c r="X652" s="3">
        <f t="shared" ca="1" si="372"/>
        <v>1.1222508833756402E-5</v>
      </c>
      <c r="Y652" s="3">
        <f t="shared" ca="1" si="373"/>
        <v>7.6117001853787119E-5</v>
      </c>
      <c r="Z652" s="3">
        <f t="shared" ca="1" si="374"/>
        <v>1.0543072447566696E-2</v>
      </c>
      <c r="AA652" s="3">
        <f t="shared" ca="1" si="375"/>
        <v>7.7094658365220296E-4</v>
      </c>
      <c r="AB652" s="3">
        <f t="shared" ca="1" si="376"/>
        <v>0.20530673429851082</v>
      </c>
      <c r="AC652" s="3">
        <f t="shared" ca="1" si="377"/>
        <v>8.6436270491508827E-6</v>
      </c>
      <c r="AD652" s="3">
        <f t="shared" ca="1" si="378"/>
        <v>0.14871335411158007</v>
      </c>
      <c r="AE652" s="3">
        <f t="shared" ca="1" si="379"/>
        <v>1.7843637215703265</v>
      </c>
      <c r="AG652" s="3">
        <f t="shared" ca="1" si="380"/>
        <v>1.1222508833756402E-5</v>
      </c>
      <c r="AH652" s="3">
        <f t="shared" ca="1" si="381"/>
        <v>7.6117001853787119E-5</v>
      </c>
      <c r="AI652" s="3">
        <f t="shared" ca="1" si="382"/>
        <v>1.0481760606317531E-2</v>
      </c>
      <c r="AJ652" s="3">
        <f t="shared" ca="1" si="383"/>
        <v>7.3709002005414924E-4</v>
      </c>
      <c r="AK652" s="3">
        <f t="shared" ca="1" si="384"/>
        <v>0.20530673429851082</v>
      </c>
      <c r="AL652" s="3">
        <f t="shared" ca="1" si="385"/>
        <v>8.6436270491508827E-6</v>
      </c>
      <c r="AM652" s="3">
        <f t="shared" ca="1" si="386"/>
        <v>0.14871335411158007</v>
      </c>
      <c r="AN652" s="3">
        <f t="shared" ca="1" si="387"/>
        <v>1.7843637215703265</v>
      </c>
      <c r="AP652" s="3">
        <f t="shared" ca="1" si="388"/>
        <v>8.6907501549814086</v>
      </c>
      <c r="AQ652" s="3">
        <f t="shared" ref="AQ652:AQ666" ca="1" si="400">$B$8*((AP652/$B$10)^$B$11)</f>
        <v>0.40037532262016445</v>
      </c>
      <c r="AR652" s="3">
        <f t="shared" ca="1" si="389"/>
        <v>3.0930884863163133E-4</v>
      </c>
      <c r="AS652" s="3">
        <f t="shared" ca="1" si="390"/>
        <v>0.14842123536145488</v>
      </c>
      <c r="AT652" s="3">
        <f t="shared" ca="1" si="391"/>
        <v>0.70954460871556557</v>
      </c>
      <c r="AU652" s="3">
        <f t="shared" ca="1" si="392"/>
        <v>5.3330683338302404E-2</v>
      </c>
      <c r="AV652" s="10" t="str">
        <f t="shared" ca="1" si="395"/>
        <v>rejected</v>
      </c>
      <c r="AW652" s="10" t="e">
        <f t="shared" ca="1" si="396"/>
        <v>#N/A</v>
      </c>
      <c r="AX652" s="10"/>
      <c r="AY652" s="3">
        <f t="shared" ca="1" si="399"/>
        <v>8.6912089253531573</v>
      </c>
      <c r="AZ652" s="3">
        <f t="shared" ref="AZ652:AZ666" ca="1" si="401">$B$8*((AY652/$B$10)^$B$11)</f>
        <v>0.40039671412393441</v>
      </c>
      <c r="BA652" s="3">
        <f t="shared" ca="1" si="393"/>
        <v>2.9512842204322629E-4</v>
      </c>
      <c r="BB652" s="3">
        <f t="shared" ref="BB652:BB666" ca="1" si="402">AM652-BA652</f>
        <v>0.14841822568953683</v>
      </c>
      <c r="BC652" s="3">
        <f t="shared" ref="BC652:BC666" ca="1" si="403">(BB652/AK652)/((AY652/$B$10)^$B$12)</f>
        <v>0.7095515869993867</v>
      </c>
      <c r="BD652" s="3">
        <f t="shared" ca="1" si="394"/>
        <v>5.302608346327372E-2</v>
      </c>
      <c r="BE652" s="3" t="str">
        <f t="shared" ca="1" si="397"/>
        <v>rejected</v>
      </c>
      <c r="BF652" s="3" t="e">
        <f t="shared" ca="1" si="398"/>
        <v>#N/A</v>
      </c>
    </row>
    <row r="653" spans="1:58" ht="15" x14ac:dyDescent="0.25">
      <c r="A653" s="72">
        <v>587</v>
      </c>
      <c r="B653" s="72">
        <v>1498730428.76</v>
      </c>
      <c r="C653" s="73">
        <v>2.10488154105593E-4</v>
      </c>
      <c r="D653" s="73">
        <v>6.4016823667270895E-5</v>
      </c>
      <c r="E653" s="73">
        <v>1.16950186903727E-2</v>
      </c>
      <c r="F653" s="73">
        <v>7.26366493587212E-4</v>
      </c>
      <c r="G653" s="73">
        <v>0.21313265640107101</v>
      </c>
      <c r="H653" s="73">
        <v>-5.9821810295608499E-5</v>
      </c>
      <c r="I653" s="73">
        <v>0.15401046250227399</v>
      </c>
      <c r="J653" s="73">
        <v>1.8489299608874299</v>
      </c>
      <c r="K653" s="73"/>
      <c r="L653" s="73"/>
      <c r="M653" s="73"/>
      <c r="N653" s="19"/>
      <c r="O653" s="13">
        <f t="shared" ca="1" si="364"/>
        <v>-5.4199075165968583E-5</v>
      </c>
      <c r="P653" s="13">
        <f t="shared" ca="1" si="365"/>
        <v>5.2729348282430724E-5</v>
      </c>
      <c r="Q653" s="13">
        <f t="shared" ca="1" si="366"/>
        <v>1.0854279072400014E-2</v>
      </c>
      <c r="R653" s="13">
        <f t="shared" ca="1" si="367"/>
        <v>7.1659021469653087E-4</v>
      </c>
      <c r="S653" s="13">
        <f t="shared" ca="1" si="368"/>
        <v>0.21199757776782965</v>
      </c>
      <c r="T653" s="13">
        <f t="shared" ca="1" si="369"/>
        <v>-6.0171631806632589E-5</v>
      </c>
      <c r="U653" s="13">
        <f t="shared" ca="1" si="370"/>
        <v>0.15335661850748547</v>
      </c>
      <c r="V653" s="13">
        <f t="shared" ca="1" si="371"/>
        <v>1.8417911799649758</v>
      </c>
      <c r="X653" s="3">
        <f t="shared" ca="1" si="372"/>
        <v>-5.4199075165968583E-5</v>
      </c>
      <c r="Y653" s="3">
        <f t="shared" ca="1" si="373"/>
        <v>5.2729348282430724E-5</v>
      </c>
      <c r="Z653" s="3">
        <f t="shared" ca="1" si="374"/>
        <v>1.0854279072400014E-2</v>
      </c>
      <c r="AA653" s="3">
        <f t="shared" ca="1" si="375"/>
        <v>7.1659021469653087E-4</v>
      </c>
      <c r="AB653" s="3">
        <f t="shared" ca="1" si="376"/>
        <v>0.21199757776782965</v>
      </c>
      <c r="AC653" s="3">
        <f t="shared" ca="1" si="377"/>
        <v>-6.0171631806632589E-5</v>
      </c>
      <c r="AD653" s="3">
        <f t="shared" ca="1" si="378"/>
        <v>0.15335661850748547</v>
      </c>
      <c r="AE653" s="3">
        <f t="shared" ca="1" si="379"/>
        <v>1.8417911799649758</v>
      </c>
      <c r="AG653" s="3">
        <f t="shared" ca="1" si="380"/>
        <v>-5.4199075165968583E-5</v>
      </c>
      <c r="AH653" s="3">
        <f t="shared" ca="1" si="381"/>
        <v>5.2729348282430724E-5</v>
      </c>
      <c r="AI653" s="3">
        <f t="shared" ca="1" si="382"/>
        <v>1.0811805862048475E-2</v>
      </c>
      <c r="AJ653" s="3">
        <f t="shared" ca="1" si="383"/>
        <v>6.9313639373498939E-4</v>
      </c>
      <c r="AK653" s="3">
        <f t="shared" ca="1" si="384"/>
        <v>0.21199757776782965</v>
      </c>
      <c r="AL653" s="3">
        <f t="shared" ca="1" si="385"/>
        <v>-6.0171631806632589E-5</v>
      </c>
      <c r="AM653" s="3">
        <f t="shared" ca="1" si="386"/>
        <v>0.15335661850748547</v>
      </c>
      <c r="AN653" s="3">
        <f t="shared" ca="1" si="387"/>
        <v>1.8417911799649758</v>
      </c>
      <c r="AP653" s="3">
        <f t="shared" ca="1" si="388"/>
        <v>8.6877935085750071</v>
      </c>
      <c r="AQ653" s="3">
        <f t="shared" ca="1" si="400"/>
        <v>0.4002374607051532</v>
      </c>
      <c r="AR653" s="3">
        <f t="shared" ca="1" si="389"/>
        <v>2.8680624789630008E-4</v>
      </c>
      <c r="AS653" s="3">
        <f t="shared" ca="1" si="390"/>
        <v>0.15306981225958918</v>
      </c>
      <c r="AT653" s="3">
        <f t="shared" ca="1" si="391"/>
        <v>0.70883401398175427</v>
      </c>
      <c r="AU653" s="3">
        <f t="shared" ca="1" si="392"/>
        <v>5.3156199825158838E-2</v>
      </c>
      <c r="AV653" s="10">
        <f t="shared" ca="1" si="395"/>
        <v>0.70883401398175427</v>
      </c>
      <c r="AW653" s="10">
        <f t="shared" ca="1" si="396"/>
        <v>0.70883401398175427</v>
      </c>
      <c r="AX653" s="10"/>
      <c r="AY653" s="3">
        <f t="shared" ca="1" si="399"/>
        <v>8.6877935085750071</v>
      </c>
      <c r="AZ653" s="3">
        <f t="shared" ca="1" si="401"/>
        <v>0.4002374607051532</v>
      </c>
      <c r="BA653" s="3">
        <f t="shared" ca="1" si="393"/>
        <v>2.774191501508194E-4</v>
      </c>
      <c r="BB653" s="3">
        <f t="shared" ca="1" si="402"/>
        <v>0.15307919935733466</v>
      </c>
      <c r="BC653" s="3">
        <f t="shared" ca="1" si="403"/>
        <v>0.708877483651419</v>
      </c>
      <c r="BD653" s="3">
        <f t="shared" ca="1" si="394"/>
        <v>5.2948197576312729E-2</v>
      </c>
      <c r="BE653" s="3">
        <f t="shared" ca="1" si="397"/>
        <v>0.708877483651419</v>
      </c>
      <c r="BF653" s="3">
        <f t="shared" ca="1" si="398"/>
        <v>0.708877483651419</v>
      </c>
    </row>
    <row r="654" spans="1:58" ht="15" x14ac:dyDescent="0.25">
      <c r="A654" s="72">
        <v>588</v>
      </c>
      <c r="B654" s="72">
        <v>1498730429.2869999</v>
      </c>
      <c r="C654" s="73">
        <v>2.0882293336106799E-4</v>
      </c>
      <c r="D654" s="73">
        <v>-6.23614626120388E-5</v>
      </c>
      <c r="E654" s="73">
        <v>1.17356930099462E-2</v>
      </c>
      <c r="F654" s="73">
        <v>9.4402119993494996E-4</v>
      </c>
      <c r="G654" s="73">
        <v>0.212975108541792</v>
      </c>
      <c r="H654" s="73">
        <v>-1.9752293690051499E-5</v>
      </c>
      <c r="I654" s="73">
        <v>0.154201128601586</v>
      </c>
      <c r="J654" s="73">
        <v>1.84920553610801</v>
      </c>
      <c r="K654" s="73"/>
      <c r="L654" s="73"/>
      <c r="M654" s="73"/>
      <c r="N654" s="19"/>
      <c r="O654" s="13">
        <f t="shared" ca="1" si="364"/>
        <v>-5.5864295910493597E-5</v>
      </c>
      <c r="P654" s="13">
        <f t="shared" ca="1" si="365"/>
        <v>-7.3648937996878978E-5</v>
      </c>
      <c r="Q654" s="13">
        <f t="shared" ca="1" si="366"/>
        <v>1.0894953391973515E-2</v>
      </c>
      <c r="R654" s="13">
        <f t="shared" ca="1" si="367"/>
        <v>9.3424492104426883E-4</v>
      </c>
      <c r="S654" s="13">
        <f t="shared" ca="1" si="368"/>
        <v>0.21184002990855064</v>
      </c>
      <c r="T654" s="13">
        <f t="shared" ca="1" si="369"/>
        <v>-2.0102115201075586E-5</v>
      </c>
      <c r="U654" s="13">
        <f t="shared" ca="1" si="370"/>
        <v>0.15354728460679748</v>
      </c>
      <c r="V654" s="13">
        <f t="shared" ca="1" si="371"/>
        <v>1.8420667551855558</v>
      </c>
      <c r="X654" s="3">
        <f t="shared" ca="1" si="372"/>
        <v>-5.5864295910493597E-5</v>
      </c>
      <c r="Y654" s="3">
        <f t="shared" ca="1" si="373"/>
        <v>-7.3648937996878978E-5</v>
      </c>
      <c r="Z654" s="3">
        <f t="shared" ca="1" si="374"/>
        <v>1.0894953391973515E-2</v>
      </c>
      <c r="AA654" s="3">
        <f t="shared" ca="1" si="375"/>
        <v>9.3424492104426883E-4</v>
      </c>
      <c r="AB654" s="3">
        <f t="shared" ca="1" si="376"/>
        <v>0.21184002990855064</v>
      </c>
      <c r="AC654" s="3">
        <f t="shared" ca="1" si="377"/>
        <v>-2.0102115201075586E-5</v>
      </c>
      <c r="AD654" s="3">
        <f t="shared" ca="1" si="378"/>
        <v>0.15354728460679748</v>
      </c>
      <c r="AE654" s="3">
        <f t="shared" ca="1" si="379"/>
        <v>1.8420667551855558</v>
      </c>
      <c r="AG654" s="3">
        <f t="shared" ca="1" si="380"/>
        <v>-5.5864295910493597E-5</v>
      </c>
      <c r="AH654" s="3">
        <f t="shared" ca="1" si="381"/>
        <v>-7.3648937996878978E-5</v>
      </c>
      <c r="AI654" s="3">
        <f t="shared" ca="1" si="382"/>
        <v>1.0894953391973515E-2</v>
      </c>
      <c r="AJ654" s="3">
        <f t="shared" ca="1" si="383"/>
        <v>9.3424492104426883E-4</v>
      </c>
      <c r="AK654" s="3">
        <f t="shared" ca="1" si="384"/>
        <v>0.21184002990855064</v>
      </c>
      <c r="AL654" s="3">
        <f t="shared" ca="1" si="385"/>
        <v>-2.0102115201075586E-5</v>
      </c>
      <c r="AM654" s="3">
        <f t="shared" ca="1" si="386"/>
        <v>0.15354728460679748</v>
      </c>
      <c r="AN654" s="3">
        <f t="shared" ca="1" si="387"/>
        <v>1.8420667551855558</v>
      </c>
      <c r="AP654" s="3">
        <f t="shared" ca="1" si="388"/>
        <v>8.6955555849418964</v>
      </c>
      <c r="AQ654" s="3">
        <f t="shared" ca="1" si="400"/>
        <v>0.4005993904570867</v>
      </c>
      <c r="AR654" s="3">
        <f t="shared" ca="1" si="389"/>
        <v>3.7425794590796319E-4</v>
      </c>
      <c r="AS654" s="3">
        <f t="shared" ca="1" si="390"/>
        <v>0.15317302666088953</v>
      </c>
      <c r="AT654" s="3">
        <f t="shared" ca="1" si="391"/>
        <v>0.70952033532711978</v>
      </c>
      <c r="AU654" s="3">
        <f t="shared" ca="1" si="392"/>
        <v>5.3443888771936135E-2</v>
      </c>
      <c r="AV654" s="10" t="str">
        <f t="shared" ca="1" si="395"/>
        <v>rejected</v>
      </c>
      <c r="AW654" s="10" t="e">
        <f t="shared" ca="1" si="396"/>
        <v>#N/A</v>
      </c>
      <c r="AX654" s="10"/>
      <c r="AY654" s="3">
        <f t="shared" ca="1" si="399"/>
        <v>8.6955555849418964</v>
      </c>
      <c r="AZ654" s="3">
        <f t="shared" ca="1" si="401"/>
        <v>0.4005993904570867</v>
      </c>
      <c r="BA654" s="3">
        <f t="shared" ca="1" si="393"/>
        <v>3.7425794590796319E-4</v>
      </c>
      <c r="BB654" s="3">
        <f t="shared" ca="1" si="402"/>
        <v>0.15317302666088953</v>
      </c>
      <c r="BC654" s="3">
        <f t="shared" ca="1" si="403"/>
        <v>0.70952033532711978</v>
      </c>
      <c r="BD654" s="3">
        <f t="shared" ca="1" si="394"/>
        <v>5.3443888771936135E-2</v>
      </c>
      <c r="BE654" s="3" t="str">
        <f t="shared" ca="1" si="397"/>
        <v>rejected</v>
      </c>
      <c r="BF654" s="3" t="e">
        <f t="shared" ca="1" si="398"/>
        <v>#N/A</v>
      </c>
    </row>
    <row r="655" spans="1:58" ht="15" x14ac:dyDescent="0.25">
      <c r="A655" s="72">
        <v>589</v>
      </c>
      <c r="B655" s="72">
        <v>1498730429.8139999</v>
      </c>
      <c r="C655" s="73">
        <v>2.07871379896606E-4</v>
      </c>
      <c r="D655" s="73">
        <v>4.0393490820292603E-5</v>
      </c>
      <c r="E655" s="73">
        <v>1.1936681865069E-2</v>
      </c>
      <c r="F655" s="73">
        <v>8.5519139681207901E-4</v>
      </c>
      <c r="G655" s="73">
        <v>0.21733325015080701</v>
      </c>
      <c r="H655" s="73">
        <v>-1.54211278869855E-6</v>
      </c>
      <c r="I655" s="73">
        <v>0.15709109959279799</v>
      </c>
      <c r="J655" s="73">
        <v>1.8846605363120701</v>
      </c>
      <c r="K655" s="73"/>
      <c r="L655" s="73"/>
      <c r="M655" s="73"/>
      <c r="N655" s="19"/>
      <c r="O655" s="13">
        <f t="shared" ca="1" si="364"/>
        <v>-5.6815849374955587E-5</v>
      </c>
      <c r="P655" s="13">
        <f t="shared" ca="1" si="365"/>
        <v>2.9106015435452431E-5</v>
      </c>
      <c r="Q655" s="13">
        <f t="shared" ca="1" si="366"/>
        <v>1.1095942247096315E-2</v>
      </c>
      <c r="R655" s="13">
        <f t="shared" ca="1" si="367"/>
        <v>8.4541511792139788E-4</v>
      </c>
      <c r="S655" s="13">
        <f t="shared" ca="1" si="368"/>
        <v>0.21619817151756565</v>
      </c>
      <c r="T655" s="13">
        <f t="shared" ca="1" si="369"/>
        <v>-1.8919342997226367E-6</v>
      </c>
      <c r="U655" s="13">
        <f t="shared" ca="1" si="370"/>
        <v>0.15643725559800947</v>
      </c>
      <c r="V655" s="13">
        <f t="shared" ca="1" si="371"/>
        <v>1.877521755389616</v>
      </c>
      <c r="X655" s="3">
        <f t="shared" ca="1" si="372"/>
        <v>-5.6815849374955587E-5</v>
      </c>
      <c r="Y655" s="3">
        <f t="shared" ca="1" si="373"/>
        <v>2.9106015435452431E-5</v>
      </c>
      <c r="Z655" s="3">
        <f t="shared" ca="1" si="374"/>
        <v>1.1095942247096315E-2</v>
      </c>
      <c r="AA655" s="3">
        <f t="shared" ca="1" si="375"/>
        <v>8.4541511792139788E-4</v>
      </c>
      <c r="AB655" s="3">
        <f t="shared" ca="1" si="376"/>
        <v>0.21619817151756565</v>
      </c>
      <c r="AC655" s="3">
        <f t="shared" ca="1" si="377"/>
        <v>-1.8919342997226367E-6</v>
      </c>
      <c r="AD655" s="3">
        <f t="shared" ca="1" si="378"/>
        <v>0.15643725559800947</v>
      </c>
      <c r="AE655" s="3">
        <f t="shared" ca="1" si="379"/>
        <v>1.877521755389616</v>
      </c>
      <c r="AG655" s="3">
        <f t="shared" ca="1" si="380"/>
        <v>-5.6815849374955587E-5</v>
      </c>
      <c r="AH655" s="3">
        <f t="shared" ca="1" si="381"/>
        <v>2.9106015435452431E-5</v>
      </c>
      <c r="AI655" s="3">
        <f t="shared" ca="1" si="382"/>
        <v>1.1072497506048813E-2</v>
      </c>
      <c r="AJ655" s="3">
        <f t="shared" ca="1" si="383"/>
        <v>8.3246886887484138E-4</v>
      </c>
      <c r="AK655" s="3">
        <f t="shared" ca="1" si="384"/>
        <v>0.21619817151756565</v>
      </c>
      <c r="AL655" s="3">
        <f t="shared" ca="1" si="385"/>
        <v>-1.8919342997226367E-6</v>
      </c>
      <c r="AM655" s="3">
        <f t="shared" ca="1" si="386"/>
        <v>0.15643725559800947</v>
      </c>
      <c r="AN655" s="3">
        <f t="shared" ca="1" si="387"/>
        <v>1.877521755389616</v>
      </c>
      <c r="AP655" s="3">
        <f t="shared" ca="1" si="388"/>
        <v>8.6842628788702374</v>
      </c>
      <c r="AQ655" s="3">
        <f t="shared" ca="1" si="400"/>
        <v>0.40007283595764531</v>
      </c>
      <c r="AR655" s="3">
        <f t="shared" ca="1" si="389"/>
        <v>3.3822762378828077E-4</v>
      </c>
      <c r="AS655" s="3">
        <f t="shared" ca="1" si="390"/>
        <v>0.15609902797422121</v>
      </c>
      <c r="AT655" s="3">
        <f t="shared" ca="1" si="391"/>
        <v>0.70896203519015832</v>
      </c>
      <c r="AU655" s="3">
        <f t="shared" ca="1" si="392"/>
        <v>5.3261743488611325E-2</v>
      </c>
      <c r="AV655" s="10">
        <f t="shared" ca="1" si="395"/>
        <v>0.70896203519015832</v>
      </c>
      <c r="AW655" s="10">
        <f t="shared" ca="1" si="396"/>
        <v>0.70896203519015832</v>
      </c>
      <c r="AX655" s="10"/>
      <c r="AY655" s="3">
        <f t="shared" ca="1" si="399"/>
        <v>8.6842628788702374</v>
      </c>
      <c r="AZ655" s="3">
        <f t="shared" ca="1" si="401"/>
        <v>0.40007283595764531</v>
      </c>
      <c r="BA655" s="3">
        <f t="shared" ca="1" si="393"/>
        <v>3.3304818121721096E-4</v>
      </c>
      <c r="BB655" s="3">
        <f t="shared" ca="1" si="402"/>
        <v>0.15610420741679226</v>
      </c>
      <c r="BC655" s="3">
        <f t="shared" ca="1" si="403"/>
        <v>0.70898555889939574</v>
      </c>
      <c r="BD655" s="3">
        <f t="shared" ca="1" si="394"/>
        <v>5.3149206152347188E-2</v>
      </c>
      <c r="BE655" s="3">
        <f t="shared" ca="1" si="397"/>
        <v>0.70898555889939574</v>
      </c>
      <c r="BF655" s="3">
        <f t="shared" ca="1" si="398"/>
        <v>0.70898555889939574</v>
      </c>
    </row>
    <row r="656" spans="1:58" ht="15" x14ac:dyDescent="0.25">
      <c r="A656" s="72">
        <v>590</v>
      </c>
      <c r="B656" s="72">
        <v>1498730430.3410001</v>
      </c>
      <c r="C656" s="73">
        <v>2.8090574431068602E-4</v>
      </c>
      <c r="D656" s="73">
        <v>5.4319903940314998E-6</v>
      </c>
      <c r="E656" s="73">
        <v>1.2714054297403399E-2</v>
      </c>
      <c r="F656" s="73">
        <v>8.9972438593751499E-4</v>
      </c>
      <c r="G656" s="73">
        <v>0.23275803968533601</v>
      </c>
      <c r="H656" s="73">
        <v>-3.5498842855569599E-6</v>
      </c>
      <c r="I656" s="73">
        <v>0.16822402058056099</v>
      </c>
      <c r="J656" s="73">
        <v>2.0184012601549601</v>
      </c>
      <c r="K656" s="73"/>
      <c r="L656" s="73"/>
      <c r="M656" s="73"/>
      <c r="N656" s="19"/>
      <c r="O656" s="13">
        <f t="shared" ca="1" si="364"/>
        <v>1.621851503912444E-5</v>
      </c>
      <c r="P656" s="13">
        <f t="shared" ca="1" si="365"/>
        <v>-5.8554849908086734E-6</v>
      </c>
      <c r="Q656" s="13">
        <f t="shared" ca="1" si="366"/>
        <v>1.1873314679430714E-2</v>
      </c>
      <c r="R656" s="13">
        <f t="shared" ca="1" si="367"/>
        <v>8.8994810704683385E-4</v>
      </c>
      <c r="S656" s="13">
        <f t="shared" ca="1" si="368"/>
        <v>0.23162296105209465</v>
      </c>
      <c r="T656" s="13">
        <f t="shared" ca="1" si="369"/>
        <v>-3.8997057965810464E-6</v>
      </c>
      <c r="U656" s="13">
        <f t="shared" ca="1" si="370"/>
        <v>0.16757017658577247</v>
      </c>
      <c r="V656" s="13">
        <f t="shared" ca="1" si="371"/>
        <v>2.011262479232506</v>
      </c>
      <c r="X656" s="3">
        <f t="shared" ca="1" si="372"/>
        <v>1.621851503912444E-5</v>
      </c>
      <c r="Y656" s="3">
        <f t="shared" ca="1" si="373"/>
        <v>-5.8554849908086734E-6</v>
      </c>
      <c r="Z656" s="3">
        <f t="shared" ca="1" si="374"/>
        <v>1.1873314679430714E-2</v>
      </c>
      <c r="AA656" s="3">
        <f t="shared" ca="1" si="375"/>
        <v>8.8994810704683385E-4</v>
      </c>
      <c r="AB656" s="3">
        <f t="shared" ca="1" si="376"/>
        <v>0.23162296105209465</v>
      </c>
      <c r="AC656" s="3">
        <f t="shared" ca="1" si="377"/>
        <v>-3.8997057965810464E-6</v>
      </c>
      <c r="AD656" s="3">
        <f t="shared" ca="1" si="378"/>
        <v>0.16757017658577247</v>
      </c>
      <c r="AE656" s="3">
        <f t="shared" ca="1" si="379"/>
        <v>2.011262479232506</v>
      </c>
      <c r="AG656" s="3">
        <f t="shared" ca="1" si="380"/>
        <v>1.621851503912444E-5</v>
      </c>
      <c r="AH656" s="3">
        <f t="shared" ca="1" si="381"/>
        <v>-5.8554849908086734E-6</v>
      </c>
      <c r="AI656" s="3">
        <f t="shared" ca="1" si="382"/>
        <v>1.1873314679430714E-2</v>
      </c>
      <c r="AJ656" s="3">
        <f t="shared" ca="1" si="383"/>
        <v>8.8994810704683385E-4</v>
      </c>
      <c r="AK656" s="3">
        <f t="shared" ca="1" si="384"/>
        <v>0.23162296105209465</v>
      </c>
      <c r="AL656" s="3">
        <f t="shared" ca="1" si="385"/>
        <v>-3.8997057965810464E-6</v>
      </c>
      <c r="AM656" s="3">
        <f t="shared" ca="1" si="386"/>
        <v>0.16757017658577247</v>
      </c>
      <c r="AN656" s="3">
        <f t="shared" ca="1" si="387"/>
        <v>2.011262479232506</v>
      </c>
      <c r="AP656" s="3">
        <f t="shared" ca="1" si="388"/>
        <v>8.6833467204494905</v>
      </c>
      <c r="AQ656" s="3">
        <f t="shared" ca="1" si="400"/>
        <v>0.40003011783283299</v>
      </c>
      <c r="AR656" s="3">
        <f t="shared" ca="1" si="389"/>
        <v>3.5600604612705163E-4</v>
      </c>
      <c r="AS656" s="3">
        <f t="shared" ca="1" si="390"/>
        <v>0.16721417053964543</v>
      </c>
      <c r="AT656" s="3">
        <f t="shared" ca="1" si="391"/>
        <v>0.70890712441062265</v>
      </c>
      <c r="AU656" s="3">
        <f t="shared" ca="1" si="392"/>
        <v>5.3192045598064223E-2</v>
      </c>
      <c r="AV656" s="10">
        <f t="shared" ca="1" si="395"/>
        <v>0.70890712441062265</v>
      </c>
      <c r="AW656" s="10">
        <f t="shared" ca="1" si="396"/>
        <v>0.70890712441062265</v>
      </c>
      <c r="AX656" s="10"/>
      <c r="AY656" s="3">
        <f t="shared" ca="1" si="399"/>
        <v>8.6833467204494905</v>
      </c>
      <c r="AZ656" s="3">
        <f t="shared" ca="1" si="401"/>
        <v>0.40003011783283299</v>
      </c>
      <c r="BA656" s="3">
        <f t="shared" ca="1" si="393"/>
        <v>3.5600604612705163E-4</v>
      </c>
      <c r="BB656" s="3">
        <f t="shared" ca="1" si="402"/>
        <v>0.16721417053964543</v>
      </c>
      <c r="BC656" s="3">
        <f t="shared" ca="1" si="403"/>
        <v>0.70890712441062265</v>
      </c>
      <c r="BD656" s="3">
        <f t="shared" ca="1" si="394"/>
        <v>5.3192045598064223E-2</v>
      </c>
      <c r="BE656" s="3">
        <f t="shared" ca="1" si="397"/>
        <v>0.70890712441062265</v>
      </c>
      <c r="BF656" s="3">
        <f t="shared" ca="1" si="398"/>
        <v>0.70890712441062265</v>
      </c>
    </row>
    <row r="657" spans="1:58" ht="15" x14ac:dyDescent="0.25">
      <c r="A657" s="72">
        <v>591</v>
      </c>
      <c r="B657" s="72">
        <v>1498730430.8670001</v>
      </c>
      <c r="C657" s="73">
        <v>3.90586273305264E-4</v>
      </c>
      <c r="D657" s="73">
        <v>6.5198005073992694E-5</v>
      </c>
      <c r="E657" s="73">
        <v>1.3729535708443499E-2</v>
      </c>
      <c r="F657" s="73">
        <v>1.0400043682200701E-3</v>
      </c>
      <c r="G657" s="73">
        <v>0.25295691808495302</v>
      </c>
      <c r="H657" s="73">
        <v>4.47660130985578E-5</v>
      </c>
      <c r="I657" s="73">
        <v>0.18289654243039999</v>
      </c>
      <c r="J657" s="73">
        <v>2.1926764974161701</v>
      </c>
      <c r="K657" s="73"/>
      <c r="L657" s="73"/>
      <c r="M657" s="73"/>
      <c r="N657" s="19"/>
      <c r="O657" s="13">
        <f t="shared" ca="1" si="364"/>
        <v>1.2589904403370242E-4</v>
      </c>
      <c r="P657" s="13">
        <f t="shared" ca="1" si="365"/>
        <v>5.3910529689152522E-5</v>
      </c>
      <c r="Q657" s="13">
        <f t="shared" ca="1" si="366"/>
        <v>1.2888796090470814E-2</v>
      </c>
      <c r="R657" s="13">
        <f t="shared" ca="1" si="367"/>
        <v>1.0302280893293889E-3</v>
      </c>
      <c r="S657" s="13">
        <f t="shared" ca="1" si="368"/>
        <v>0.25182183945171166</v>
      </c>
      <c r="T657" s="13">
        <f t="shared" ca="1" si="369"/>
        <v>4.441619158753371E-5</v>
      </c>
      <c r="U657" s="13">
        <f t="shared" ca="1" si="370"/>
        <v>0.18224269843561147</v>
      </c>
      <c r="V657" s="13">
        <f t="shared" ca="1" si="371"/>
        <v>2.185537716493716</v>
      </c>
      <c r="X657" s="3">
        <f t="shared" ca="1" si="372"/>
        <v>1.2589904403370242E-4</v>
      </c>
      <c r="Y657" s="3">
        <f t="shared" ca="1" si="373"/>
        <v>5.3910529689152522E-5</v>
      </c>
      <c r="Z657" s="3">
        <f t="shared" ca="1" si="374"/>
        <v>1.2888456273368189E-2</v>
      </c>
      <c r="AA657" s="3">
        <f t="shared" ca="1" si="375"/>
        <v>1.0220029708226494E-3</v>
      </c>
      <c r="AB657" s="3">
        <f t="shared" ca="1" si="376"/>
        <v>0.25176202391853353</v>
      </c>
      <c r="AC657" s="3">
        <f t="shared" ca="1" si="377"/>
        <v>4.441619158753371E-5</v>
      </c>
      <c r="AD657" s="3">
        <f t="shared" ca="1" si="378"/>
        <v>0.18215436529671866</v>
      </c>
      <c r="AE657" s="3">
        <f t="shared" ca="1" si="379"/>
        <v>2.1855018729608537</v>
      </c>
      <c r="AG657" s="3">
        <f t="shared" ca="1" si="380"/>
        <v>1.2589904403370242E-4</v>
      </c>
      <c r="AH657" s="3">
        <f t="shared" ca="1" si="381"/>
        <v>5.3910529689152522E-5</v>
      </c>
      <c r="AI657" s="3">
        <f t="shared" ca="1" si="382"/>
        <v>1.2845031627658824E-2</v>
      </c>
      <c r="AJ657" s="3">
        <f t="shared" ca="1" si="383"/>
        <v>9.9802376469821969E-4</v>
      </c>
      <c r="AK657" s="3">
        <f t="shared" ca="1" si="384"/>
        <v>0.25176202391853353</v>
      </c>
      <c r="AL657" s="3">
        <f t="shared" ca="1" si="385"/>
        <v>4.441619158753371E-5</v>
      </c>
      <c r="AM657" s="3">
        <f t="shared" ca="1" si="386"/>
        <v>0.18215436529671866</v>
      </c>
      <c r="AN657" s="3">
        <f t="shared" ca="1" si="387"/>
        <v>2.1855018729608537</v>
      </c>
      <c r="AP657" s="3">
        <f t="shared" ca="1" si="388"/>
        <v>8.6789045829077338</v>
      </c>
      <c r="AQ657" s="3">
        <f t="shared" ca="1" si="400"/>
        <v>0.39982299309170549</v>
      </c>
      <c r="AR657" s="3">
        <f t="shared" ca="1" si="389"/>
        <v>4.119088782428252E-4</v>
      </c>
      <c r="AS657" s="3">
        <f t="shared" ca="1" si="390"/>
        <v>0.18183078955736864</v>
      </c>
      <c r="AT657" s="3">
        <f t="shared" ca="1" si="391"/>
        <v>0.70922464228093829</v>
      </c>
      <c r="AU657" s="3">
        <f t="shared" ca="1" si="392"/>
        <v>5.3082074687489586E-2</v>
      </c>
      <c r="AV657" s="10">
        <f t="shared" ca="1" si="395"/>
        <v>0.70922464228093829</v>
      </c>
      <c r="AW657" s="10">
        <f t="shared" ca="1" si="396"/>
        <v>0.70922464228093829</v>
      </c>
      <c r="AX657" s="10"/>
      <c r="AY657" s="3">
        <f t="shared" ca="1" si="399"/>
        <v>8.6808242122650316</v>
      </c>
      <c r="AZ657" s="3">
        <f t="shared" ca="1" si="401"/>
        <v>0.39991250000798362</v>
      </c>
      <c r="BA657" s="3">
        <f t="shared" ca="1" si="393"/>
        <v>3.9912217880784463E-4</v>
      </c>
      <c r="BB657" s="3">
        <f t="shared" ca="1" si="402"/>
        <v>0.18175524311791083</v>
      </c>
      <c r="BC657" s="3">
        <f t="shared" ca="1" si="403"/>
        <v>0.70901943816834434</v>
      </c>
      <c r="BD657" s="3">
        <f t="shared" ca="1" si="394"/>
        <v>5.2926376968058832E-2</v>
      </c>
      <c r="BE657" s="3">
        <f t="shared" ca="1" si="397"/>
        <v>0.70901943816834434</v>
      </c>
      <c r="BF657" s="3">
        <f t="shared" ca="1" si="398"/>
        <v>0.70901943816834434</v>
      </c>
    </row>
    <row r="658" spans="1:58" ht="15" x14ac:dyDescent="0.25">
      <c r="A658" s="72">
        <v>592</v>
      </c>
      <c r="B658" s="72">
        <v>1498730431.3940001</v>
      </c>
      <c r="C658" s="73">
        <v>3.45618178575916E-4</v>
      </c>
      <c r="D658" s="73">
        <v>1.11013392070112E-5</v>
      </c>
      <c r="E658" s="73">
        <v>1.4411514116705699E-2</v>
      </c>
      <c r="F658" s="73">
        <v>9.3592378616753999E-4</v>
      </c>
      <c r="G658" s="73">
        <v>0.26738594818449901</v>
      </c>
      <c r="H658" s="73">
        <v>8.3556136930602407E-6</v>
      </c>
      <c r="I658" s="73">
        <v>0.193390190677692</v>
      </c>
      <c r="J658" s="73">
        <v>2.3193700099189498</v>
      </c>
      <c r="K658" s="73"/>
      <c r="L658" s="73"/>
      <c r="M658" s="73"/>
      <c r="N658" s="19"/>
      <c r="O658" s="13">
        <f t="shared" ca="1" si="364"/>
        <v>8.0930949304354417E-5</v>
      </c>
      <c r="P658" s="13">
        <f t="shared" ca="1" si="365"/>
        <v>-1.8613617782897341E-7</v>
      </c>
      <c r="Q658" s="13">
        <f t="shared" ca="1" si="366"/>
        <v>1.3570774498733014E-2</v>
      </c>
      <c r="R658" s="13">
        <f t="shared" ca="1" si="367"/>
        <v>9.2614750727685886E-4</v>
      </c>
      <c r="S658" s="13">
        <f t="shared" ca="1" si="368"/>
        <v>0.26625086955125765</v>
      </c>
      <c r="T658" s="13">
        <f t="shared" ca="1" si="369"/>
        <v>8.0057921820361542E-6</v>
      </c>
      <c r="U658" s="13">
        <f t="shared" ca="1" si="370"/>
        <v>0.19273634668290349</v>
      </c>
      <c r="V658" s="13">
        <f t="shared" ca="1" si="371"/>
        <v>2.3122312289964957</v>
      </c>
      <c r="X658" s="3">
        <f t="shared" ca="1" si="372"/>
        <v>8.0930949304354417E-5</v>
      </c>
      <c r="Y658" s="3">
        <f t="shared" ca="1" si="373"/>
        <v>-1.8613617782897341E-7</v>
      </c>
      <c r="Z658" s="3">
        <f t="shared" ca="1" si="374"/>
        <v>1.3570713248432025E-2</v>
      </c>
      <c r="AA658" s="3">
        <f t="shared" ca="1" si="375"/>
        <v>9.246649715824645E-4</v>
      </c>
      <c r="AB658" s="3">
        <f t="shared" ca="1" si="376"/>
        <v>0.26624008810623129</v>
      </c>
      <c r="AC658" s="3">
        <f t="shared" ca="1" si="377"/>
        <v>8.0057921820361542E-6</v>
      </c>
      <c r="AD658" s="3">
        <f t="shared" ca="1" si="378"/>
        <v>0.19272042508477708</v>
      </c>
      <c r="AE658" s="3">
        <f t="shared" ca="1" si="379"/>
        <v>2.3122247683823614</v>
      </c>
      <c r="AG658" s="3">
        <f t="shared" ca="1" si="380"/>
        <v>8.0930949304354417E-5</v>
      </c>
      <c r="AH658" s="3">
        <f t="shared" ca="1" si="381"/>
        <v>-1.8613617782897341E-7</v>
      </c>
      <c r="AI658" s="3">
        <f t="shared" ca="1" si="382"/>
        <v>1.3570713248432025E-2</v>
      </c>
      <c r="AJ658" s="3">
        <f t="shared" ca="1" si="383"/>
        <v>9.246649715824645E-4</v>
      </c>
      <c r="AK658" s="3">
        <f t="shared" ca="1" si="384"/>
        <v>0.26624008810623129</v>
      </c>
      <c r="AL658" s="3">
        <f t="shared" ca="1" si="385"/>
        <v>8.0057921820361542E-6</v>
      </c>
      <c r="AM658" s="3">
        <f t="shared" ca="1" si="386"/>
        <v>0.19272042508477708</v>
      </c>
      <c r="AN658" s="3">
        <f t="shared" ca="1" si="387"/>
        <v>2.3122247683823614</v>
      </c>
      <c r="AP658" s="3">
        <f t="shared" ca="1" si="388"/>
        <v>8.6844081782476703</v>
      </c>
      <c r="AQ658" s="3">
        <f t="shared" ca="1" si="400"/>
        <v>0.40007961090114935</v>
      </c>
      <c r="AR658" s="3">
        <f t="shared" ca="1" si="389"/>
        <v>3.705327343483951E-4</v>
      </c>
      <c r="AS658" s="3">
        <f t="shared" ca="1" si="390"/>
        <v>0.19236581394855509</v>
      </c>
      <c r="AT658" s="3">
        <f t="shared" ca="1" si="391"/>
        <v>0.70942746468757001</v>
      </c>
      <c r="AU658" s="3">
        <f t="shared" ca="1" si="392"/>
        <v>5.2896171759133581E-2</v>
      </c>
      <c r="AV658" s="10">
        <f t="shared" ca="1" si="395"/>
        <v>0.70942746468757001</v>
      </c>
      <c r="AW658" s="10">
        <f t="shared" ca="1" si="396"/>
        <v>0.70942746468757001</v>
      </c>
      <c r="AX658" s="10"/>
      <c r="AY658" s="3">
        <f t="shared" ca="1" si="399"/>
        <v>8.6847355889537212</v>
      </c>
      <c r="AZ658" s="3">
        <f t="shared" ca="1" si="401"/>
        <v>0.40009487724163539</v>
      </c>
      <c r="BA658" s="3">
        <f t="shared" ca="1" si="393"/>
        <v>3.6995371829492643E-4</v>
      </c>
      <c r="BB658" s="3">
        <f t="shared" ca="1" si="402"/>
        <v>0.19235047136648215</v>
      </c>
      <c r="BC658" s="3">
        <f t="shared" ca="1" si="403"/>
        <v>0.70938614051574045</v>
      </c>
      <c r="BD658" s="3">
        <f t="shared" ca="1" si="394"/>
        <v>5.2900115727780313E-2</v>
      </c>
      <c r="BE658" s="3">
        <f t="shared" ca="1" si="397"/>
        <v>0.70938614051574045</v>
      </c>
      <c r="BF658" s="3">
        <f t="shared" ca="1" si="398"/>
        <v>0.70938614051574045</v>
      </c>
    </row>
    <row r="659" spans="1:58" ht="15" x14ac:dyDescent="0.25">
      <c r="A659" s="72">
        <v>593</v>
      </c>
      <c r="B659" s="72">
        <v>1498730431.921</v>
      </c>
      <c r="C659" s="73">
        <v>3.3633929994561599E-4</v>
      </c>
      <c r="D659" s="73">
        <v>5.85834073070848E-5</v>
      </c>
      <c r="E659" s="73">
        <v>1.4046947086412701E-2</v>
      </c>
      <c r="F659" s="73">
        <v>9.2091992823646997E-4</v>
      </c>
      <c r="G659" s="73">
        <v>0.25734160819778901</v>
      </c>
      <c r="H659" s="73">
        <v>2.0120783396571501E-5</v>
      </c>
      <c r="I659" s="73">
        <v>0.186490556227983</v>
      </c>
      <c r="J659" s="73">
        <v>2.23854068723056</v>
      </c>
      <c r="K659" s="73"/>
      <c r="L659" s="73"/>
      <c r="M659" s="73"/>
      <c r="N659" s="19"/>
      <c r="O659" s="13">
        <f t="shared" ca="1" si="364"/>
        <v>7.1652070674054402E-5</v>
      </c>
      <c r="P659" s="13">
        <f t="shared" ca="1" si="365"/>
        <v>4.7295931922244628E-5</v>
      </c>
      <c r="Q659" s="13">
        <f t="shared" ca="1" si="366"/>
        <v>1.3206207468440015E-2</v>
      </c>
      <c r="R659" s="13">
        <f t="shared" ca="1" si="367"/>
        <v>9.1114364934578884E-4</v>
      </c>
      <c r="S659" s="13">
        <f t="shared" ca="1" si="368"/>
        <v>0.25620652956454765</v>
      </c>
      <c r="T659" s="13">
        <f t="shared" ca="1" si="369"/>
        <v>1.9770961885547414E-5</v>
      </c>
      <c r="U659" s="13">
        <f t="shared" ca="1" si="370"/>
        <v>0.18583671223319448</v>
      </c>
      <c r="V659" s="13">
        <f t="shared" ca="1" si="371"/>
        <v>2.2314019063081059</v>
      </c>
      <c r="X659" s="3">
        <f t="shared" ca="1" si="372"/>
        <v>7.1652070674054402E-5</v>
      </c>
      <c r="Y659" s="3">
        <f t="shared" ca="1" si="373"/>
        <v>4.7295931922244628E-5</v>
      </c>
      <c r="Z659" s="3">
        <f t="shared" ca="1" si="374"/>
        <v>1.3206056205786826E-2</v>
      </c>
      <c r="AA659" s="3">
        <f t="shared" ca="1" si="375"/>
        <v>9.0748240558110509E-4</v>
      </c>
      <c r="AB659" s="3">
        <f t="shared" ca="1" si="376"/>
        <v>0.25617990389979883</v>
      </c>
      <c r="AC659" s="3">
        <f t="shared" ca="1" si="377"/>
        <v>1.9770961885547414E-5</v>
      </c>
      <c r="AD659" s="3">
        <f t="shared" ca="1" si="378"/>
        <v>0.18579739253783431</v>
      </c>
      <c r="AE659" s="3">
        <f t="shared" ca="1" si="379"/>
        <v>2.2313859512904259</v>
      </c>
      <c r="AG659" s="3">
        <f t="shared" ca="1" si="380"/>
        <v>7.1652070674054402E-5</v>
      </c>
      <c r="AH659" s="3">
        <f t="shared" ca="1" si="381"/>
        <v>4.7295931922244628E-5</v>
      </c>
      <c r="AI659" s="3">
        <f t="shared" ca="1" si="382"/>
        <v>1.3167959583493186E-2</v>
      </c>
      <c r="AJ659" s="3">
        <f t="shared" ca="1" si="383"/>
        <v>8.8644534831326129E-4</v>
      </c>
      <c r="AK659" s="3">
        <f t="shared" ca="1" si="384"/>
        <v>0.25617990389979883</v>
      </c>
      <c r="AL659" s="3">
        <f t="shared" ca="1" si="385"/>
        <v>1.9770961885547414E-5</v>
      </c>
      <c r="AM659" s="3">
        <f t="shared" ca="1" si="386"/>
        <v>0.18579739253783431</v>
      </c>
      <c r="AN659" s="3">
        <f t="shared" ca="1" si="387"/>
        <v>2.2313859512904259</v>
      </c>
      <c r="AP659" s="3">
        <f t="shared" ca="1" si="388"/>
        <v>8.709387345047876</v>
      </c>
      <c r="AQ659" s="3">
        <f t="shared" ca="1" si="400"/>
        <v>0.40124434686331045</v>
      </c>
      <c r="AR659" s="3">
        <f t="shared" ca="1" si="389"/>
        <v>3.6559123848040422E-4</v>
      </c>
      <c r="AS659" s="3">
        <f t="shared" ca="1" si="390"/>
        <v>0.18547112099471408</v>
      </c>
      <c r="AT659" s="3">
        <f t="shared" ca="1" si="391"/>
        <v>0.70978868164932218</v>
      </c>
      <c r="AU659" s="3">
        <f t="shared" ca="1" si="392"/>
        <v>5.3650644723197236E-2</v>
      </c>
      <c r="AV659" s="10" t="str">
        <f t="shared" ca="1" si="395"/>
        <v>rejected</v>
      </c>
      <c r="AW659" s="10" t="e">
        <f t="shared" ca="1" si="396"/>
        <v>#N/A</v>
      </c>
      <c r="AX659" s="10"/>
      <c r="AY659" s="3">
        <f t="shared" ca="1" si="399"/>
        <v>8.7102302613213602</v>
      </c>
      <c r="AZ659" s="3">
        <f t="shared" ca="1" si="401"/>
        <v>0.40128365131943888</v>
      </c>
      <c r="BA659" s="3">
        <f t="shared" ca="1" si="393"/>
        <v>3.5571602606627729E-4</v>
      </c>
      <c r="BB659" s="3">
        <f t="shared" ca="1" si="402"/>
        <v>0.18544167651176804</v>
      </c>
      <c r="BC659" s="3">
        <f t="shared" ca="1" si="403"/>
        <v>0.70971516818486369</v>
      </c>
      <c r="BD659" s="3">
        <f t="shared" ca="1" si="394"/>
        <v>5.3506119740843849E-2</v>
      </c>
      <c r="BE659" s="3" t="str">
        <f t="shared" ca="1" si="397"/>
        <v>rejected</v>
      </c>
      <c r="BF659" s="3" t="e">
        <f t="shared" ca="1" si="398"/>
        <v>#N/A</v>
      </c>
    </row>
    <row r="660" spans="1:58" ht="15" x14ac:dyDescent="0.25">
      <c r="A660" s="72">
        <v>594</v>
      </c>
      <c r="B660" s="72">
        <v>1498730432.448</v>
      </c>
      <c r="C660" s="73">
        <v>2.8756712480063399E-4</v>
      </c>
      <c r="D660" s="73">
        <v>7.4411268306556703E-5</v>
      </c>
      <c r="E660" s="73">
        <v>1.05054830573385E-2</v>
      </c>
      <c r="F660" s="73">
        <v>7.2565216890281602E-4</v>
      </c>
      <c r="G660" s="73">
        <v>0.18894768862665501</v>
      </c>
      <c r="H660" s="73">
        <v>3.3045178641469001E-5</v>
      </c>
      <c r="I660" s="73">
        <v>0.13693443750364001</v>
      </c>
      <c r="J660" s="73">
        <v>1.64808786447652</v>
      </c>
      <c r="K660" s="73"/>
      <c r="L660" s="73"/>
      <c r="M660" s="73"/>
      <c r="N660" s="19"/>
      <c r="O660" s="13">
        <f t="shared" ca="1" si="364"/>
        <v>2.2879895529072402E-5</v>
      </c>
      <c r="P660" s="13">
        <f t="shared" ca="1" si="365"/>
        <v>6.3123792921716525E-5</v>
      </c>
      <c r="Q660" s="13">
        <f t="shared" ca="1" si="366"/>
        <v>9.6647434393658145E-3</v>
      </c>
      <c r="R660" s="13">
        <f t="shared" ca="1" si="367"/>
        <v>7.1587589001213489E-4</v>
      </c>
      <c r="S660" s="13">
        <f t="shared" ca="1" si="368"/>
        <v>0.18781260999341365</v>
      </c>
      <c r="T660" s="13">
        <f t="shared" ca="1" si="369"/>
        <v>3.2695357130444911E-5</v>
      </c>
      <c r="U660" s="13">
        <f t="shared" ca="1" si="370"/>
        <v>0.13628059350885149</v>
      </c>
      <c r="V660" s="13">
        <f t="shared" ca="1" si="371"/>
        <v>1.6409490835540659</v>
      </c>
      <c r="X660" s="3">
        <f t="shared" ca="1" si="372"/>
        <v>2.2879895529072402E-5</v>
      </c>
      <c r="Y660" s="3">
        <f t="shared" ca="1" si="373"/>
        <v>6.3123792921716525E-5</v>
      </c>
      <c r="Z660" s="3">
        <f t="shared" ca="1" si="374"/>
        <v>9.6644932954175772E-3</v>
      </c>
      <c r="AA660" s="3">
        <f t="shared" ca="1" si="375"/>
        <v>7.0982126944683737E-4</v>
      </c>
      <c r="AB660" s="3">
        <f t="shared" ca="1" si="376"/>
        <v>0.1877685789734341</v>
      </c>
      <c r="AC660" s="3">
        <f t="shared" ca="1" si="377"/>
        <v>3.2695357130444911E-5</v>
      </c>
      <c r="AD660" s="3">
        <f t="shared" ca="1" si="378"/>
        <v>0.13621557029503403</v>
      </c>
      <c r="AE660" s="3">
        <f t="shared" ca="1" si="379"/>
        <v>1.6409226986465386</v>
      </c>
      <c r="AG660" s="3">
        <f t="shared" ca="1" si="380"/>
        <v>2.2879895529072402E-5</v>
      </c>
      <c r="AH660" s="3">
        <f t="shared" ca="1" si="381"/>
        <v>6.3123792921716525E-5</v>
      </c>
      <c r="AI660" s="3">
        <f t="shared" ca="1" si="382"/>
        <v>9.6136474150438876E-3</v>
      </c>
      <c r="AJ660" s="3">
        <f t="shared" ca="1" si="383"/>
        <v>6.8174403758594875E-4</v>
      </c>
      <c r="AK660" s="3">
        <f t="shared" ca="1" si="384"/>
        <v>0.1877685789734341</v>
      </c>
      <c r="AL660" s="3">
        <f t="shared" ca="1" si="385"/>
        <v>3.2695357130444911E-5</v>
      </c>
      <c r="AM660" s="3">
        <f t="shared" ca="1" si="386"/>
        <v>0.13621557029503403</v>
      </c>
      <c r="AN660" s="3">
        <f t="shared" ca="1" si="387"/>
        <v>1.6409226986465386</v>
      </c>
      <c r="AP660" s="3">
        <f t="shared" ca="1" si="388"/>
        <v>8.7371613844864413</v>
      </c>
      <c r="AQ660" s="3">
        <f t="shared" ca="1" si="400"/>
        <v>0.4025394505380761</v>
      </c>
      <c r="AR660" s="3">
        <f t="shared" ca="1" si="389"/>
        <v>2.8816828741894097E-4</v>
      </c>
      <c r="AS660" s="3">
        <f t="shared" ca="1" si="390"/>
        <v>0.13599242522143257</v>
      </c>
      <c r="AT660" s="3">
        <f t="shared" ca="1" si="391"/>
        <v>0.70882102817102466</v>
      </c>
      <c r="AU660" s="3">
        <f t="shared" ca="1" si="392"/>
        <v>5.3736268627283652E-2</v>
      </c>
      <c r="AV660" s="10">
        <f t="shared" ca="1" si="395"/>
        <v>0.70882102817102466</v>
      </c>
      <c r="AW660" s="10">
        <f t="shared" ca="1" si="396"/>
        <v>0.70882102817102466</v>
      </c>
      <c r="AX660" s="10"/>
      <c r="AY660" s="3">
        <f t="shared" ca="1" si="399"/>
        <v>8.7390696974849007</v>
      </c>
      <c r="AZ660" s="3">
        <f t="shared" ca="1" si="401"/>
        <v>0.40262843702313011</v>
      </c>
      <c r="BA660" s="3">
        <f t="shared" ca="1" si="393"/>
        <v>2.7448953630306863E-4</v>
      </c>
      <c r="BB660" s="3">
        <f t="shared" ca="1" si="402"/>
        <v>0.13594108075873096</v>
      </c>
      <c r="BC660" s="3">
        <f t="shared" ca="1" si="403"/>
        <v>0.70864162281533605</v>
      </c>
      <c r="BD660" s="3">
        <f t="shared" ca="1" si="394"/>
        <v>5.3476656447174732E-2</v>
      </c>
      <c r="BE660" s="3">
        <f t="shared" ca="1" si="397"/>
        <v>0.70864162281533605</v>
      </c>
      <c r="BF660" s="3">
        <f t="shared" ca="1" si="398"/>
        <v>0.70864162281533605</v>
      </c>
    </row>
    <row r="661" spans="1:58" ht="15" x14ac:dyDescent="0.25">
      <c r="A661" s="72">
        <v>595</v>
      </c>
      <c r="B661" s="72">
        <v>1498730432.9749999</v>
      </c>
      <c r="C661" s="73">
        <v>2.3332574737413599E-4</v>
      </c>
      <c r="D661" s="73">
        <v>-9.6861147326922004E-6</v>
      </c>
      <c r="E661" s="73">
        <v>7.7222580740892097E-3</v>
      </c>
      <c r="F661" s="73">
        <v>3.8926200827288197E-4</v>
      </c>
      <c r="G661" s="73">
        <v>0.134489047515815</v>
      </c>
      <c r="H661" s="73">
        <v>-2.37670587841137E-5</v>
      </c>
      <c r="I661" s="73">
        <v>9.7538456584026795E-2</v>
      </c>
      <c r="J661" s="73">
        <v>1.17209092598485</v>
      </c>
      <c r="K661" s="73"/>
      <c r="L661" s="73"/>
      <c r="M661" s="73"/>
      <c r="N661" s="19"/>
      <c r="O661" s="13">
        <f t="shared" ca="1" si="364"/>
        <v>-3.1361481897425596E-5</v>
      </c>
      <c r="P661" s="13">
        <f t="shared" ca="1" si="365"/>
        <v>-2.0973590117532372E-5</v>
      </c>
      <c r="Q661" s="13">
        <f t="shared" ca="1" si="366"/>
        <v>6.8815184561165244E-3</v>
      </c>
      <c r="R661" s="13">
        <f t="shared" ca="1" si="367"/>
        <v>3.7948572938220084E-4</v>
      </c>
      <c r="S661" s="13">
        <f t="shared" ca="1" si="368"/>
        <v>0.13335396888257364</v>
      </c>
      <c r="T661" s="13">
        <f t="shared" ca="1" si="369"/>
        <v>-2.4116880295137786E-5</v>
      </c>
      <c r="U661" s="13">
        <f t="shared" ca="1" si="370"/>
        <v>9.6884612589238278E-2</v>
      </c>
      <c r="V661" s="13">
        <f t="shared" ca="1" si="371"/>
        <v>1.1649521450623959</v>
      </c>
      <c r="X661" s="3">
        <f t="shared" ca="1" si="372"/>
        <v>-3.1361481897425596E-5</v>
      </c>
      <c r="Y661" s="3">
        <f t="shared" ca="1" si="373"/>
        <v>-2.0973590117532372E-5</v>
      </c>
      <c r="Z661" s="3">
        <f t="shared" ca="1" si="374"/>
        <v>6.8815184561165244E-3</v>
      </c>
      <c r="AA661" s="3">
        <f t="shared" ca="1" si="375"/>
        <v>3.7948572938220084E-4</v>
      </c>
      <c r="AB661" s="3">
        <f t="shared" ca="1" si="376"/>
        <v>0.13335396888257364</v>
      </c>
      <c r="AC661" s="3">
        <f t="shared" ca="1" si="377"/>
        <v>-2.4116880295137786E-5</v>
      </c>
      <c r="AD661" s="3">
        <f t="shared" ca="1" si="378"/>
        <v>9.6884612589238278E-2</v>
      </c>
      <c r="AE661" s="3">
        <f t="shared" ca="1" si="379"/>
        <v>1.1649521450623959</v>
      </c>
      <c r="AG661" s="3">
        <f t="shared" ca="1" si="380"/>
        <v>-3.1361481897425596E-5</v>
      </c>
      <c r="AH661" s="3">
        <f t="shared" ca="1" si="381"/>
        <v>-2.0973590117532372E-5</v>
      </c>
      <c r="AI661" s="3">
        <f t="shared" ca="1" si="382"/>
        <v>6.8815184561165244E-3</v>
      </c>
      <c r="AJ661" s="3">
        <f t="shared" ca="1" si="383"/>
        <v>3.7948572938220084E-4</v>
      </c>
      <c r="AK661" s="3">
        <f t="shared" ca="1" si="384"/>
        <v>0.13335396888257364</v>
      </c>
      <c r="AL661" s="3">
        <f t="shared" ca="1" si="385"/>
        <v>-2.4116880295137786E-5</v>
      </c>
      <c r="AM661" s="3">
        <f t="shared" ca="1" si="386"/>
        <v>9.6884612589238278E-2</v>
      </c>
      <c r="AN661" s="3">
        <f t="shared" ca="1" si="387"/>
        <v>1.1649521450623959</v>
      </c>
      <c r="AP661" s="3">
        <f t="shared" ca="1" si="388"/>
        <v>8.7357890794252082</v>
      </c>
      <c r="AQ661" s="3">
        <f t="shared" ca="1" si="400"/>
        <v>0.40247545876845564</v>
      </c>
      <c r="AR661" s="3">
        <f t="shared" ca="1" si="389"/>
        <v>1.5273369302918328E-4</v>
      </c>
      <c r="AS661" s="3">
        <f t="shared" ca="1" si="390"/>
        <v>9.67318788962091E-2</v>
      </c>
      <c r="AT661" s="3">
        <f t="shared" ca="1" si="391"/>
        <v>0.71014110913155515</v>
      </c>
      <c r="AU661" s="3">
        <f t="shared" ca="1" si="392"/>
        <v>5.3877874443134147E-2</v>
      </c>
      <c r="AV661" s="10" t="str">
        <f t="shared" ca="1" si="395"/>
        <v>rejected</v>
      </c>
      <c r="AW661" s="10" t="e">
        <f t="shared" ca="1" si="396"/>
        <v>#N/A</v>
      </c>
      <c r="AX661" s="10"/>
      <c r="AY661" s="3">
        <f t="shared" ca="1" si="399"/>
        <v>8.7357890794252082</v>
      </c>
      <c r="AZ661" s="3">
        <f t="shared" ca="1" si="401"/>
        <v>0.40247545876845564</v>
      </c>
      <c r="BA661" s="3">
        <f t="shared" ca="1" si="393"/>
        <v>1.5273369302918328E-4</v>
      </c>
      <c r="BB661" s="3">
        <f t="shared" ca="1" si="402"/>
        <v>9.67318788962091E-2</v>
      </c>
      <c r="BC661" s="3">
        <f t="shared" ca="1" si="403"/>
        <v>0.71014110913155515</v>
      </c>
      <c r="BD661" s="3">
        <f t="shared" ca="1" si="394"/>
        <v>5.3877874443134147E-2</v>
      </c>
      <c r="BE661" s="3" t="str">
        <f t="shared" ca="1" si="397"/>
        <v>rejected</v>
      </c>
      <c r="BF661" s="3" t="e">
        <f t="shared" ca="1" si="398"/>
        <v>#N/A</v>
      </c>
    </row>
    <row r="662" spans="1:58" ht="15" x14ac:dyDescent="0.25">
      <c r="A662" s="72">
        <v>596</v>
      </c>
      <c r="B662" s="72">
        <v>1498730433.5020001</v>
      </c>
      <c r="C662" s="73">
        <v>2.9874882766550302E-4</v>
      </c>
      <c r="D662" s="73">
        <v>3.8267418452135801E-5</v>
      </c>
      <c r="E662" s="73">
        <v>5.4837902577473396E-3</v>
      </c>
      <c r="F662" s="73">
        <v>3.48084017915339E-4</v>
      </c>
      <c r="G662" s="73">
        <v>9.1960394093897793E-2</v>
      </c>
      <c r="H662" s="73">
        <v>-6.31739762815413E-5</v>
      </c>
      <c r="I662" s="73">
        <v>6.65678976581867E-2</v>
      </c>
      <c r="J662" s="73">
        <v>0.80033233511559498</v>
      </c>
      <c r="K662" s="73"/>
      <c r="L662" s="73"/>
      <c r="M662" s="73"/>
      <c r="N662" s="19"/>
      <c r="O662" s="13">
        <f t="shared" ca="1" si="364"/>
        <v>3.4061598393941438E-5</v>
      </c>
      <c r="P662" s="13">
        <f t="shared" ca="1" si="365"/>
        <v>2.6979943067295629E-5</v>
      </c>
      <c r="Q662" s="13">
        <f t="shared" ca="1" si="366"/>
        <v>4.6430506397746544E-3</v>
      </c>
      <c r="R662" s="13">
        <f t="shared" ca="1" si="367"/>
        <v>3.3830773902465786E-4</v>
      </c>
      <c r="S662" s="13">
        <f t="shared" ca="1" si="368"/>
        <v>9.0825315460656419E-2</v>
      </c>
      <c r="T662" s="13">
        <f t="shared" ca="1" si="369"/>
        <v>-6.352379779256539E-5</v>
      </c>
      <c r="U662" s="13">
        <f t="shared" ca="1" si="370"/>
        <v>6.5914053663398184E-2</v>
      </c>
      <c r="V662" s="13">
        <f t="shared" ca="1" si="371"/>
        <v>0.79319355419314086</v>
      </c>
      <c r="X662" s="3">
        <f t="shared" ca="1" si="372"/>
        <v>3.4061598393941438E-5</v>
      </c>
      <c r="Y662" s="3">
        <f t="shared" ca="1" si="373"/>
        <v>2.6979943067295629E-5</v>
      </c>
      <c r="Z662" s="3">
        <f t="shared" ca="1" si="374"/>
        <v>4.6430506397746544E-3</v>
      </c>
      <c r="AA662" s="3">
        <f t="shared" ca="1" si="375"/>
        <v>3.3830773902465786E-4</v>
      </c>
      <c r="AB662" s="3">
        <f t="shared" ca="1" si="376"/>
        <v>9.0825315460656419E-2</v>
      </c>
      <c r="AC662" s="3">
        <f t="shared" ca="1" si="377"/>
        <v>-6.352379779256539E-5</v>
      </c>
      <c r="AD662" s="3">
        <f t="shared" ca="1" si="378"/>
        <v>6.5914053663398184E-2</v>
      </c>
      <c r="AE662" s="3">
        <f t="shared" ca="1" si="379"/>
        <v>0.79319355419314086</v>
      </c>
      <c r="AG662" s="3">
        <f t="shared" ca="1" si="380"/>
        <v>3.4061598393941438E-5</v>
      </c>
      <c r="AH662" s="3">
        <f t="shared" ca="1" si="381"/>
        <v>2.6979943067295629E-5</v>
      </c>
      <c r="AI662" s="3">
        <f t="shared" ca="1" si="382"/>
        <v>4.6213184387424713E-3</v>
      </c>
      <c r="AJ662" s="3">
        <f t="shared" ca="1" si="383"/>
        <v>3.26307159179377E-4</v>
      </c>
      <c r="AK662" s="3">
        <f t="shared" ca="1" si="384"/>
        <v>9.0825315460656419E-2</v>
      </c>
      <c r="AL662" s="3">
        <f t="shared" ca="1" si="385"/>
        <v>-6.352379779256539E-5</v>
      </c>
      <c r="AM662" s="3">
        <f t="shared" ca="1" si="386"/>
        <v>6.5914053663398184E-2</v>
      </c>
      <c r="AN662" s="3">
        <f t="shared" ca="1" si="387"/>
        <v>0.79319355419314086</v>
      </c>
      <c r="AP662" s="3">
        <f t="shared" ca="1" si="388"/>
        <v>8.7331769801199908</v>
      </c>
      <c r="AQ662" s="3">
        <f t="shared" ca="1" si="400"/>
        <v>0.402353654659934</v>
      </c>
      <c r="AR662" s="3">
        <f t="shared" ca="1" si="389"/>
        <v>1.3611935519631027E-4</v>
      </c>
      <c r="AS662" s="3">
        <f t="shared" ca="1" si="390"/>
        <v>6.5777934308201877E-2</v>
      </c>
      <c r="AT662" s="3">
        <f t="shared" ca="1" si="391"/>
        <v>0.70911994060683115</v>
      </c>
      <c r="AU662" s="3">
        <f t="shared" ca="1" si="392"/>
        <v>5.3357531309277721E-2</v>
      </c>
      <c r="AV662" s="10">
        <f t="shared" ca="1" si="395"/>
        <v>0.70911994060683115</v>
      </c>
      <c r="AW662" s="10">
        <f t="shared" ca="1" si="396"/>
        <v>0.70911994060683115</v>
      </c>
      <c r="AX662" s="10"/>
      <c r="AY662" s="3">
        <f t="shared" ca="1" si="399"/>
        <v>8.7331769801199908</v>
      </c>
      <c r="AZ662" s="3">
        <f t="shared" ca="1" si="401"/>
        <v>0.402353654659934</v>
      </c>
      <c r="BA662" s="3">
        <f t="shared" ca="1" si="393"/>
        <v>1.3129087803752317E-4</v>
      </c>
      <c r="BB662" s="3">
        <f t="shared" ca="1" si="402"/>
        <v>6.578276278536066E-2</v>
      </c>
      <c r="BC662" s="3">
        <f t="shared" ca="1" si="403"/>
        <v>0.70917199407235965</v>
      </c>
      <c r="BD662" s="3">
        <f t="shared" ca="1" si="394"/>
        <v>5.3107786758343746E-2</v>
      </c>
      <c r="BE662" s="3">
        <f t="shared" ca="1" si="397"/>
        <v>0.70917199407235965</v>
      </c>
      <c r="BF662" s="3">
        <f t="shared" ca="1" si="398"/>
        <v>0.70917199407235965</v>
      </c>
    </row>
    <row r="663" spans="1:58" ht="15" x14ac:dyDescent="0.25">
      <c r="A663" s="72">
        <v>597</v>
      </c>
      <c r="B663" s="72">
        <v>1498730434.029</v>
      </c>
      <c r="C663" s="73">
        <v>3.0897900592251597E-4</v>
      </c>
      <c r="D663" s="73">
        <v>5.5984827392037701E-5</v>
      </c>
      <c r="E663" s="73">
        <v>4.1024455966270704E-3</v>
      </c>
      <c r="F663" s="73">
        <v>2.85963210210991E-4</v>
      </c>
      <c r="G663" s="73">
        <v>6.57214178120058E-2</v>
      </c>
      <c r="H663" s="73">
        <v>-5.1393681052527898E-5</v>
      </c>
      <c r="I663" s="73">
        <v>4.74583003793883E-2</v>
      </c>
      <c r="J663" s="73">
        <v>0.57108765764746405</v>
      </c>
      <c r="K663" s="73"/>
      <c r="L663" s="73"/>
      <c r="M663" s="73"/>
      <c r="N663" s="19"/>
      <c r="O663" s="13">
        <f t="shared" ca="1" si="364"/>
        <v>4.4291776650954391E-5</v>
      </c>
      <c r="P663" s="13">
        <f t="shared" ca="1" si="365"/>
        <v>4.4697352007197529E-5</v>
      </c>
      <c r="Q663" s="13">
        <f t="shared" ca="1" si="366"/>
        <v>3.2617059786543851E-3</v>
      </c>
      <c r="R663" s="13">
        <f t="shared" ca="1" si="367"/>
        <v>2.7618693132030987E-4</v>
      </c>
      <c r="S663" s="13">
        <f t="shared" ca="1" si="368"/>
        <v>6.4586339178764426E-2</v>
      </c>
      <c r="T663" s="13">
        <f t="shared" ca="1" si="369"/>
        <v>-5.1743502563551988E-5</v>
      </c>
      <c r="U663" s="13">
        <f t="shared" ca="1" si="370"/>
        <v>4.6804456384599777E-2</v>
      </c>
      <c r="V663" s="13">
        <f t="shared" ca="1" si="371"/>
        <v>0.56394887672500993</v>
      </c>
      <c r="X663" s="3">
        <f t="shared" ca="1" si="372"/>
        <v>4.4291776650954391E-5</v>
      </c>
      <c r="Y663" s="3">
        <f t="shared" ca="1" si="373"/>
        <v>4.4697352007197529E-5</v>
      </c>
      <c r="Z663" s="3">
        <f t="shared" ca="1" si="374"/>
        <v>3.2617059786543851E-3</v>
      </c>
      <c r="AA663" s="3">
        <f t="shared" ca="1" si="375"/>
        <v>2.7618693132030987E-4</v>
      </c>
      <c r="AB663" s="3">
        <f t="shared" ca="1" si="376"/>
        <v>6.4586339178764426E-2</v>
      </c>
      <c r="AC663" s="3">
        <f t="shared" ca="1" si="377"/>
        <v>-5.1743502563551988E-5</v>
      </c>
      <c r="AD663" s="3">
        <f t="shared" ca="1" si="378"/>
        <v>4.6804456384599777E-2</v>
      </c>
      <c r="AE663" s="3">
        <f t="shared" ca="1" si="379"/>
        <v>0.56394887672500993</v>
      </c>
      <c r="AG663" s="3">
        <f t="shared" ca="1" si="380"/>
        <v>4.4291776650954391E-5</v>
      </c>
      <c r="AH663" s="3">
        <f t="shared" ca="1" si="381"/>
        <v>4.4697352007197529E-5</v>
      </c>
      <c r="AI663" s="3">
        <f t="shared" ca="1" si="382"/>
        <v>3.2257024986987824E-3</v>
      </c>
      <c r="AJ663" s="3">
        <f t="shared" ca="1" si="383"/>
        <v>2.5630571287974164E-4</v>
      </c>
      <c r="AK663" s="3">
        <f t="shared" ca="1" si="384"/>
        <v>6.4586339178764426E-2</v>
      </c>
      <c r="AL663" s="3">
        <f t="shared" ca="1" si="385"/>
        <v>-5.1743502563551988E-5</v>
      </c>
      <c r="AM663" s="3">
        <f t="shared" ca="1" si="386"/>
        <v>4.6804456384599777E-2</v>
      </c>
      <c r="AN663" s="3">
        <f t="shared" ca="1" si="387"/>
        <v>0.56394887672500993</v>
      </c>
      <c r="AP663" s="3">
        <f t="shared" ca="1" si="388"/>
        <v>8.7317052475151389</v>
      </c>
      <c r="AQ663" s="3">
        <f t="shared" ca="1" si="400"/>
        <v>0.40228502688256823</v>
      </c>
      <c r="AR663" s="3">
        <f t="shared" ca="1" si="389"/>
        <v>1.1110586709080488E-4</v>
      </c>
      <c r="AS663" s="3">
        <f t="shared" ca="1" si="390"/>
        <v>4.6693350517508975E-2</v>
      </c>
      <c r="AT663" s="3">
        <f t="shared" ca="1" si="391"/>
        <v>0.7079418910302453</v>
      </c>
      <c r="AU663" s="3">
        <f t="shared" ca="1" si="392"/>
        <v>5.2702166296388221E-2</v>
      </c>
      <c r="AV663" s="10" t="str">
        <f t="shared" ca="1" si="395"/>
        <v>rejected</v>
      </c>
      <c r="AW663" s="10" t="e">
        <f t="shared" ca="1" si="396"/>
        <v>#N/A</v>
      </c>
      <c r="AX663" s="10"/>
      <c r="AY663" s="3">
        <f t="shared" ca="1" si="399"/>
        <v>8.7317052475151389</v>
      </c>
      <c r="AZ663" s="3">
        <f t="shared" ca="1" si="401"/>
        <v>0.40228502688256823</v>
      </c>
      <c r="BA663" s="3">
        <f t="shared" ca="1" si="393"/>
        <v>1.0310795059598268E-4</v>
      </c>
      <c r="BB663" s="3">
        <f t="shared" ca="1" si="402"/>
        <v>4.6701348434003795E-2</v>
      </c>
      <c r="BC663" s="3">
        <f t="shared" ca="1" si="403"/>
        <v>0.70806315155374377</v>
      </c>
      <c r="BD663" s="3">
        <f t="shared" ca="1" si="394"/>
        <v>5.2120427353550818E-2</v>
      </c>
      <c r="BE663" s="3">
        <f t="shared" ca="1" si="397"/>
        <v>0.70806315155374377</v>
      </c>
      <c r="BF663" s="3">
        <f t="shared" ca="1" si="398"/>
        <v>0.70806315155374377</v>
      </c>
    </row>
    <row r="664" spans="1:58" ht="15" x14ac:dyDescent="0.25">
      <c r="A664" s="72">
        <v>598</v>
      </c>
      <c r="B664" s="72">
        <v>1498730434.556</v>
      </c>
      <c r="C664" s="73">
        <v>3.1778180133576001E-4</v>
      </c>
      <c r="D664" s="73">
        <v>4.2508801354142498E-6</v>
      </c>
      <c r="E664" s="73">
        <v>3.1737369486293599E-3</v>
      </c>
      <c r="F664" s="73">
        <v>1.9957172847358899E-4</v>
      </c>
      <c r="G664" s="73">
        <v>4.8660477714208603E-2</v>
      </c>
      <c r="H664" s="73">
        <v>-6.0506416784045901E-5</v>
      </c>
      <c r="I664" s="73">
        <v>3.5233951737841399E-2</v>
      </c>
      <c r="J664" s="73">
        <v>0.42261873344803502</v>
      </c>
      <c r="K664" s="73"/>
      <c r="L664" s="73"/>
      <c r="M664" s="73"/>
      <c r="N664" s="19"/>
      <c r="O664" s="13">
        <f t="shared" ca="1" si="364"/>
        <v>5.3094572064198424E-5</v>
      </c>
      <c r="P664" s="13">
        <f t="shared" ca="1" si="365"/>
        <v>-7.0365952494259234E-6</v>
      </c>
      <c r="Q664" s="13">
        <f t="shared" ca="1" si="366"/>
        <v>2.3329973306566746E-3</v>
      </c>
      <c r="R664" s="13">
        <f t="shared" ca="1" si="367"/>
        <v>1.8979544958290786E-4</v>
      </c>
      <c r="S664" s="13">
        <f t="shared" ca="1" si="368"/>
        <v>4.7525399080967229E-2</v>
      </c>
      <c r="T664" s="13">
        <f t="shared" ca="1" si="369"/>
        <v>-6.0856238295069991E-5</v>
      </c>
      <c r="U664" s="13">
        <f t="shared" ca="1" si="370"/>
        <v>3.4580107743052875E-2</v>
      </c>
      <c r="V664" s="13">
        <f t="shared" ca="1" si="371"/>
        <v>0.41547995252558084</v>
      </c>
      <c r="X664" s="3">
        <f t="shared" ca="1" si="372"/>
        <v>5.3094572064198424E-5</v>
      </c>
      <c r="Y664" s="3">
        <f t="shared" ca="1" si="373"/>
        <v>-7.0365952494259234E-6</v>
      </c>
      <c r="Z664" s="3">
        <f t="shared" ca="1" si="374"/>
        <v>2.3329973306566746E-3</v>
      </c>
      <c r="AA664" s="3">
        <f t="shared" ca="1" si="375"/>
        <v>1.8979544958290786E-4</v>
      </c>
      <c r="AB664" s="3">
        <f t="shared" ca="1" si="376"/>
        <v>4.7525399080967229E-2</v>
      </c>
      <c r="AC664" s="3">
        <f t="shared" ca="1" si="377"/>
        <v>-6.0856238295069991E-5</v>
      </c>
      <c r="AD664" s="3">
        <f t="shared" ca="1" si="378"/>
        <v>3.4580107743052875E-2</v>
      </c>
      <c r="AE664" s="3">
        <f t="shared" ca="1" si="379"/>
        <v>0.41547995252558084</v>
      </c>
      <c r="AG664" s="3">
        <f t="shared" ca="1" si="380"/>
        <v>5.3094572064198424E-5</v>
      </c>
      <c r="AH664" s="3">
        <f t="shared" ca="1" si="381"/>
        <v>-7.0365952494259234E-6</v>
      </c>
      <c r="AI664" s="3">
        <f t="shared" ca="1" si="382"/>
        <v>2.3329973306566746E-3</v>
      </c>
      <c r="AJ664" s="3">
        <f t="shared" ca="1" si="383"/>
        <v>1.8979544958290786E-4</v>
      </c>
      <c r="AK664" s="3">
        <f t="shared" ca="1" si="384"/>
        <v>4.7525399080967229E-2</v>
      </c>
      <c r="AL664" s="3">
        <f t="shared" ca="1" si="385"/>
        <v>-6.0856238295069991E-5</v>
      </c>
      <c r="AM664" s="3">
        <f t="shared" ca="1" si="386"/>
        <v>3.4580107743052875E-2</v>
      </c>
      <c r="AN664" s="3">
        <f t="shared" ca="1" si="387"/>
        <v>0.41547995252558084</v>
      </c>
      <c r="AP664" s="3">
        <f t="shared" ca="1" si="388"/>
        <v>8.7422717233314202</v>
      </c>
      <c r="AQ664" s="3">
        <f t="shared" ca="1" si="400"/>
        <v>0.40277775112190711</v>
      </c>
      <c r="AR664" s="3">
        <f t="shared" ca="1" si="389"/>
        <v>7.644538435617493E-5</v>
      </c>
      <c r="AS664" s="3">
        <f t="shared" ca="1" si="390"/>
        <v>3.4503662358696702E-2</v>
      </c>
      <c r="AT664" s="3">
        <f t="shared" ca="1" si="391"/>
        <v>0.71049031292431131</v>
      </c>
      <c r="AU664" s="3">
        <f t="shared" ca="1" si="392"/>
        <v>5.1292071815165693E-2</v>
      </c>
      <c r="AV664" s="10" t="str">
        <f t="shared" ca="1" si="395"/>
        <v>rejected</v>
      </c>
      <c r="AW664" s="10" t="e">
        <f t="shared" ca="1" si="396"/>
        <v>#N/A</v>
      </c>
      <c r="AX664" s="10"/>
      <c r="AY664" s="3">
        <f t="shared" ca="1" si="399"/>
        <v>8.7422717233314202</v>
      </c>
      <c r="AZ664" s="3">
        <f t="shared" ca="1" si="401"/>
        <v>0.40277775112190711</v>
      </c>
      <c r="BA664" s="3">
        <f t="shared" ca="1" si="393"/>
        <v>7.644538435617493E-5</v>
      </c>
      <c r="BB664" s="3">
        <f t="shared" ca="1" si="402"/>
        <v>3.4503662358696702E-2</v>
      </c>
      <c r="BC664" s="3">
        <f t="shared" ca="1" si="403"/>
        <v>0.71049031292431131</v>
      </c>
      <c r="BD664" s="3">
        <f t="shared" ca="1" si="394"/>
        <v>5.1292071815165693E-2</v>
      </c>
      <c r="BE664" s="3" t="str">
        <f t="shared" ca="1" si="397"/>
        <v>rejected</v>
      </c>
      <c r="BF664" s="3" t="e">
        <f t="shared" ca="1" si="398"/>
        <v>#N/A</v>
      </c>
    </row>
    <row r="665" spans="1:58" ht="15" x14ac:dyDescent="0.25">
      <c r="A665" s="72">
        <v>599</v>
      </c>
      <c r="B665" s="72">
        <v>1498730435.0829999</v>
      </c>
      <c r="C665" s="73">
        <v>2.4950269196298601E-4</v>
      </c>
      <c r="D665" s="73">
        <v>-7.1101048039705605E-5</v>
      </c>
      <c r="E665" s="73">
        <v>2.7325541432477798E-3</v>
      </c>
      <c r="F665" s="73">
        <v>1.39125934171573E-4</v>
      </c>
      <c r="G665" s="73">
        <v>3.8963996700702698E-2</v>
      </c>
      <c r="H665" s="73">
        <v>-5.0661792885531701E-5</v>
      </c>
      <c r="I665" s="73">
        <v>2.8164462013977699E-2</v>
      </c>
      <c r="J665" s="73">
        <v>0.337341296787534</v>
      </c>
      <c r="K665" s="73"/>
      <c r="L665" s="73"/>
      <c r="M665" s="73"/>
      <c r="N665" s="19"/>
      <c r="O665" s="13">
        <f t="shared" ca="1" si="364"/>
        <v>-1.5184537308575571E-5</v>
      </c>
      <c r="P665" s="13">
        <f t="shared" ca="1" si="365"/>
        <v>-8.2388523424545783E-5</v>
      </c>
      <c r="Q665" s="13">
        <f t="shared" ca="1" si="366"/>
        <v>1.8918145252750946E-3</v>
      </c>
      <c r="R665" s="13">
        <f t="shared" ca="1" si="367"/>
        <v>1.2934965528089187E-4</v>
      </c>
      <c r="S665" s="13">
        <f t="shared" ca="1" si="368"/>
        <v>3.7828918067461324E-2</v>
      </c>
      <c r="T665" s="13">
        <f t="shared" ca="1" si="369"/>
        <v>-5.1011614396555791E-5</v>
      </c>
      <c r="U665" s="13">
        <f t="shared" ca="1" si="370"/>
        <v>2.7510618019189179E-2</v>
      </c>
      <c r="V665" s="13">
        <f t="shared" ca="1" si="371"/>
        <v>0.33020251586507982</v>
      </c>
      <c r="X665" s="3">
        <f t="shared" ca="1" si="372"/>
        <v>-1.5184537308575571E-5</v>
      </c>
      <c r="Y665" s="3">
        <f t="shared" ca="1" si="373"/>
        <v>-8.2388523424545783E-5</v>
      </c>
      <c r="Z665" s="3">
        <f t="shared" ca="1" si="374"/>
        <v>1.8918145252750946E-3</v>
      </c>
      <c r="AA665" s="3">
        <f t="shared" ca="1" si="375"/>
        <v>1.2934965528089187E-4</v>
      </c>
      <c r="AB665" s="3">
        <f t="shared" ca="1" si="376"/>
        <v>3.7828918067461324E-2</v>
      </c>
      <c r="AC665" s="3">
        <f t="shared" ca="1" si="377"/>
        <v>-5.1011614396555791E-5</v>
      </c>
      <c r="AD665" s="3">
        <f t="shared" ca="1" si="378"/>
        <v>2.7510618019189179E-2</v>
      </c>
      <c r="AE665" s="3">
        <f t="shared" ca="1" si="379"/>
        <v>0.33020251586507982</v>
      </c>
      <c r="AG665" s="3">
        <f t="shared" ca="1" si="380"/>
        <v>-1.5184537308575571E-5</v>
      </c>
      <c r="AH665" s="3">
        <f t="shared" ca="1" si="381"/>
        <v>-8.2388523424545783E-5</v>
      </c>
      <c r="AI665" s="3">
        <f t="shared" ca="1" si="382"/>
        <v>1.8918145252750946E-3</v>
      </c>
      <c r="AJ665" s="3">
        <f t="shared" ca="1" si="383"/>
        <v>1.2934965528089187E-4</v>
      </c>
      <c r="AK665" s="3">
        <f t="shared" ca="1" si="384"/>
        <v>3.7828918067461324E-2</v>
      </c>
      <c r="AL665" s="3">
        <f t="shared" ca="1" si="385"/>
        <v>-5.1011614396555791E-5</v>
      </c>
      <c r="AM665" s="3">
        <f t="shared" ca="1" si="386"/>
        <v>2.7510618019189179E-2</v>
      </c>
      <c r="AN665" s="3">
        <f t="shared" ca="1" si="387"/>
        <v>0.33020251586507982</v>
      </c>
      <c r="AP665" s="3">
        <f t="shared" ca="1" si="388"/>
        <v>8.7288384847861842</v>
      </c>
      <c r="AQ665" s="3">
        <f t="shared" ca="1" si="400"/>
        <v>0.40215134841351119</v>
      </c>
      <c r="AR665" s="3">
        <f t="shared" ca="1" si="389"/>
        <v>5.2018138288033513E-5</v>
      </c>
      <c r="AS665" s="3">
        <f t="shared" ca="1" si="390"/>
        <v>2.7458599880901144E-2</v>
      </c>
      <c r="AT665" s="3">
        <f t="shared" ca="1" si="391"/>
        <v>0.7109016592755294</v>
      </c>
      <c r="AU665" s="3">
        <f t="shared" ca="1" si="392"/>
        <v>5.2171465521906928E-2</v>
      </c>
      <c r="AV665" s="10" t="str">
        <f t="shared" ca="1" si="395"/>
        <v>rejected</v>
      </c>
      <c r="AW665" s="10" t="e">
        <f t="shared" ca="1" si="396"/>
        <v>#N/A</v>
      </c>
      <c r="AX665" s="10"/>
      <c r="AY665" s="3">
        <f t="shared" ca="1" si="399"/>
        <v>8.7288384847861842</v>
      </c>
      <c r="AZ665" s="3">
        <f t="shared" ca="1" si="401"/>
        <v>0.40215134841351119</v>
      </c>
      <c r="BA665" s="3">
        <f t="shared" ca="1" si="393"/>
        <v>5.2018138288033513E-5</v>
      </c>
      <c r="BB665" s="3">
        <f t="shared" ca="1" si="402"/>
        <v>2.7458599880901144E-2</v>
      </c>
      <c r="BC665" s="3">
        <f t="shared" ca="1" si="403"/>
        <v>0.7109016592755294</v>
      </c>
      <c r="BD665" s="3">
        <f t="shared" ca="1" si="394"/>
        <v>5.2171465521906928E-2</v>
      </c>
      <c r="BE665" s="3" t="str">
        <f t="shared" ca="1" si="397"/>
        <v>rejected</v>
      </c>
      <c r="BF665" s="3" t="e">
        <f t="shared" ca="1" si="398"/>
        <v>#N/A</v>
      </c>
    </row>
    <row r="666" spans="1:58" ht="15" x14ac:dyDescent="0.25">
      <c r="A666" s="72">
        <v>600</v>
      </c>
      <c r="B666" s="72">
        <v>1498730435.6099999</v>
      </c>
      <c r="C666" s="73">
        <v>2.3784574962627201E-4</v>
      </c>
      <c r="D666" s="73">
        <v>3.2597914409521002E-5</v>
      </c>
      <c r="E666" s="73">
        <v>2.38498715313047E-3</v>
      </c>
      <c r="F666" s="73">
        <v>5.8695865057070497E-5</v>
      </c>
      <c r="G666" s="73">
        <v>3.35763261651775E-2</v>
      </c>
      <c r="H666" s="73">
        <v>1.5230272289825E-5</v>
      </c>
      <c r="I666" s="73">
        <v>2.4105509644048999E-2</v>
      </c>
      <c r="J666" s="73">
        <v>0.29000551286726201</v>
      </c>
      <c r="K666" s="73"/>
      <c r="L666" s="73"/>
      <c r="M666" s="73"/>
      <c r="N666" s="19"/>
      <c r="O666" s="13">
        <f t="shared" ca="1" si="364"/>
        <v>-2.6841479645289574E-5</v>
      </c>
      <c r="P666" s="13">
        <f t="shared" ca="1" si="365"/>
        <v>2.1310439024680831E-5</v>
      </c>
      <c r="Q666" s="13">
        <f t="shared" ca="1" si="366"/>
        <v>1.5442475351577847E-3</v>
      </c>
      <c r="R666" s="13">
        <f t="shared" ca="1" si="367"/>
        <v>4.891958616638937E-5</v>
      </c>
      <c r="S666" s="13">
        <f t="shared" ca="1" si="368"/>
        <v>3.2441247531936127E-2</v>
      </c>
      <c r="T666" s="13">
        <f t="shared" ca="1" si="369"/>
        <v>1.4880450778800914E-5</v>
      </c>
      <c r="U666" s="13">
        <f t="shared" ca="1" si="370"/>
        <v>2.3451665649260479E-2</v>
      </c>
      <c r="V666" s="13">
        <f t="shared" ca="1" si="371"/>
        <v>0.28286673194480783</v>
      </c>
      <c r="X666" s="3">
        <f t="shared" ca="1" si="372"/>
        <v>-2.6841479645289574E-5</v>
      </c>
      <c r="Y666" s="3">
        <f t="shared" ca="1" si="373"/>
        <v>2.1310439024680831E-5</v>
      </c>
      <c r="Z666" s="3">
        <f t="shared" ca="1" si="374"/>
        <v>1.54413368857417E-3</v>
      </c>
      <c r="AA666" s="3">
        <f t="shared" ca="1" si="375"/>
        <v>4.6163981358441516E-5</v>
      </c>
      <c r="AB666" s="3">
        <f t="shared" ca="1" si="376"/>
        <v>3.2421207945797573E-2</v>
      </c>
      <c r="AC666" s="3">
        <f t="shared" ca="1" si="377"/>
        <v>1.4880450778800914E-5</v>
      </c>
      <c r="AD666" s="3">
        <f t="shared" ca="1" si="378"/>
        <v>2.342207200607653E-2</v>
      </c>
      <c r="AE666" s="3">
        <f t="shared" ca="1" si="379"/>
        <v>0.28285472353284297</v>
      </c>
      <c r="AG666" s="3">
        <f t="shared" ca="1" si="380"/>
        <v>-2.6841479645289574E-5</v>
      </c>
      <c r="AH666" s="3">
        <f t="shared" ca="1" si="381"/>
        <v>2.1310439024680831E-5</v>
      </c>
      <c r="AI666" s="3">
        <f t="shared" ca="1" si="382"/>
        <v>1.5269682429758123E-3</v>
      </c>
      <c r="AJ666" s="3">
        <f t="shared" ca="1" si="383"/>
        <v>3.6685176143182558E-5</v>
      </c>
      <c r="AK666" s="3">
        <f t="shared" ca="1" si="384"/>
        <v>3.2421207945797573E-2</v>
      </c>
      <c r="AL666" s="3">
        <f t="shared" ca="1" si="385"/>
        <v>1.4880450778800914E-5</v>
      </c>
      <c r="AM666" s="3">
        <f t="shared" ca="1" si="386"/>
        <v>2.342207200607653E-2</v>
      </c>
      <c r="AN666" s="3">
        <f t="shared" ca="1" si="387"/>
        <v>0.28285472353284297</v>
      </c>
      <c r="AP666" s="3">
        <f t="shared" ca="1" si="388"/>
        <v>8.7193543240390312</v>
      </c>
      <c r="AQ666" s="3">
        <f t="shared" ca="1" si="400"/>
        <v>0.40170910141677646</v>
      </c>
      <c r="AR666" s="3">
        <f t="shared" ca="1" si="389"/>
        <v>1.9651443000580842E-5</v>
      </c>
      <c r="AS666" s="3">
        <f t="shared" ca="1" si="390"/>
        <v>2.3432014206259899E-2</v>
      </c>
      <c r="AT666" s="3">
        <f t="shared" ca="1" si="391"/>
        <v>0.7077907733958303</v>
      </c>
      <c r="AU666" s="3">
        <f t="shared" ca="1" si="392"/>
        <v>4.9603767436631314E-2</v>
      </c>
      <c r="AV666" s="10" t="str">
        <f t="shared" ca="1" si="395"/>
        <v>rejected</v>
      </c>
      <c r="AW666" s="10" t="e">
        <f t="shared" ca="1" si="396"/>
        <v>#N/A</v>
      </c>
      <c r="AX666" s="10"/>
      <c r="AY666" s="3">
        <f t="shared" ca="1" si="399"/>
        <v>8.7243733794781857</v>
      </c>
      <c r="AZ666" s="3">
        <f t="shared" ca="1" si="401"/>
        <v>0.40194313955301147</v>
      </c>
      <c r="BA666" s="3">
        <f t="shared" ca="1" si="393"/>
        <v>1.4745354874046034E-5</v>
      </c>
      <c r="BB666" s="3">
        <f t="shared" ca="1" si="402"/>
        <v>2.3407326651202483E-2</v>
      </c>
      <c r="BC666" s="3">
        <f t="shared" ca="1" si="403"/>
        <v>0.70727708705186909</v>
      </c>
      <c r="BD666" s="3">
        <f t="shared" ca="1" si="394"/>
        <v>4.9107953302991635E-2</v>
      </c>
      <c r="BE666" s="3" t="str">
        <f t="shared" ca="1" si="397"/>
        <v>rejected</v>
      </c>
      <c r="BF666" s="3" t="e">
        <f t="shared" ca="1" si="398"/>
        <v>#N/A</v>
      </c>
    </row>
    <row r="667" spans="1:58" ht="15" x14ac:dyDescent="0.25">
      <c r="A667" s="72"/>
      <c r="B667" s="72"/>
      <c r="C667" s="73"/>
      <c r="D667" s="73"/>
      <c r="E667" s="73"/>
      <c r="F667" s="73"/>
      <c r="G667" s="73"/>
      <c r="H667" s="73"/>
      <c r="I667" s="73"/>
      <c r="J667" s="73"/>
      <c r="K667" s="73"/>
      <c r="L667" s="73"/>
      <c r="M667" s="73"/>
      <c r="N667" s="73"/>
      <c r="O667" s="19"/>
      <c r="P667" s="13"/>
      <c r="Q667" s="13"/>
      <c r="R667" s="13"/>
      <c r="S667" s="13"/>
      <c r="T667" s="13"/>
      <c r="U667" s="13"/>
      <c r="V667" s="13"/>
      <c r="W667" s="13"/>
      <c r="X667" s="13"/>
      <c r="AZ667" s="10"/>
      <c r="BA667" s="10"/>
      <c r="BB667" s="10"/>
    </row>
    <row r="668" spans="1:58" ht="15" x14ac:dyDescent="0.25">
      <c r="A668" s="72"/>
      <c r="B668" s="72"/>
      <c r="C668" s="73"/>
      <c r="D668" s="73"/>
      <c r="E668" s="73"/>
      <c r="F668" s="73"/>
      <c r="G668" s="73"/>
      <c r="H668" s="73"/>
      <c r="I668" s="73"/>
      <c r="J668" s="73"/>
      <c r="K668" s="73"/>
      <c r="L668" s="73"/>
      <c r="M668" s="73"/>
      <c r="N668" s="73"/>
      <c r="O668" s="19"/>
      <c r="P668" s="13"/>
      <c r="Q668" s="13"/>
      <c r="R668" s="13"/>
      <c r="S668" s="13"/>
      <c r="T668" s="13"/>
      <c r="U668" s="13"/>
      <c r="V668" s="13"/>
      <c r="W668" s="13"/>
      <c r="X668" s="13"/>
      <c r="AZ668" s="10"/>
      <c r="BA668" s="10"/>
      <c r="BB668" s="10"/>
    </row>
    <row r="669" spans="1:58" ht="15" x14ac:dyDescent="0.25">
      <c r="A669" s="72"/>
      <c r="B669" s="72"/>
      <c r="C669" s="73"/>
      <c r="D669" s="73"/>
      <c r="E669" s="73"/>
      <c r="F669" s="73"/>
      <c r="G669" s="73"/>
      <c r="H669" s="73"/>
      <c r="I669" s="73"/>
      <c r="J669" s="73"/>
      <c r="K669" s="73"/>
      <c r="L669" s="73"/>
      <c r="M669" s="73"/>
      <c r="N669" s="73"/>
      <c r="O669" s="19"/>
      <c r="P669" s="13"/>
      <c r="Q669" s="13"/>
      <c r="R669" s="13"/>
      <c r="S669" s="13"/>
      <c r="T669" s="13"/>
      <c r="U669" s="13"/>
      <c r="V669" s="13"/>
      <c r="W669" s="13"/>
      <c r="X669" s="13"/>
      <c r="AZ669" s="10"/>
      <c r="BA669" s="10"/>
      <c r="BB669" s="10"/>
    </row>
    <row r="670" spans="1:58" ht="15" x14ac:dyDescent="0.25">
      <c r="A670" s="72"/>
      <c r="B670" s="72"/>
      <c r="C670" s="72"/>
      <c r="D670" s="72"/>
      <c r="E670" s="72"/>
      <c r="F670" s="72"/>
      <c r="G670" s="72"/>
      <c r="H670" s="72"/>
      <c r="I670" s="72"/>
      <c r="J670" s="72"/>
      <c r="K670" s="72"/>
      <c r="L670" s="72"/>
      <c r="M670" s="72"/>
      <c r="N670" s="72"/>
      <c r="O670" s="19"/>
      <c r="P670" s="13"/>
      <c r="Q670" s="13"/>
      <c r="R670" s="13"/>
      <c r="S670" s="13"/>
      <c r="T670" s="13"/>
      <c r="U670" s="13"/>
      <c r="V670" s="13"/>
      <c r="W670" s="13"/>
      <c r="X670" s="13"/>
      <c r="AZ670" s="10"/>
      <c r="BA670" s="10"/>
      <c r="BB670" s="10"/>
    </row>
    <row r="671" spans="1:58" ht="15" x14ac:dyDescent="0.25">
      <c r="A671" s="72"/>
      <c r="B671" s="72"/>
      <c r="C671" s="72"/>
      <c r="D671" s="72"/>
      <c r="E671" s="72"/>
      <c r="F671" s="72"/>
      <c r="G671" s="72"/>
      <c r="H671" s="72"/>
      <c r="I671" s="72"/>
      <c r="J671" s="72"/>
      <c r="K671" s="72"/>
      <c r="L671" s="72"/>
      <c r="M671" s="72"/>
      <c r="N671" s="72"/>
      <c r="O671" s="19"/>
      <c r="P671" s="13"/>
      <c r="Q671" s="13"/>
      <c r="R671" s="13"/>
      <c r="S671" s="13"/>
      <c r="T671" s="13"/>
      <c r="U671" s="13"/>
      <c r="V671" s="13"/>
      <c r="W671" s="13"/>
      <c r="X671" s="13"/>
      <c r="AZ671" s="10"/>
      <c r="BA671" s="10"/>
      <c r="BB671" s="10"/>
    </row>
    <row r="672" spans="1:58" ht="15" x14ac:dyDescent="0.25">
      <c r="A672" s="72"/>
      <c r="B672" s="72"/>
      <c r="C672" s="72"/>
      <c r="D672" s="72"/>
      <c r="E672" s="72"/>
      <c r="F672" s="72"/>
      <c r="G672" s="72"/>
      <c r="H672" s="72"/>
      <c r="I672" s="72"/>
      <c r="J672" s="72"/>
      <c r="K672" s="72"/>
      <c r="L672" s="72"/>
      <c r="M672" s="72"/>
      <c r="N672" s="72"/>
      <c r="O672" s="19"/>
      <c r="P672" s="13"/>
      <c r="Q672" s="13"/>
      <c r="R672" s="13"/>
      <c r="S672" s="13"/>
      <c r="T672" s="13"/>
      <c r="U672" s="13"/>
      <c r="V672" s="13"/>
      <c r="W672" s="13"/>
      <c r="X672" s="13"/>
      <c r="AZ672" s="10"/>
      <c r="BA672" s="10"/>
      <c r="BB672" s="10"/>
    </row>
    <row r="673" spans="1:54" ht="15" x14ac:dyDescent="0.25">
      <c r="A673" s="72"/>
      <c r="B673" s="72"/>
      <c r="C673" s="72"/>
      <c r="D673" s="72"/>
      <c r="E673" s="72"/>
      <c r="F673" s="72"/>
      <c r="G673" s="72"/>
      <c r="H673" s="72"/>
      <c r="I673" s="72"/>
      <c r="J673" s="72"/>
      <c r="K673" s="72"/>
      <c r="L673" s="72"/>
      <c r="M673" s="72"/>
      <c r="N673" s="72"/>
      <c r="O673" s="19"/>
      <c r="P673" s="13"/>
      <c r="Q673" s="13"/>
      <c r="R673" s="13"/>
      <c r="S673" s="13"/>
      <c r="T673" s="13"/>
      <c r="U673" s="13"/>
      <c r="V673" s="13"/>
      <c r="W673" s="13"/>
      <c r="X673" s="13"/>
      <c r="AZ673" s="10"/>
      <c r="BA673" s="10"/>
      <c r="BB673" s="10"/>
    </row>
    <row r="674" spans="1:54" ht="15" x14ac:dyDescent="0.25">
      <c r="A674" s="72"/>
      <c r="B674" s="70"/>
      <c r="C674" s="71"/>
      <c r="D674" s="71"/>
      <c r="E674" s="71"/>
      <c r="F674" s="71"/>
      <c r="G674" s="71"/>
      <c r="H674" s="71"/>
      <c r="I674" s="71"/>
      <c r="J674" s="71"/>
      <c r="K674" s="71"/>
      <c r="L674" s="71"/>
      <c r="M674" s="73"/>
      <c r="N674" s="71"/>
      <c r="O674" s="19"/>
      <c r="P674" s="13"/>
      <c r="Q674" s="13"/>
      <c r="R674" s="13"/>
      <c r="S674" s="13"/>
      <c r="T674" s="13"/>
      <c r="U674" s="13"/>
      <c r="V674" s="13"/>
      <c r="W674" s="13"/>
      <c r="X674" s="13"/>
      <c r="AZ674" s="10"/>
      <c r="BA674" s="10"/>
      <c r="BB674" s="10"/>
    </row>
    <row r="675" spans="1:54" ht="15" x14ac:dyDescent="0.25">
      <c r="A675" s="72"/>
      <c r="B675" s="70"/>
      <c r="C675" s="71"/>
      <c r="D675" s="71"/>
      <c r="E675" s="71"/>
      <c r="F675" s="71"/>
      <c r="G675" s="71"/>
      <c r="H675" s="71"/>
      <c r="I675" s="71"/>
      <c r="J675" s="71"/>
      <c r="K675" s="71"/>
      <c r="L675" s="71"/>
      <c r="M675" s="73"/>
      <c r="N675" s="71"/>
      <c r="O675" s="19"/>
      <c r="P675" s="13"/>
      <c r="Q675" s="13"/>
      <c r="R675" s="13"/>
      <c r="S675" s="13"/>
      <c r="T675" s="13"/>
      <c r="U675" s="13"/>
      <c r="V675" s="13"/>
      <c r="W675" s="13"/>
      <c r="X675" s="13"/>
      <c r="AZ675" s="10"/>
      <c r="BA675" s="10"/>
      <c r="BB675" s="10"/>
    </row>
    <row r="676" spans="1:54" ht="15" x14ac:dyDescent="0.25">
      <c r="A676" s="72"/>
      <c r="B676" s="70"/>
      <c r="C676" s="71"/>
      <c r="D676" s="71"/>
      <c r="E676" s="71"/>
      <c r="F676" s="71"/>
      <c r="G676" s="71"/>
      <c r="H676" s="71"/>
      <c r="I676" s="71"/>
      <c r="J676" s="71"/>
      <c r="K676" s="71"/>
      <c r="L676" s="71"/>
      <c r="M676" s="73"/>
      <c r="N676" s="71"/>
      <c r="O676" s="19"/>
      <c r="P676" s="13"/>
      <c r="Q676" s="13"/>
      <c r="R676" s="13"/>
      <c r="S676" s="13"/>
      <c r="T676" s="13"/>
      <c r="U676" s="13"/>
      <c r="V676" s="13"/>
      <c r="W676" s="13"/>
      <c r="X676" s="13"/>
      <c r="AZ676" s="10"/>
      <c r="BA676" s="10"/>
      <c r="BB676" s="10"/>
    </row>
    <row r="677" spans="1:54" ht="15" x14ac:dyDescent="0.25">
      <c r="A677" s="72"/>
      <c r="B677" s="70"/>
      <c r="C677" s="71"/>
      <c r="D677" s="71"/>
      <c r="E677" s="71"/>
      <c r="F677" s="71"/>
      <c r="G677" s="71"/>
      <c r="H677" s="71"/>
      <c r="I677" s="71"/>
      <c r="J677" s="71"/>
      <c r="K677" s="71"/>
      <c r="L677" s="71"/>
      <c r="M677" s="73"/>
      <c r="N677" s="71"/>
      <c r="O677" s="19"/>
      <c r="P677" s="13"/>
      <c r="Q677" s="13"/>
      <c r="R677" s="13"/>
      <c r="S677" s="13"/>
      <c r="T677" s="13"/>
      <c r="U677" s="13"/>
      <c r="V677" s="13"/>
      <c r="W677" s="13"/>
      <c r="X677" s="13"/>
      <c r="AZ677" s="10"/>
      <c r="BA677" s="10"/>
      <c r="BB677" s="10"/>
    </row>
    <row r="678" spans="1:54" ht="15" x14ac:dyDescent="0.25">
      <c r="A678" s="72"/>
      <c r="B678" s="70"/>
      <c r="C678" s="71"/>
      <c r="D678" s="71"/>
      <c r="E678" s="71"/>
      <c r="F678" s="71"/>
      <c r="G678" s="71"/>
      <c r="H678" s="71"/>
      <c r="I678" s="71"/>
      <c r="J678" s="71"/>
      <c r="K678" s="71"/>
      <c r="L678" s="71"/>
      <c r="M678" s="73"/>
      <c r="N678" s="71"/>
      <c r="O678" s="19"/>
      <c r="P678" s="13"/>
      <c r="Q678" s="13"/>
      <c r="R678" s="13"/>
      <c r="S678" s="13"/>
      <c r="T678" s="13"/>
      <c r="U678" s="13"/>
      <c r="V678" s="13"/>
      <c r="W678" s="13"/>
      <c r="X678" s="13"/>
      <c r="AZ678" s="10"/>
      <c r="BA678" s="10"/>
      <c r="BB678" s="10"/>
    </row>
    <row r="679" spans="1:54" ht="15" x14ac:dyDescent="0.25">
      <c r="A679" s="72"/>
      <c r="B679" s="70"/>
      <c r="C679" s="71"/>
      <c r="D679" s="71"/>
      <c r="E679" s="71"/>
      <c r="F679" s="71"/>
      <c r="G679" s="71"/>
      <c r="H679" s="71"/>
      <c r="I679" s="71"/>
      <c r="J679" s="71"/>
      <c r="K679" s="71"/>
      <c r="L679" s="71"/>
      <c r="M679" s="73"/>
      <c r="N679" s="71"/>
      <c r="O679" s="19"/>
      <c r="P679" s="13"/>
      <c r="Q679" s="13"/>
      <c r="R679" s="13"/>
      <c r="S679" s="13"/>
      <c r="T679" s="13"/>
      <c r="U679" s="13"/>
      <c r="V679" s="13"/>
      <c r="W679" s="13"/>
      <c r="X679" s="13"/>
      <c r="AZ679" s="10"/>
      <c r="BA679" s="10"/>
      <c r="BB679" s="10"/>
    </row>
    <row r="680" spans="1:54" ht="15" x14ac:dyDescent="0.25">
      <c r="A680" s="72"/>
      <c r="B680" s="70"/>
      <c r="C680" s="71"/>
      <c r="D680" s="71"/>
      <c r="E680" s="71"/>
      <c r="F680" s="71"/>
      <c r="G680" s="71"/>
      <c r="H680" s="71"/>
      <c r="I680" s="71"/>
      <c r="J680" s="71"/>
      <c r="K680" s="71"/>
      <c r="L680" s="71"/>
      <c r="M680" s="73"/>
      <c r="N680" s="71"/>
      <c r="O680" s="19"/>
      <c r="P680" s="13"/>
      <c r="Q680" s="13"/>
      <c r="R680" s="13"/>
      <c r="S680" s="13"/>
      <c r="T680" s="13"/>
      <c r="U680" s="13"/>
      <c r="V680" s="13"/>
      <c r="W680" s="13"/>
      <c r="X680" s="13"/>
      <c r="AZ680" s="10"/>
      <c r="BA680" s="10"/>
      <c r="BB680" s="10"/>
    </row>
    <row r="681" spans="1:54" ht="15" x14ac:dyDescent="0.25">
      <c r="A681" s="72"/>
      <c r="B681" s="70"/>
      <c r="C681" s="71"/>
      <c r="D681" s="71"/>
      <c r="E681" s="71"/>
      <c r="F681" s="71"/>
      <c r="G681" s="71"/>
      <c r="H681" s="71"/>
      <c r="I681" s="71"/>
      <c r="J681" s="71"/>
      <c r="K681" s="71"/>
      <c r="L681" s="71"/>
      <c r="M681" s="73"/>
      <c r="N681" s="71"/>
      <c r="O681" s="19"/>
      <c r="P681" s="13"/>
      <c r="Q681" s="13"/>
      <c r="R681" s="13"/>
      <c r="S681" s="13"/>
      <c r="T681" s="13"/>
      <c r="U681" s="13"/>
      <c r="V681" s="13"/>
      <c r="W681" s="13"/>
      <c r="X681" s="13"/>
      <c r="AZ681" s="10"/>
      <c r="BA681" s="10"/>
      <c r="BB681" s="10"/>
    </row>
    <row r="682" spans="1:54" ht="15" x14ac:dyDescent="0.25">
      <c r="A682" s="72"/>
      <c r="B682" s="70"/>
      <c r="C682" s="71"/>
      <c r="D682" s="71"/>
      <c r="E682" s="71"/>
      <c r="F682" s="71"/>
      <c r="G682" s="71"/>
      <c r="H682" s="71"/>
      <c r="I682" s="71"/>
      <c r="J682" s="71"/>
      <c r="K682" s="71"/>
      <c r="L682" s="71"/>
      <c r="M682" s="73"/>
      <c r="N682" s="71"/>
      <c r="O682" s="19"/>
      <c r="P682" s="13"/>
      <c r="Q682" s="13"/>
      <c r="R682" s="13"/>
      <c r="S682" s="13"/>
      <c r="T682" s="13"/>
      <c r="U682" s="13"/>
      <c r="V682" s="13"/>
      <c r="W682" s="13"/>
      <c r="X682" s="13"/>
      <c r="AZ682" s="10"/>
      <c r="BA682" s="10"/>
      <c r="BB682" s="10"/>
    </row>
    <row r="683" spans="1:54" ht="15" x14ac:dyDescent="0.25">
      <c r="A683" s="72"/>
      <c r="B683" s="70"/>
      <c r="C683" s="71"/>
      <c r="D683" s="71"/>
      <c r="E683" s="71"/>
      <c r="F683" s="71"/>
      <c r="G683" s="71"/>
      <c r="H683" s="71"/>
      <c r="I683" s="71"/>
      <c r="J683" s="71"/>
      <c r="K683" s="71"/>
      <c r="L683" s="71"/>
      <c r="M683" s="73"/>
      <c r="N683" s="71"/>
      <c r="O683" s="19"/>
      <c r="P683" s="13"/>
      <c r="Q683" s="13"/>
      <c r="R683" s="13"/>
      <c r="S683" s="13"/>
      <c r="T683" s="13"/>
      <c r="U683" s="13"/>
      <c r="V683" s="13"/>
      <c r="W683" s="13"/>
      <c r="X683" s="13"/>
      <c r="AZ683" s="10"/>
      <c r="BA683" s="10"/>
      <c r="BB683" s="10"/>
    </row>
    <row r="684" spans="1:54" ht="15" x14ac:dyDescent="0.25">
      <c r="A684" s="72"/>
      <c r="B684" s="70"/>
      <c r="C684" s="71"/>
      <c r="D684" s="71"/>
      <c r="E684" s="71"/>
      <c r="F684" s="71"/>
      <c r="G684" s="71"/>
      <c r="H684" s="71"/>
      <c r="I684" s="71"/>
      <c r="J684" s="71"/>
      <c r="K684" s="71"/>
      <c r="L684" s="71"/>
      <c r="M684" s="73"/>
      <c r="N684" s="71"/>
      <c r="O684" s="19"/>
      <c r="P684" s="13"/>
      <c r="Q684" s="13"/>
      <c r="R684" s="13"/>
      <c r="S684" s="13"/>
      <c r="T684" s="13"/>
      <c r="U684" s="13"/>
      <c r="V684" s="13"/>
      <c r="W684" s="13"/>
      <c r="X684" s="13"/>
      <c r="AZ684" s="10"/>
      <c r="BA684" s="10"/>
      <c r="BB684" s="10"/>
    </row>
    <row r="685" spans="1:54" ht="15" x14ac:dyDescent="0.25">
      <c r="A685" s="72"/>
      <c r="B685" s="70"/>
      <c r="C685" s="71"/>
      <c r="D685" s="71"/>
      <c r="E685" s="71"/>
      <c r="F685" s="71"/>
      <c r="G685" s="71"/>
      <c r="H685" s="71"/>
      <c r="I685" s="71"/>
      <c r="J685" s="71"/>
      <c r="K685" s="71"/>
      <c r="L685" s="71"/>
      <c r="M685" s="73"/>
      <c r="N685" s="71"/>
      <c r="O685" s="19"/>
      <c r="P685" s="13"/>
      <c r="Q685" s="13"/>
      <c r="R685" s="13"/>
      <c r="S685" s="13"/>
      <c r="T685" s="13"/>
      <c r="U685" s="13"/>
      <c r="V685" s="13"/>
      <c r="W685" s="13"/>
      <c r="X685" s="13"/>
      <c r="AZ685" s="10"/>
      <c r="BA685" s="10"/>
      <c r="BB685" s="10"/>
    </row>
    <row r="686" spans="1:54" ht="15" x14ac:dyDescent="0.25">
      <c r="A686" s="72"/>
      <c r="B686" s="70"/>
      <c r="C686" s="71"/>
      <c r="D686" s="71"/>
      <c r="E686" s="71"/>
      <c r="F686" s="71"/>
      <c r="G686" s="71"/>
      <c r="H686" s="71"/>
      <c r="I686" s="71"/>
      <c r="J686" s="71"/>
      <c r="K686" s="71"/>
      <c r="L686" s="71"/>
      <c r="M686" s="73"/>
      <c r="N686" s="71"/>
      <c r="O686" s="19"/>
      <c r="P686" s="13"/>
      <c r="Q686" s="13"/>
      <c r="R686" s="13"/>
      <c r="S686" s="13"/>
      <c r="T686" s="13"/>
      <c r="U686" s="13"/>
      <c r="V686" s="13"/>
      <c r="W686" s="13"/>
      <c r="X686" s="13"/>
      <c r="AZ686" s="10"/>
      <c r="BA686" s="10"/>
      <c r="BB686" s="10"/>
    </row>
    <row r="687" spans="1:54" ht="15" x14ac:dyDescent="0.25">
      <c r="A687" s="72"/>
      <c r="B687" s="70"/>
      <c r="C687" s="71"/>
      <c r="D687" s="71"/>
      <c r="E687" s="71"/>
      <c r="F687" s="71"/>
      <c r="G687" s="71"/>
      <c r="H687" s="71"/>
      <c r="I687" s="71"/>
      <c r="J687" s="71"/>
      <c r="K687" s="71"/>
      <c r="L687" s="71"/>
      <c r="M687" s="73"/>
      <c r="N687" s="71"/>
      <c r="O687" s="19"/>
      <c r="P687" s="13"/>
      <c r="Q687" s="13"/>
      <c r="R687" s="13"/>
      <c r="S687" s="13"/>
      <c r="T687" s="13"/>
      <c r="U687" s="13"/>
      <c r="V687" s="13"/>
      <c r="W687" s="13"/>
      <c r="X687" s="13"/>
      <c r="AZ687" s="10"/>
      <c r="BA687" s="10"/>
      <c r="BB687" s="10"/>
    </row>
    <row r="688" spans="1:54" ht="15" x14ac:dyDescent="0.25">
      <c r="A688" s="72"/>
      <c r="B688" s="70"/>
      <c r="C688" s="71"/>
      <c r="D688" s="71"/>
      <c r="E688" s="71"/>
      <c r="F688" s="71"/>
      <c r="G688" s="71"/>
      <c r="H688" s="71"/>
      <c r="I688" s="71"/>
      <c r="J688" s="71"/>
      <c r="K688" s="71"/>
      <c r="L688" s="71"/>
      <c r="M688" s="73"/>
      <c r="N688" s="71"/>
      <c r="O688" s="19"/>
      <c r="P688" s="13"/>
      <c r="Q688" s="13"/>
      <c r="R688" s="13"/>
      <c r="S688" s="13"/>
      <c r="T688" s="13"/>
      <c r="U688" s="13"/>
      <c r="V688" s="13"/>
      <c r="W688" s="13"/>
      <c r="X688" s="13"/>
      <c r="AZ688" s="10"/>
      <c r="BA688" s="10"/>
      <c r="BB688" s="10"/>
    </row>
    <row r="689" spans="1:54" ht="15" x14ac:dyDescent="0.25">
      <c r="A689" s="72"/>
      <c r="B689" s="70"/>
      <c r="C689" s="71"/>
      <c r="D689" s="71"/>
      <c r="E689" s="71"/>
      <c r="F689" s="71"/>
      <c r="G689" s="71"/>
      <c r="H689" s="71"/>
      <c r="I689" s="71"/>
      <c r="J689" s="71"/>
      <c r="K689" s="71"/>
      <c r="L689" s="71"/>
      <c r="M689" s="73"/>
      <c r="N689" s="71"/>
      <c r="O689" s="19"/>
      <c r="P689" s="13"/>
      <c r="Q689" s="13"/>
      <c r="R689" s="13"/>
      <c r="S689" s="13"/>
      <c r="T689" s="13"/>
      <c r="U689" s="13"/>
      <c r="V689" s="13"/>
      <c r="W689" s="13"/>
      <c r="X689" s="13"/>
      <c r="AZ689" s="10"/>
      <c r="BA689" s="10"/>
      <c r="BB689" s="10"/>
    </row>
    <row r="690" spans="1:54" ht="15" x14ac:dyDescent="0.25">
      <c r="A690" s="72"/>
      <c r="B690" s="70"/>
      <c r="C690" s="71"/>
      <c r="D690" s="71"/>
      <c r="E690" s="71"/>
      <c r="F690" s="71"/>
      <c r="G690" s="71"/>
      <c r="H690" s="71"/>
      <c r="I690" s="71"/>
      <c r="J690" s="71"/>
      <c r="K690" s="71"/>
      <c r="L690" s="71"/>
      <c r="M690" s="73"/>
      <c r="N690" s="71"/>
      <c r="O690" s="19"/>
      <c r="P690" s="13"/>
      <c r="Q690" s="13"/>
      <c r="R690" s="13"/>
      <c r="S690" s="13"/>
      <c r="T690" s="13"/>
      <c r="U690" s="13"/>
      <c r="V690" s="13"/>
      <c r="W690" s="13"/>
      <c r="X690" s="13"/>
      <c r="AZ690" s="10"/>
      <c r="BA690" s="10"/>
      <c r="BB690" s="10"/>
    </row>
    <row r="691" spans="1:54" ht="15" x14ac:dyDescent="0.25">
      <c r="A691" s="72"/>
      <c r="B691" s="70"/>
      <c r="C691" s="71"/>
      <c r="D691" s="71"/>
      <c r="E691" s="71"/>
      <c r="F691" s="71"/>
      <c r="G691" s="71"/>
      <c r="H691" s="71"/>
      <c r="I691" s="71"/>
      <c r="J691" s="71"/>
      <c r="K691" s="71"/>
      <c r="L691" s="71"/>
      <c r="M691" s="73"/>
      <c r="N691" s="71"/>
      <c r="O691" s="19"/>
      <c r="P691" s="13"/>
      <c r="Q691" s="13"/>
      <c r="R691" s="13"/>
      <c r="S691" s="13"/>
      <c r="T691" s="13"/>
      <c r="U691" s="13"/>
      <c r="V691" s="13"/>
      <c r="W691" s="13"/>
      <c r="X691" s="13"/>
      <c r="AZ691" s="10"/>
      <c r="BA691" s="10"/>
      <c r="BB691" s="10"/>
    </row>
    <row r="692" spans="1:54" ht="15" x14ac:dyDescent="0.25">
      <c r="A692" s="72"/>
      <c r="B692" s="70"/>
      <c r="C692" s="71"/>
      <c r="D692" s="71"/>
      <c r="E692" s="71"/>
      <c r="F692" s="71"/>
      <c r="G692" s="71"/>
      <c r="H692" s="71"/>
      <c r="I692" s="71"/>
      <c r="J692" s="71"/>
      <c r="K692" s="71"/>
      <c r="L692" s="71"/>
      <c r="M692" s="73"/>
      <c r="N692" s="71"/>
      <c r="O692" s="19"/>
      <c r="P692" s="13"/>
      <c r="Q692" s="13"/>
      <c r="R692" s="13"/>
      <c r="S692" s="13"/>
      <c r="T692" s="13"/>
      <c r="U692" s="13"/>
      <c r="V692" s="13"/>
      <c r="W692" s="13"/>
      <c r="X692" s="13"/>
      <c r="AZ692" s="10"/>
      <c r="BA692" s="10"/>
      <c r="BB692" s="10"/>
    </row>
    <row r="693" spans="1:54" ht="15" x14ac:dyDescent="0.25">
      <c r="A693" s="72"/>
      <c r="B693" s="70"/>
      <c r="C693" s="71"/>
      <c r="D693" s="71"/>
      <c r="E693" s="71"/>
      <c r="F693" s="71"/>
      <c r="G693" s="71"/>
      <c r="H693" s="71"/>
      <c r="I693" s="71"/>
      <c r="J693" s="71"/>
      <c r="K693" s="71"/>
      <c r="L693" s="71"/>
      <c r="M693" s="73"/>
      <c r="N693" s="71"/>
      <c r="O693" s="19"/>
      <c r="P693" s="13"/>
      <c r="Q693" s="13"/>
      <c r="R693" s="13"/>
      <c r="S693" s="13"/>
      <c r="T693" s="13"/>
      <c r="U693" s="13"/>
      <c r="V693" s="13"/>
      <c r="W693" s="13"/>
      <c r="X693" s="13"/>
      <c r="AZ693" s="10"/>
      <c r="BA693" s="10"/>
      <c r="BB693" s="10"/>
    </row>
    <row r="694" spans="1:54" ht="15" x14ac:dyDescent="0.25">
      <c r="A694" s="72"/>
      <c r="B694" s="70"/>
      <c r="C694" s="71"/>
      <c r="D694" s="71"/>
      <c r="E694" s="71"/>
      <c r="F694" s="71"/>
      <c r="G694" s="71"/>
      <c r="H694" s="71"/>
      <c r="I694" s="71"/>
      <c r="J694" s="71"/>
      <c r="K694" s="71"/>
      <c r="L694" s="71"/>
      <c r="M694" s="73"/>
      <c r="N694" s="71"/>
      <c r="O694" s="19"/>
      <c r="P694" s="13"/>
      <c r="Q694" s="13"/>
      <c r="R694" s="13"/>
      <c r="S694" s="13"/>
      <c r="T694" s="13"/>
      <c r="U694" s="13"/>
      <c r="V694" s="13"/>
      <c r="W694" s="13"/>
      <c r="X694" s="13"/>
      <c r="AZ694" s="10"/>
      <c r="BA694" s="10"/>
      <c r="BB694" s="10"/>
    </row>
    <row r="695" spans="1:54" ht="15" x14ac:dyDescent="0.25">
      <c r="A695" s="72"/>
      <c r="B695" s="70"/>
      <c r="C695" s="71"/>
      <c r="D695" s="71"/>
      <c r="E695" s="71"/>
      <c r="F695" s="71"/>
      <c r="G695" s="71"/>
      <c r="H695" s="71"/>
      <c r="I695" s="71"/>
      <c r="J695" s="71"/>
      <c r="K695" s="71"/>
      <c r="L695" s="71"/>
      <c r="M695" s="73"/>
      <c r="N695" s="71"/>
      <c r="O695" s="19"/>
      <c r="P695" s="13"/>
      <c r="Q695" s="13"/>
      <c r="R695" s="13"/>
      <c r="S695" s="13"/>
      <c r="T695" s="13"/>
      <c r="U695" s="13"/>
      <c r="V695" s="13"/>
      <c r="W695" s="13"/>
      <c r="X695" s="13"/>
      <c r="AZ695" s="10"/>
      <c r="BA695" s="10"/>
      <c r="BB695" s="10"/>
    </row>
    <row r="696" spans="1:54" ht="15" x14ac:dyDescent="0.25">
      <c r="A696" s="72"/>
      <c r="B696" s="70"/>
      <c r="C696" s="71"/>
      <c r="D696" s="71"/>
      <c r="E696" s="71"/>
      <c r="F696" s="71"/>
      <c r="G696" s="71"/>
      <c r="H696" s="71"/>
      <c r="I696" s="71"/>
      <c r="J696" s="71"/>
      <c r="K696" s="71"/>
      <c r="L696" s="71"/>
      <c r="M696" s="73"/>
      <c r="N696" s="71"/>
      <c r="O696" s="19"/>
      <c r="P696" s="13"/>
      <c r="Q696" s="13"/>
      <c r="R696" s="13"/>
      <c r="S696" s="13"/>
      <c r="T696" s="13"/>
      <c r="U696" s="13"/>
      <c r="V696" s="13"/>
      <c r="W696" s="13"/>
      <c r="X696" s="13"/>
      <c r="AZ696" s="10"/>
      <c r="BA696" s="10"/>
      <c r="BB696" s="10"/>
    </row>
    <row r="697" spans="1:54" ht="15" x14ac:dyDescent="0.25">
      <c r="A697" s="72"/>
      <c r="B697" s="70"/>
      <c r="C697" s="71"/>
      <c r="D697" s="71"/>
      <c r="E697" s="71"/>
      <c r="F697" s="71"/>
      <c r="G697" s="71"/>
      <c r="H697" s="71"/>
      <c r="I697" s="71"/>
      <c r="J697" s="71"/>
      <c r="K697" s="71"/>
      <c r="L697" s="71"/>
      <c r="M697" s="73"/>
      <c r="N697" s="71"/>
      <c r="O697" s="19"/>
      <c r="P697" s="13"/>
      <c r="Q697" s="13"/>
      <c r="R697" s="13"/>
      <c r="S697" s="13"/>
      <c r="T697" s="13"/>
      <c r="U697" s="13"/>
      <c r="V697" s="13"/>
      <c r="W697" s="13"/>
      <c r="X697" s="13"/>
      <c r="AZ697" s="10"/>
      <c r="BA697" s="10"/>
      <c r="BB697" s="10"/>
    </row>
    <row r="698" spans="1:54" ht="15" x14ac:dyDescent="0.25">
      <c r="A698" s="72"/>
      <c r="B698" s="70"/>
      <c r="C698" s="71"/>
      <c r="D698" s="71"/>
      <c r="E698" s="71"/>
      <c r="F698" s="71"/>
      <c r="G698" s="71"/>
      <c r="H698" s="71"/>
      <c r="I698" s="71"/>
      <c r="J698" s="71"/>
      <c r="K698" s="71"/>
      <c r="L698" s="71"/>
      <c r="M698" s="73"/>
      <c r="N698" s="71"/>
      <c r="O698" s="19"/>
      <c r="P698" s="13"/>
      <c r="Q698" s="13"/>
      <c r="R698" s="13"/>
      <c r="S698" s="13"/>
      <c r="T698" s="13"/>
      <c r="U698" s="13"/>
      <c r="V698" s="13"/>
      <c r="W698" s="13"/>
      <c r="X698" s="13"/>
      <c r="AZ698" s="10"/>
      <c r="BA698" s="10"/>
      <c r="BB698" s="10"/>
    </row>
    <row r="699" spans="1:54" ht="15" x14ac:dyDescent="0.25">
      <c r="A699" s="72"/>
      <c r="B699" s="70"/>
      <c r="C699" s="71"/>
      <c r="D699" s="71"/>
      <c r="E699" s="71"/>
      <c r="F699" s="71"/>
      <c r="G699" s="71"/>
      <c r="H699" s="71"/>
      <c r="I699" s="71"/>
      <c r="J699" s="71"/>
      <c r="K699" s="71"/>
      <c r="L699" s="71"/>
      <c r="M699" s="73"/>
      <c r="N699" s="71"/>
      <c r="O699" s="19"/>
      <c r="P699" s="13"/>
      <c r="Q699" s="13"/>
      <c r="R699" s="13"/>
      <c r="S699" s="13"/>
      <c r="T699" s="13"/>
      <c r="U699" s="13"/>
      <c r="V699" s="13"/>
      <c r="W699" s="13"/>
      <c r="X699" s="13"/>
      <c r="AZ699" s="10"/>
      <c r="BA699" s="10"/>
      <c r="BB699" s="10"/>
    </row>
    <row r="700" spans="1:54" ht="15" x14ac:dyDescent="0.25">
      <c r="A700" s="72"/>
      <c r="B700" s="70"/>
      <c r="C700" s="71"/>
      <c r="D700" s="71"/>
      <c r="E700" s="71"/>
      <c r="F700" s="71"/>
      <c r="G700" s="71"/>
      <c r="H700" s="71"/>
      <c r="I700" s="71"/>
      <c r="J700" s="71"/>
      <c r="K700" s="71"/>
      <c r="L700" s="71"/>
      <c r="M700" s="73"/>
      <c r="N700" s="71"/>
      <c r="O700" s="19"/>
      <c r="P700" s="13"/>
      <c r="Q700" s="13"/>
      <c r="R700" s="13"/>
      <c r="S700" s="13"/>
      <c r="T700" s="13"/>
      <c r="U700" s="13"/>
      <c r="V700" s="13"/>
      <c r="W700" s="13"/>
      <c r="X700" s="13"/>
      <c r="AZ700" s="10"/>
      <c r="BA700" s="10"/>
      <c r="BB700" s="10"/>
    </row>
    <row r="701" spans="1:54" ht="15" x14ac:dyDescent="0.25">
      <c r="A701" s="72"/>
      <c r="B701" s="70"/>
      <c r="C701" s="71"/>
      <c r="D701" s="71"/>
      <c r="E701" s="71"/>
      <c r="F701" s="71"/>
      <c r="G701" s="71"/>
      <c r="H701" s="71"/>
      <c r="I701" s="71"/>
      <c r="J701" s="71"/>
      <c r="K701" s="71"/>
      <c r="L701" s="71"/>
      <c r="M701" s="73"/>
      <c r="N701" s="71"/>
      <c r="O701" s="19"/>
      <c r="P701" s="13"/>
      <c r="Q701" s="13"/>
      <c r="R701" s="13"/>
      <c r="S701" s="13"/>
      <c r="T701" s="13"/>
      <c r="U701" s="13"/>
      <c r="V701" s="13"/>
      <c r="W701" s="13"/>
      <c r="X701" s="13"/>
      <c r="AZ701" s="10"/>
      <c r="BA701" s="10"/>
      <c r="BB701" s="10"/>
    </row>
    <row r="702" spans="1:54" ht="15" x14ac:dyDescent="0.25">
      <c r="A702" s="72"/>
      <c r="B702" s="70"/>
      <c r="C702" s="71"/>
      <c r="D702" s="71"/>
      <c r="E702" s="71"/>
      <c r="F702" s="71"/>
      <c r="G702" s="71"/>
      <c r="H702" s="71"/>
      <c r="I702" s="71"/>
      <c r="J702" s="71"/>
      <c r="K702" s="71"/>
      <c r="L702" s="71"/>
      <c r="M702" s="73"/>
      <c r="N702" s="71"/>
      <c r="O702" s="19"/>
      <c r="P702" s="13"/>
      <c r="Q702" s="13"/>
      <c r="R702" s="13"/>
      <c r="S702" s="13"/>
      <c r="T702" s="13"/>
      <c r="U702" s="13"/>
      <c r="V702" s="13"/>
      <c r="W702" s="13"/>
      <c r="X702" s="13"/>
      <c r="AZ702" s="10"/>
      <c r="BA702" s="10"/>
      <c r="BB702" s="10"/>
    </row>
    <row r="703" spans="1:54" ht="15" x14ac:dyDescent="0.25">
      <c r="A703" s="72"/>
      <c r="B703" s="70"/>
      <c r="C703" s="71"/>
      <c r="D703" s="71"/>
      <c r="E703" s="71"/>
      <c r="F703" s="71"/>
      <c r="G703" s="71"/>
      <c r="H703" s="71"/>
      <c r="I703" s="71"/>
      <c r="J703" s="71"/>
      <c r="K703" s="71"/>
      <c r="L703" s="71"/>
      <c r="M703" s="73"/>
      <c r="N703" s="71"/>
      <c r="O703" s="19"/>
      <c r="P703" s="13"/>
      <c r="Q703" s="13"/>
      <c r="R703" s="13"/>
      <c r="S703" s="13"/>
      <c r="T703" s="13"/>
      <c r="U703" s="13"/>
      <c r="V703" s="13"/>
      <c r="W703" s="13"/>
      <c r="X703" s="13"/>
      <c r="AZ703" s="10"/>
      <c r="BA703" s="10"/>
      <c r="BB703" s="10"/>
    </row>
    <row r="704" spans="1:54" ht="15" x14ac:dyDescent="0.25">
      <c r="A704" s="72"/>
      <c r="B704" s="70"/>
      <c r="C704" s="71"/>
      <c r="D704" s="71"/>
      <c r="E704" s="71"/>
      <c r="F704" s="71"/>
      <c r="G704" s="71"/>
      <c r="H704" s="71"/>
      <c r="I704" s="71"/>
      <c r="J704" s="71"/>
      <c r="K704" s="71"/>
      <c r="L704" s="71"/>
      <c r="M704" s="73"/>
      <c r="N704" s="71"/>
      <c r="O704" s="19"/>
      <c r="P704" s="13"/>
      <c r="Q704" s="13"/>
      <c r="R704" s="13"/>
      <c r="S704" s="13"/>
      <c r="T704" s="13"/>
      <c r="U704" s="13"/>
      <c r="V704" s="13"/>
      <c r="W704" s="13"/>
      <c r="X704" s="13"/>
      <c r="AZ704" s="10"/>
      <c r="BA704" s="10"/>
      <c r="BB704" s="10"/>
    </row>
    <row r="705" spans="1:54" ht="15" x14ac:dyDescent="0.25">
      <c r="A705" s="72"/>
      <c r="B705" s="70"/>
      <c r="C705" s="71"/>
      <c r="D705" s="71"/>
      <c r="E705" s="71"/>
      <c r="F705" s="71"/>
      <c r="G705" s="71"/>
      <c r="H705" s="71"/>
      <c r="I705" s="71"/>
      <c r="J705" s="71"/>
      <c r="K705" s="71"/>
      <c r="L705" s="71"/>
      <c r="M705" s="73"/>
      <c r="N705" s="71"/>
      <c r="O705" s="19"/>
      <c r="P705" s="13"/>
      <c r="Q705" s="13"/>
      <c r="R705" s="13"/>
      <c r="S705" s="13"/>
      <c r="T705" s="13"/>
      <c r="U705" s="13"/>
      <c r="V705" s="13"/>
      <c r="W705" s="13"/>
      <c r="X705" s="13"/>
      <c r="AZ705" s="10"/>
      <c r="BA705" s="10"/>
      <c r="BB705" s="10"/>
    </row>
    <row r="706" spans="1:54" ht="15" x14ac:dyDescent="0.25">
      <c r="A706" s="72"/>
      <c r="B706" s="70"/>
      <c r="C706" s="71"/>
      <c r="D706" s="71"/>
      <c r="E706" s="71"/>
      <c r="F706" s="71"/>
      <c r="G706" s="71"/>
      <c r="H706" s="71"/>
      <c r="I706" s="71"/>
      <c r="J706" s="71"/>
      <c r="K706" s="71"/>
      <c r="L706" s="71"/>
      <c r="M706" s="73"/>
      <c r="N706" s="71"/>
      <c r="O706" s="19"/>
      <c r="P706" s="13"/>
      <c r="Q706" s="13"/>
      <c r="R706" s="13"/>
      <c r="S706" s="13"/>
      <c r="T706" s="13"/>
      <c r="U706" s="13"/>
      <c r="V706" s="13"/>
      <c r="W706" s="13"/>
      <c r="X706" s="13"/>
      <c r="AZ706" s="10"/>
      <c r="BA706" s="10"/>
      <c r="BB706" s="10"/>
    </row>
    <row r="707" spans="1:54" ht="15" x14ac:dyDescent="0.25">
      <c r="A707" s="72"/>
      <c r="B707" s="70"/>
      <c r="C707" s="71"/>
      <c r="D707" s="71"/>
      <c r="E707" s="71"/>
      <c r="F707" s="71"/>
      <c r="G707" s="71"/>
      <c r="H707" s="71"/>
      <c r="I707" s="71"/>
      <c r="J707" s="71"/>
      <c r="K707" s="71"/>
      <c r="L707" s="71"/>
      <c r="M707" s="73"/>
      <c r="N707" s="71"/>
      <c r="O707" s="19"/>
      <c r="P707" s="13"/>
      <c r="Q707" s="13"/>
      <c r="R707" s="13"/>
      <c r="S707" s="13"/>
      <c r="T707" s="13"/>
      <c r="U707" s="13"/>
      <c r="V707" s="13"/>
      <c r="W707" s="13"/>
      <c r="X707" s="13"/>
      <c r="AZ707" s="10"/>
      <c r="BA707" s="10"/>
      <c r="BB707" s="10"/>
    </row>
    <row r="708" spans="1:54" ht="15" x14ac:dyDescent="0.25">
      <c r="A708" s="72"/>
      <c r="B708" s="70"/>
      <c r="C708" s="71"/>
      <c r="D708" s="71"/>
      <c r="E708" s="71"/>
      <c r="F708" s="71"/>
      <c r="G708" s="71"/>
      <c r="H708" s="71"/>
      <c r="I708" s="71"/>
      <c r="J708" s="71"/>
      <c r="K708" s="71"/>
      <c r="L708" s="71"/>
      <c r="M708" s="73"/>
      <c r="N708" s="71"/>
      <c r="O708" s="19"/>
      <c r="P708" s="13"/>
      <c r="Q708" s="13"/>
      <c r="R708" s="13"/>
      <c r="S708" s="13"/>
      <c r="T708" s="13"/>
      <c r="U708" s="13"/>
      <c r="V708" s="13"/>
      <c r="W708" s="13"/>
      <c r="X708" s="13"/>
      <c r="AZ708" s="10"/>
      <c r="BA708" s="10"/>
      <c r="BB708" s="10"/>
    </row>
    <row r="709" spans="1:54" ht="15" x14ac:dyDescent="0.25">
      <c r="A709" s="72"/>
      <c r="B709" s="70"/>
      <c r="C709" s="71"/>
      <c r="D709" s="71"/>
      <c r="E709" s="71"/>
      <c r="F709" s="71"/>
      <c r="G709" s="71"/>
      <c r="H709" s="71"/>
      <c r="I709" s="71"/>
      <c r="J709" s="71"/>
      <c r="K709" s="71"/>
      <c r="L709" s="71"/>
      <c r="M709" s="73"/>
      <c r="N709" s="71"/>
      <c r="O709" s="19"/>
      <c r="P709" s="13"/>
      <c r="Q709" s="13"/>
      <c r="R709" s="13"/>
      <c r="S709" s="13"/>
      <c r="T709" s="13"/>
      <c r="U709" s="13"/>
      <c r="V709" s="13"/>
      <c r="W709" s="13"/>
      <c r="X709" s="13"/>
      <c r="AZ709" s="10"/>
      <c r="BA709" s="10"/>
      <c r="BB709" s="10"/>
    </row>
    <row r="710" spans="1:54" ht="15" x14ac:dyDescent="0.25">
      <c r="A710" s="72"/>
      <c r="B710" s="70"/>
      <c r="C710" s="71"/>
      <c r="D710" s="71"/>
      <c r="E710" s="71"/>
      <c r="F710" s="71"/>
      <c r="G710" s="71"/>
      <c r="H710" s="71"/>
      <c r="I710" s="71"/>
      <c r="J710" s="71"/>
      <c r="K710" s="71"/>
      <c r="L710" s="71"/>
      <c r="M710" s="73"/>
      <c r="N710" s="71"/>
      <c r="O710" s="19"/>
      <c r="P710" s="13"/>
      <c r="Q710" s="13"/>
      <c r="R710" s="13"/>
      <c r="S710" s="13"/>
      <c r="T710" s="13"/>
      <c r="U710" s="13"/>
      <c r="V710" s="13"/>
      <c r="W710" s="13"/>
      <c r="X710" s="13"/>
      <c r="AZ710" s="10"/>
      <c r="BA710" s="10"/>
      <c r="BB710" s="10"/>
    </row>
    <row r="711" spans="1:54" ht="15" x14ac:dyDescent="0.25">
      <c r="A711" s="72"/>
      <c r="B711" s="70"/>
      <c r="C711" s="71"/>
      <c r="D711" s="71"/>
      <c r="E711" s="71"/>
      <c r="F711" s="71"/>
      <c r="G711" s="71"/>
      <c r="H711" s="71"/>
      <c r="I711" s="71"/>
      <c r="J711" s="71"/>
      <c r="K711" s="71"/>
      <c r="L711" s="71"/>
      <c r="M711" s="73"/>
      <c r="N711" s="71"/>
      <c r="O711" s="19"/>
      <c r="P711" s="13"/>
      <c r="Q711" s="13"/>
      <c r="R711" s="13"/>
      <c r="S711" s="13"/>
      <c r="T711" s="13"/>
      <c r="U711" s="13"/>
      <c r="V711" s="13"/>
      <c r="W711" s="13"/>
      <c r="X711" s="13"/>
      <c r="AZ711" s="10"/>
      <c r="BA711" s="10"/>
      <c r="BB711" s="10"/>
    </row>
    <row r="712" spans="1:54" ht="15" x14ac:dyDescent="0.25">
      <c r="A712" s="72"/>
      <c r="B712" s="70"/>
      <c r="C712" s="71"/>
      <c r="D712" s="71"/>
      <c r="E712" s="71"/>
      <c r="F712" s="71"/>
      <c r="G712" s="71"/>
      <c r="H712" s="71"/>
      <c r="I712" s="71"/>
      <c r="J712" s="71"/>
      <c r="K712" s="71"/>
      <c r="L712" s="71"/>
      <c r="M712" s="73"/>
      <c r="N712" s="71"/>
      <c r="O712" s="19"/>
      <c r="P712" s="13"/>
      <c r="Q712" s="13"/>
      <c r="R712" s="13"/>
      <c r="S712" s="13"/>
      <c r="T712" s="13"/>
      <c r="U712" s="13"/>
      <c r="V712" s="13"/>
      <c r="W712" s="13"/>
      <c r="X712" s="13"/>
      <c r="AZ712" s="10"/>
      <c r="BA712" s="10"/>
      <c r="BB712" s="10"/>
    </row>
    <row r="713" spans="1:54" ht="15" x14ac:dyDescent="0.25">
      <c r="A713" s="72"/>
      <c r="B713" s="70"/>
      <c r="C713" s="71"/>
      <c r="D713" s="71"/>
      <c r="E713" s="71"/>
      <c r="F713" s="71"/>
      <c r="G713" s="71"/>
      <c r="H713" s="71"/>
      <c r="I713" s="71"/>
      <c r="J713" s="71"/>
      <c r="K713" s="71"/>
      <c r="L713" s="71"/>
      <c r="M713" s="73"/>
      <c r="N713" s="71"/>
      <c r="O713" s="19"/>
      <c r="P713" s="13"/>
      <c r="Q713" s="13"/>
      <c r="R713" s="13"/>
      <c r="S713" s="13"/>
      <c r="T713" s="13"/>
      <c r="U713" s="13"/>
      <c r="V713" s="13"/>
      <c r="W713" s="13"/>
      <c r="X713" s="13"/>
      <c r="AZ713" s="10"/>
      <c r="BA713" s="10"/>
      <c r="BB713" s="10"/>
    </row>
    <row r="714" spans="1:54" ht="15" x14ac:dyDescent="0.25">
      <c r="A714" s="72"/>
      <c r="B714" s="70"/>
      <c r="C714" s="71"/>
      <c r="D714" s="71"/>
      <c r="E714" s="71"/>
      <c r="F714" s="71"/>
      <c r="G714" s="71"/>
      <c r="H714" s="71"/>
      <c r="I714" s="71"/>
      <c r="J714" s="71"/>
      <c r="K714" s="71"/>
      <c r="L714" s="71"/>
      <c r="M714" s="73"/>
      <c r="N714" s="71"/>
      <c r="O714" s="19"/>
      <c r="P714" s="13"/>
      <c r="Q714" s="13"/>
      <c r="R714" s="13"/>
      <c r="S714" s="13"/>
      <c r="T714" s="13"/>
      <c r="U714" s="13"/>
      <c r="V714" s="13"/>
      <c r="W714" s="13"/>
      <c r="X714" s="13"/>
      <c r="AZ714" s="10"/>
      <c r="BA714" s="10"/>
      <c r="BB714" s="10"/>
    </row>
    <row r="715" spans="1:54" ht="15" x14ac:dyDescent="0.25">
      <c r="A715" s="72"/>
      <c r="B715" s="70"/>
      <c r="C715" s="71"/>
      <c r="D715" s="71"/>
      <c r="E715" s="71"/>
      <c r="F715" s="71"/>
      <c r="G715" s="71"/>
      <c r="H715" s="71"/>
      <c r="I715" s="71"/>
      <c r="J715" s="71"/>
      <c r="K715" s="71"/>
      <c r="L715" s="71"/>
      <c r="M715" s="73"/>
      <c r="N715" s="71"/>
      <c r="O715" s="19"/>
      <c r="P715" s="13"/>
      <c r="Q715" s="13"/>
      <c r="R715" s="13"/>
      <c r="S715" s="13"/>
      <c r="T715" s="13"/>
      <c r="U715" s="13"/>
      <c r="V715" s="13"/>
      <c r="W715" s="13"/>
      <c r="X715" s="13"/>
      <c r="AZ715" s="10"/>
      <c r="BA715" s="10"/>
      <c r="BB715" s="10"/>
    </row>
    <row r="716" spans="1:54" ht="15" x14ac:dyDescent="0.25">
      <c r="A716" s="72"/>
      <c r="B716" s="70"/>
      <c r="C716" s="71"/>
      <c r="D716" s="71"/>
      <c r="E716" s="71"/>
      <c r="F716" s="71"/>
      <c r="G716" s="71"/>
      <c r="H716" s="71"/>
      <c r="I716" s="71"/>
      <c r="J716" s="71"/>
      <c r="K716" s="71"/>
      <c r="L716" s="71"/>
      <c r="M716" s="73"/>
      <c r="N716" s="71"/>
      <c r="O716" s="19"/>
      <c r="P716" s="13"/>
      <c r="Q716" s="13"/>
      <c r="R716" s="13"/>
      <c r="S716" s="13"/>
      <c r="T716" s="13"/>
      <c r="U716" s="13"/>
      <c r="V716" s="13"/>
      <c r="W716" s="13"/>
      <c r="X716" s="13"/>
      <c r="AZ716" s="10"/>
      <c r="BA716" s="10"/>
      <c r="BB716" s="10"/>
    </row>
    <row r="717" spans="1:54" ht="15" x14ac:dyDescent="0.25">
      <c r="A717" s="72"/>
      <c r="B717" s="70"/>
      <c r="C717" s="71"/>
      <c r="D717" s="71"/>
      <c r="E717" s="71"/>
      <c r="F717" s="71"/>
      <c r="G717" s="71"/>
      <c r="H717" s="71"/>
      <c r="I717" s="71"/>
      <c r="J717" s="71"/>
      <c r="K717" s="71"/>
      <c r="L717" s="71"/>
      <c r="M717" s="73"/>
      <c r="N717" s="71"/>
      <c r="O717" s="19"/>
      <c r="P717" s="13"/>
      <c r="Q717" s="13"/>
      <c r="R717" s="13"/>
      <c r="S717" s="13"/>
      <c r="T717" s="13"/>
      <c r="U717" s="13"/>
      <c r="V717" s="13"/>
      <c r="W717" s="13"/>
      <c r="X717" s="13"/>
      <c r="AZ717" s="10"/>
      <c r="BA717" s="10"/>
      <c r="BB717" s="10"/>
    </row>
    <row r="718" spans="1:54" ht="15" x14ac:dyDescent="0.25">
      <c r="A718" s="72"/>
      <c r="B718" s="70"/>
      <c r="C718" s="71"/>
      <c r="D718" s="71"/>
      <c r="E718" s="71"/>
      <c r="F718" s="71"/>
      <c r="G718" s="71"/>
      <c r="H718" s="71"/>
      <c r="I718" s="71"/>
      <c r="J718" s="71"/>
      <c r="K718" s="71"/>
      <c r="L718" s="71"/>
      <c r="M718" s="73"/>
      <c r="N718" s="71"/>
      <c r="O718" s="19"/>
      <c r="P718" s="13"/>
      <c r="Q718" s="13"/>
      <c r="R718" s="13"/>
      <c r="S718" s="13"/>
      <c r="T718" s="13"/>
      <c r="U718" s="13"/>
      <c r="V718" s="13"/>
      <c r="W718" s="13"/>
      <c r="X718" s="13"/>
      <c r="AZ718" s="10"/>
      <c r="BA718" s="10"/>
      <c r="BB718" s="10"/>
    </row>
    <row r="719" spans="1:54" ht="15" x14ac:dyDescent="0.25">
      <c r="A719" s="72"/>
      <c r="B719" s="70"/>
      <c r="C719" s="71"/>
      <c r="D719" s="71"/>
      <c r="E719" s="71"/>
      <c r="F719" s="71"/>
      <c r="G719" s="71"/>
      <c r="H719" s="71"/>
      <c r="I719" s="71"/>
      <c r="J719" s="71"/>
      <c r="K719" s="71"/>
      <c r="L719" s="71"/>
      <c r="M719" s="73"/>
      <c r="N719" s="71"/>
      <c r="O719" s="19"/>
      <c r="P719" s="13"/>
      <c r="Q719" s="13"/>
      <c r="R719" s="13"/>
      <c r="S719" s="13"/>
      <c r="T719" s="13"/>
      <c r="U719" s="13"/>
      <c r="V719" s="13"/>
      <c r="W719" s="13"/>
      <c r="X719" s="13"/>
      <c r="AZ719" s="10"/>
      <c r="BA719" s="10"/>
      <c r="BB719" s="10"/>
    </row>
    <row r="720" spans="1:54" ht="15" x14ac:dyDescent="0.25">
      <c r="A720" s="72"/>
      <c r="B720" s="70"/>
      <c r="C720" s="71"/>
      <c r="D720" s="71"/>
      <c r="E720" s="71"/>
      <c r="F720" s="71"/>
      <c r="G720" s="71"/>
      <c r="H720" s="71"/>
      <c r="I720" s="71"/>
      <c r="J720" s="71"/>
      <c r="K720" s="71"/>
      <c r="L720" s="71"/>
      <c r="M720" s="73"/>
      <c r="N720" s="71"/>
      <c r="O720" s="19"/>
      <c r="P720" s="13"/>
      <c r="Q720" s="13"/>
      <c r="R720" s="13"/>
      <c r="S720" s="13"/>
      <c r="T720" s="13"/>
      <c r="U720" s="13"/>
      <c r="V720" s="13"/>
      <c r="W720" s="13"/>
      <c r="X720" s="13"/>
      <c r="AZ720" s="10"/>
      <c r="BA720" s="10"/>
      <c r="BB720" s="10"/>
    </row>
    <row r="721" spans="1:54" ht="15" x14ac:dyDescent="0.25">
      <c r="A721" s="72"/>
      <c r="B721" s="70"/>
      <c r="C721" s="71"/>
      <c r="D721" s="71"/>
      <c r="E721" s="71"/>
      <c r="F721" s="71"/>
      <c r="G721" s="71"/>
      <c r="H721" s="71"/>
      <c r="I721" s="71"/>
      <c r="J721" s="71"/>
      <c r="K721" s="71"/>
      <c r="L721" s="71"/>
      <c r="M721" s="73"/>
      <c r="N721" s="71"/>
      <c r="O721" s="19"/>
      <c r="P721" s="13"/>
      <c r="Q721" s="13"/>
      <c r="R721" s="13"/>
      <c r="S721" s="13"/>
      <c r="T721" s="13"/>
      <c r="U721" s="13"/>
      <c r="V721" s="13"/>
      <c r="W721" s="13"/>
      <c r="X721" s="13"/>
      <c r="AZ721" s="10"/>
      <c r="BA721" s="10"/>
      <c r="BB721" s="10"/>
    </row>
    <row r="722" spans="1:54" ht="15" x14ac:dyDescent="0.25">
      <c r="A722" s="72"/>
      <c r="B722" s="70"/>
      <c r="C722" s="71"/>
      <c r="D722" s="71"/>
      <c r="E722" s="71"/>
      <c r="F722" s="71"/>
      <c r="G722" s="71"/>
      <c r="H722" s="71"/>
      <c r="I722" s="71"/>
      <c r="J722" s="71"/>
      <c r="K722" s="71"/>
      <c r="L722" s="71"/>
      <c r="M722" s="73"/>
      <c r="N722" s="71"/>
      <c r="O722" s="19"/>
      <c r="P722" s="13"/>
      <c r="Q722" s="13"/>
      <c r="R722" s="13"/>
      <c r="S722" s="13"/>
      <c r="T722" s="13"/>
      <c r="U722" s="13"/>
      <c r="V722" s="13"/>
      <c r="W722" s="13"/>
      <c r="X722" s="13"/>
      <c r="AZ722" s="10"/>
      <c r="BA722" s="10"/>
      <c r="BB722" s="10"/>
    </row>
    <row r="723" spans="1:54" ht="15" x14ac:dyDescent="0.25">
      <c r="A723" s="72"/>
      <c r="B723" s="70"/>
      <c r="C723" s="71"/>
      <c r="D723" s="71"/>
      <c r="E723" s="71"/>
      <c r="F723" s="71"/>
      <c r="G723" s="71"/>
      <c r="H723" s="71"/>
      <c r="I723" s="71"/>
      <c r="J723" s="71"/>
      <c r="K723" s="71"/>
      <c r="L723" s="71"/>
      <c r="M723" s="73"/>
      <c r="N723" s="71"/>
      <c r="O723" s="19"/>
      <c r="P723" s="13"/>
      <c r="Q723" s="13"/>
      <c r="R723" s="13"/>
      <c r="S723" s="13"/>
      <c r="T723" s="13"/>
      <c r="U723" s="13"/>
      <c r="V723" s="13"/>
      <c r="W723" s="13"/>
      <c r="X723" s="13"/>
      <c r="AZ723" s="10"/>
      <c r="BA723" s="10"/>
      <c r="BB723" s="10"/>
    </row>
    <row r="724" spans="1:54" ht="15" x14ac:dyDescent="0.25">
      <c r="A724" s="72"/>
      <c r="B724" s="70"/>
      <c r="C724" s="71"/>
      <c r="D724" s="71"/>
      <c r="E724" s="71"/>
      <c r="F724" s="71"/>
      <c r="G724" s="71"/>
      <c r="H724" s="71"/>
      <c r="I724" s="71"/>
      <c r="J724" s="71"/>
      <c r="K724" s="71"/>
      <c r="L724" s="71"/>
      <c r="M724" s="73"/>
      <c r="N724" s="71"/>
      <c r="O724" s="19"/>
      <c r="P724" s="13"/>
      <c r="Q724" s="13"/>
      <c r="R724" s="13"/>
      <c r="S724" s="13"/>
      <c r="T724" s="13"/>
      <c r="U724" s="13"/>
      <c r="V724" s="13"/>
      <c r="W724" s="13"/>
      <c r="X724" s="13"/>
      <c r="AZ724" s="10"/>
      <c r="BA724" s="10"/>
      <c r="BB724" s="10"/>
    </row>
    <row r="725" spans="1:54" ht="15" x14ac:dyDescent="0.25">
      <c r="A725" s="72"/>
      <c r="B725" s="70"/>
      <c r="C725" s="71"/>
      <c r="D725" s="71"/>
      <c r="E725" s="71"/>
      <c r="F725" s="71"/>
      <c r="G725" s="71"/>
      <c r="H725" s="71"/>
      <c r="I725" s="71"/>
      <c r="J725" s="71"/>
      <c r="K725" s="71"/>
      <c r="L725" s="71"/>
      <c r="M725" s="73"/>
      <c r="N725" s="71"/>
      <c r="O725" s="19"/>
      <c r="P725" s="13"/>
      <c r="Q725" s="13"/>
      <c r="R725" s="13"/>
      <c r="S725" s="13"/>
      <c r="T725" s="13"/>
      <c r="U725" s="13"/>
      <c r="V725" s="13"/>
      <c r="W725" s="13"/>
      <c r="X725" s="13"/>
      <c r="AZ725" s="10"/>
      <c r="BA725" s="10"/>
      <c r="BB725" s="10"/>
    </row>
    <row r="726" spans="1:54" ht="15" x14ac:dyDescent="0.25">
      <c r="A726" s="72"/>
      <c r="B726" s="70"/>
      <c r="C726" s="71"/>
      <c r="D726" s="71"/>
      <c r="E726" s="71"/>
      <c r="F726" s="71"/>
      <c r="G726" s="71"/>
      <c r="H726" s="71"/>
      <c r="I726" s="71"/>
      <c r="J726" s="71"/>
      <c r="K726" s="71"/>
      <c r="L726" s="71"/>
      <c r="M726" s="73"/>
      <c r="N726" s="71"/>
      <c r="O726" s="19"/>
      <c r="P726" s="13"/>
      <c r="Q726" s="13"/>
      <c r="R726" s="13"/>
      <c r="S726" s="13"/>
      <c r="T726" s="13"/>
      <c r="U726" s="13"/>
      <c r="V726" s="13"/>
      <c r="W726" s="13"/>
      <c r="X726" s="13"/>
      <c r="AZ726" s="10"/>
      <c r="BA726" s="10"/>
      <c r="BB726" s="10"/>
    </row>
    <row r="727" spans="1:54" ht="15" x14ac:dyDescent="0.25">
      <c r="A727" s="72"/>
      <c r="B727" s="70"/>
      <c r="C727" s="71"/>
      <c r="D727" s="71"/>
      <c r="E727" s="71"/>
      <c r="F727" s="71"/>
      <c r="G727" s="71"/>
      <c r="H727" s="71"/>
      <c r="I727" s="71"/>
      <c r="J727" s="71"/>
      <c r="K727" s="71"/>
      <c r="L727" s="71"/>
      <c r="M727" s="73"/>
      <c r="N727" s="71"/>
      <c r="O727" s="19"/>
      <c r="P727" s="13"/>
      <c r="Q727" s="13"/>
      <c r="R727" s="13"/>
      <c r="S727" s="13"/>
      <c r="T727" s="13"/>
      <c r="U727" s="13"/>
      <c r="V727" s="13"/>
      <c r="W727" s="13"/>
      <c r="X727" s="13"/>
      <c r="AZ727" s="10"/>
      <c r="BA727" s="10"/>
      <c r="BB727" s="10"/>
    </row>
    <row r="728" spans="1:54" ht="15" x14ac:dyDescent="0.25">
      <c r="A728" s="72"/>
      <c r="B728" s="70"/>
      <c r="C728" s="71"/>
      <c r="D728" s="71"/>
      <c r="E728" s="71"/>
      <c r="F728" s="71"/>
      <c r="G728" s="71"/>
      <c r="H728" s="71"/>
      <c r="I728" s="71"/>
      <c r="J728" s="71"/>
      <c r="K728" s="71"/>
      <c r="L728" s="71"/>
      <c r="M728" s="73"/>
      <c r="N728" s="71"/>
      <c r="O728" s="19"/>
      <c r="P728" s="13"/>
      <c r="Q728" s="13"/>
      <c r="R728" s="13"/>
      <c r="S728" s="13"/>
      <c r="T728" s="13"/>
      <c r="U728" s="13"/>
      <c r="V728" s="13"/>
      <c r="W728" s="13"/>
      <c r="X728" s="13"/>
      <c r="AZ728" s="10"/>
      <c r="BA728" s="10"/>
      <c r="BB728" s="10"/>
    </row>
    <row r="729" spans="1:54" ht="15" x14ac:dyDescent="0.25">
      <c r="A729" s="72"/>
      <c r="B729" s="70"/>
      <c r="C729" s="71"/>
      <c r="D729" s="71"/>
      <c r="E729" s="71"/>
      <c r="F729" s="71"/>
      <c r="G729" s="71"/>
      <c r="H729" s="71"/>
      <c r="I729" s="71"/>
      <c r="J729" s="71"/>
      <c r="K729" s="71"/>
      <c r="L729" s="71"/>
      <c r="M729" s="73"/>
      <c r="N729" s="71"/>
      <c r="O729" s="19"/>
      <c r="P729" s="13"/>
      <c r="Q729" s="13"/>
      <c r="R729" s="13"/>
      <c r="S729" s="13"/>
      <c r="T729" s="13"/>
      <c r="U729" s="13"/>
      <c r="V729" s="13"/>
      <c r="W729" s="13"/>
      <c r="X729" s="13"/>
      <c r="AZ729" s="10"/>
      <c r="BA729" s="10"/>
      <c r="BB729" s="10"/>
    </row>
    <row r="730" spans="1:54" ht="15" x14ac:dyDescent="0.25">
      <c r="A730" s="72"/>
      <c r="B730" s="70"/>
      <c r="C730" s="71"/>
      <c r="D730" s="71"/>
      <c r="E730" s="71"/>
      <c r="F730" s="71"/>
      <c r="G730" s="71"/>
      <c r="H730" s="71"/>
      <c r="I730" s="71"/>
      <c r="J730" s="71"/>
      <c r="K730" s="71"/>
      <c r="L730" s="71"/>
      <c r="M730" s="73"/>
      <c r="N730" s="71"/>
      <c r="O730" s="19"/>
      <c r="P730" s="13"/>
      <c r="Q730" s="13"/>
      <c r="R730" s="13"/>
      <c r="S730" s="13"/>
      <c r="T730" s="13"/>
      <c r="U730" s="13"/>
      <c r="V730" s="13"/>
      <c r="W730" s="13"/>
      <c r="X730" s="13"/>
      <c r="AZ730" s="10"/>
      <c r="BA730" s="10"/>
      <c r="BB730" s="10"/>
    </row>
    <row r="731" spans="1:54" ht="15" x14ac:dyDescent="0.25">
      <c r="A731" s="72"/>
      <c r="B731" s="70"/>
      <c r="C731" s="71"/>
      <c r="D731" s="71"/>
      <c r="E731" s="71"/>
      <c r="F731" s="71"/>
      <c r="G731" s="71"/>
      <c r="H731" s="71"/>
      <c r="I731" s="71"/>
      <c r="J731" s="71"/>
      <c r="K731" s="71"/>
      <c r="L731" s="71"/>
      <c r="M731" s="73"/>
      <c r="N731" s="71"/>
      <c r="O731" s="19"/>
      <c r="P731" s="13"/>
      <c r="Q731" s="13"/>
      <c r="R731" s="13"/>
      <c r="S731" s="13"/>
      <c r="T731" s="13"/>
      <c r="U731" s="13"/>
      <c r="V731" s="13"/>
      <c r="W731" s="13"/>
      <c r="X731" s="13"/>
      <c r="AZ731" s="10"/>
      <c r="BA731" s="10"/>
      <c r="BB731" s="10"/>
    </row>
    <row r="732" spans="1:54" ht="15" x14ac:dyDescent="0.25">
      <c r="A732" s="72"/>
      <c r="B732" s="70"/>
      <c r="C732" s="71"/>
      <c r="D732" s="71"/>
      <c r="E732" s="71"/>
      <c r="F732" s="71"/>
      <c r="G732" s="71"/>
      <c r="H732" s="71"/>
      <c r="I732" s="71"/>
      <c r="J732" s="71"/>
      <c r="K732" s="71"/>
      <c r="L732" s="71"/>
      <c r="M732" s="73"/>
      <c r="N732" s="71"/>
      <c r="O732" s="19"/>
      <c r="P732" s="13"/>
      <c r="Q732" s="13"/>
      <c r="R732" s="13"/>
      <c r="S732" s="13"/>
      <c r="T732" s="13"/>
      <c r="U732" s="13"/>
      <c r="V732" s="13"/>
      <c r="W732" s="13"/>
      <c r="X732" s="13"/>
      <c r="AZ732" s="10"/>
      <c r="BA732" s="10"/>
      <c r="BB732" s="10"/>
    </row>
    <row r="733" spans="1:54" ht="15" x14ac:dyDescent="0.25">
      <c r="A733" s="72"/>
      <c r="B733" s="70"/>
      <c r="C733" s="71"/>
      <c r="D733" s="71"/>
      <c r="E733" s="71"/>
      <c r="F733" s="71"/>
      <c r="G733" s="71"/>
      <c r="H733" s="71"/>
      <c r="I733" s="71"/>
      <c r="J733" s="71"/>
      <c r="K733" s="71"/>
      <c r="L733" s="71"/>
      <c r="M733" s="73"/>
      <c r="N733" s="71"/>
      <c r="O733" s="19"/>
      <c r="P733" s="13"/>
      <c r="Q733" s="13"/>
      <c r="R733" s="13"/>
      <c r="S733" s="13"/>
      <c r="T733" s="13"/>
      <c r="U733" s="13"/>
      <c r="V733" s="13"/>
      <c r="W733" s="13"/>
      <c r="X733" s="13"/>
      <c r="AZ733" s="10"/>
      <c r="BA733" s="10"/>
      <c r="BB733" s="10"/>
    </row>
    <row r="734" spans="1:54" ht="15" x14ac:dyDescent="0.25">
      <c r="A734" s="72"/>
      <c r="B734" s="70"/>
      <c r="C734" s="71"/>
      <c r="D734" s="71"/>
      <c r="E734" s="71"/>
      <c r="F734" s="71"/>
      <c r="G734" s="71"/>
      <c r="H734" s="71"/>
      <c r="I734" s="71"/>
      <c r="J734" s="71"/>
      <c r="K734" s="71"/>
      <c r="L734" s="71"/>
      <c r="M734" s="73"/>
      <c r="N734" s="71"/>
      <c r="O734" s="19"/>
      <c r="P734" s="13"/>
      <c r="Q734" s="13"/>
      <c r="R734" s="13"/>
      <c r="S734" s="13"/>
      <c r="T734" s="13"/>
      <c r="U734" s="13"/>
      <c r="V734" s="13"/>
      <c r="W734" s="13"/>
      <c r="X734" s="13"/>
      <c r="AZ734" s="10"/>
      <c r="BA734" s="10"/>
      <c r="BB734" s="10"/>
    </row>
    <row r="735" spans="1:54" ht="15" x14ac:dyDescent="0.25">
      <c r="A735" s="72"/>
      <c r="B735" s="70"/>
      <c r="C735" s="71"/>
      <c r="D735" s="71"/>
      <c r="E735" s="71"/>
      <c r="F735" s="71"/>
      <c r="G735" s="71"/>
      <c r="H735" s="71"/>
      <c r="I735" s="71"/>
      <c r="J735" s="71"/>
      <c r="K735" s="71"/>
      <c r="L735" s="71"/>
      <c r="M735" s="73"/>
      <c r="N735" s="71"/>
      <c r="O735" s="19"/>
      <c r="P735" s="13"/>
      <c r="Q735" s="13"/>
      <c r="R735" s="13"/>
      <c r="S735" s="13"/>
      <c r="T735" s="13"/>
      <c r="U735" s="13"/>
      <c r="V735" s="13"/>
      <c r="W735" s="13"/>
      <c r="X735" s="13"/>
      <c r="AZ735" s="10"/>
      <c r="BA735" s="10"/>
      <c r="BB735" s="10"/>
    </row>
    <row r="736" spans="1:54" ht="15" x14ac:dyDescent="0.25">
      <c r="A736" s="72"/>
      <c r="B736" s="70"/>
      <c r="C736" s="71"/>
      <c r="D736" s="71"/>
      <c r="E736" s="71"/>
      <c r="F736" s="71"/>
      <c r="G736" s="71"/>
      <c r="H736" s="71"/>
      <c r="I736" s="71"/>
      <c r="J736" s="71"/>
      <c r="K736" s="71"/>
      <c r="L736" s="71"/>
      <c r="M736" s="73"/>
      <c r="N736" s="71"/>
      <c r="O736" s="19"/>
      <c r="P736" s="13"/>
      <c r="Q736" s="13"/>
      <c r="R736" s="13"/>
      <c r="S736" s="13"/>
      <c r="T736" s="13"/>
      <c r="U736" s="13"/>
      <c r="V736" s="13"/>
      <c r="W736" s="13"/>
      <c r="X736" s="13"/>
      <c r="AZ736" s="10"/>
      <c r="BA736" s="10"/>
      <c r="BB736" s="10"/>
    </row>
    <row r="737" spans="1:54" ht="15" x14ac:dyDescent="0.25">
      <c r="A737" s="72"/>
      <c r="B737" s="70"/>
      <c r="C737" s="71"/>
      <c r="D737" s="71"/>
      <c r="E737" s="71"/>
      <c r="F737" s="71"/>
      <c r="G737" s="71"/>
      <c r="H737" s="71"/>
      <c r="I737" s="71"/>
      <c r="J737" s="71"/>
      <c r="K737" s="71"/>
      <c r="L737" s="71"/>
      <c r="M737" s="73"/>
      <c r="N737" s="71"/>
      <c r="O737" s="19"/>
      <c r="P737" s="13"/>
      <c r="Q737" s="13"/>
      <c r="R737" s="13"/>
      <c r="S737" s="13"/>
      <c r="T737" s="13"/>
      <c r="U737" s="13"/>
      <c r="V737" s="13"/>
      <c r="W737" s="13"/>
      <c r="X737" s="13"/>
      <c r="AZ737" s="10"/>
      <c r="BA737" s="10"/>
      <c r="BB737" s="10"/>
    </row>
    <row r="738" spans="1:54" ht="15" x14ac:dyDescent="0.25">
      <c r="A738" s="72"/>
      <c r="B738" s="70"/>
      <c r="C738" s="71"/>
      <c r="D738" s="71"/>
      <c r="E738" s="71"/>
      <c r="F738" s="71"/>
      <c r="G738" s="71"/>
      <c r="H738" s="71"/>
      <c r="I738" s="71"/>
      <c r="J738" s="71"/>
      <c r="K738" s="71"/>
      <c r="L738" s="71"/>
      <c r="M738" s="73"/>
      <c r="N738" s="71"/>
      <c r="O738" s="19"/>
      <c r="P738" s="13"/>
      <c r="Q738" s="13"/>
      <c r="R738" s="13"/>
      <c r="S738" s="13"/>
      <c r="T738" s="13"/>
      <c r="U738" s="13"/>
      <c r="V738" s="13"/>
      <c r="W738" s="13"/>
      <c r="X738" s="13"/>
      <c r="AZ738" s="10"/>
      <c r="BA738" s="10"/>
      <c r="BB738" s="10"/>
    </row>
    <row r="739" spans="1:54" ht="15" x14ac:dyDescent="0.25">
      <c r="A739" s="72"/>
      <c r="B739" s="70"/>
      <c r="C739" s="71"/>
      <c r="D739" s="71"/>
      <c r="E739" s="71"/>
      <c r="F739" s="71"/>
      <c r="G739" s="71"/>
      <c r="H739" s="71"/>
      <c r="I739" s="71"/>
      <c r="J739" s="71"/>
      <c r="K739" s="71"/>
      <c r="L739" s="71"/>
      <c r="M739" s="73"/>
      <c r="N739" s="71"/>
      <c r="O739" s="19"/>
      <c r="P739" s="13"/>
      <c r="Q739" s="13"/>
      <c r="R739" s="13"/>
      <c r="S739" s="13"/>
      <c r="T739" s="13"/>
      <c r="U739" s="13"/>
      <c r="V739" s="13"/>
      <c r="W739" s="13"/>
      <c r="X739" s="13"/>
      <c r="AZ739" s="10"/>
      <c r="BA739" s="10"/>
      <c r="BB739" s="10"/>
    </row>
    <row r="740" spans="1:54" ht="15" x14ac:dyDescent="0.25">
      <c r="A740" s="72"/>
      <c r="B740" s="70"/>
      <c r="C740" s="71"/>
      <c r="D740" s="71"/>
      <c r="E740" s="71"/>
      <c r="F740" s="71"/>
      <c r="G740" s="71"/>
      <c r="H740" s="71"/>
      <c r="I740" s="71"/>
      <c r="J740" s="71"/>
      <c r="K740" s="71"/>
      <c r="L740" s="71"/>
      <c r="M740" s="73"/>
      <c r="N740" s="71"/>
      <c r="O740" s="19"/>
      <c r="P740" s="13"/>
      <c r="Q740" s="13"/>
      <c r="R740" s="13"/>
      <c r="S740" s="13"/>
      <c r="T740" s="13"/>
      <c r="U740" s="13"/>
      <c r="V740" s="13"/>
      <c r="W740" s="13"/>
      <c r="X740" s="13"/>
      <c r="AZ740" s="10"/>
      <c r="BA740" s="10"/>
      <c r="BB740" s="10"/>
    </row>
    <row r="741" spans="1:54" ht="15" x14ac:dyDescent="0.25">
      <c r="A741" s="72"/>
      <c r="B741" s="70"/>
      <c r="C741" s="71"/>
      <c r="D741" s="71"/>
      <c r="E741" s="71"/>
      <c r="F741" s="71"/>
      <c r="G741" s="71"/>
      <c r="H741" s="71"/>
      <c r="I741" s="71"/>
      <c r="J741" s="71"/>
      <c r="K741" s="71"/>
      <c r="L741" s="71"/>
      <c r="M741" s="73"/>
      <c r="N741" s="71"/>
      <c r="O741" s="19"/>
      <c r="P741" s="13"/>
      <c r="Q741" s="13"/>
      <c r="R741" s="13"/>
      <c r="S741" s="13"/>
      <c r="T741" s="13"/>
      <c r="U741" s="13"/>
      <c r="V741" s="13"/>
      <c r="W741" s="13"/>
      <c r="X741" s="13"/>
      <c r="AZ741" s="10"/>
      <c r="BA741" s="10"/>
      <c r="BB741" s="10"/>
    </row>
    <row r="742" spans="1:54" ht="15" x14ac:dyDescent="0.25">
      <c r="A742" s="72"/>
      <c r="B742" s="70"/>
      <c r="C742" s="71"/>
      <c r="D742" s="71"/>
      <c r="E742" s="71"/>
      <c r="F742" s="71"/>
      <c r="G742" s="71"/>
      <c r="H742" s="71"/>
      <c r="I742" s="71"/>
      <c r="J742" s="71"/>
      <c r="K742" s="71"/>
      <c r="L742" s="71"/>
      <c r="M742" s="73"/>
      <c r="N742" s="71"/>
      <c r="O742" s="19"/>
      <c r="P742" s="13"/>
      <c r="Q742" s="13"/>
      <c r="R742" s="13"/>
      <c r="S742" s="13"/>
      <c r="T742" s="13"/>
      <c r="U742" s="13"/>
      <c r="V742" s="13"/>
      <c r="W742" s="13"/>
      <c r="X742" s="13"/>
      <c r="AZ742" s="10"/>
      <c r="BA742" s="10"/>
      <c r="BB742" s="10"/>
    </row>
    <row r="743" spans="1:54" ht="15" x14ac:dyDescent="0.25">
      <c r="A743" s="72"/>
      <c r="B743" s="70"/>
      <c r="C743" s="71"/>
      <c r="D743" s="71"/>
      <c r="E743" s="71"/>
      <c r="F743" s="71"/>
      <c r="G743" s="71"/>
      <c r="H743" s="71"/>
      <c r="I743" s="71"/>
      <c r="J743" s="71"/>
      <c r="K743" s="71"/>
      <c r="L743" s="71"/>
      <c r="M743" s="73"/>
      <c r="N743" s="71"/>
      <c r="O743" s="19"/>
      <c r="P743" s="13"/>
      <c r="Q743" s="13"/>
      <c r="R743" s="13"/>
      <c r="S743" s="13"/>
      <c r="T743" s="13"/>
      <c r="U743" s="13"/>
      <c r="V743" s="13"/>
      <c r="W743" s="13"/>
      <c r="X743" s="13"/>
      <c r="AZ743" s="10"/>
      <c r="BA743" s="10"/>
      <c r="BB743" s="10"/>
    </row>
    <row r="744" spans="1:54" ht="15" x14ac:dyDescent="0.25">
      <c r="A744" s="72"/>
      <c r="B744" s="70"/>
      <c r="C744" s="71"/>
      <c r="D744" s="71"/>
      <c r="E744" s="71"/>
      <c r="F744" s="71"/>
      <c r="G744" s="71"/>
      <c r="H744" s="71"/>
      <c r="I744" s="71"/>
      <c r="J744" s="71"/>
      <c r="K744" s="71"/>
      <c r="L744" s="71"/>
      <c r="M744" s="73"/>
      <c r="N744" s="71"/>
      <c r="O744" s="19"/>
      <c r="P744" s="13"/>
      <c r="Q744" s="13"/>
      <c r="R744" s="13"/>
      <c r="S744" s="13"/>
      <c r="T744" s="13"/>
      <c r="U744" s="13"/>
      <c r="V744" s="13"/>
      <c r="W744" s="13"/>
      <c r="X744" s="13"/>
      <c r="AZ744" s="10"/>
      <c r="BA744" s="10"/>
      <c r="BB744" s="10"/>
    </row>
    <row r="745" spans="1:54" ht="15" x14ac:dyDescent="0.25">
      <c r="A745" s="72"/>
      <c r="B745" s="70"/>
      <c r="C745" s="71"/>
      <c r="D745" s="71"/>
      <c r="E745" s="71"/>
      <c r="F745" s="71"/>
      <c r="G745" s="71"/>
      <c r="H745" s="71"/>
      <c r="I745" s="71"/>
      <c r="J745" s="71"/>
      <c r="K745" s="71"/>
      <c r="L745" s="71"/>
      <c r="M745" s="73"/>
      <c r="N745" s="71"/>
      <c r="O745" s="19"/>
      <c r="P745" s="13"/>
      <c r="Q745" s="13"/>
      <c r="R745" s="13"/>
      <c r="S745" s="13"/>
      <c r="T745" s="13"/>
      <c r="U745" s="13"/>
      <c r="V745" s="13"/>
      <c r="W745" s="13"/>
      <c r="X745" s="13"/>
      <c r="AZ745" s="10"/>
      <c r="BA745" s="10"/>
      <c r="BB745" s="10"/>
    </row>
    <row r="746" spans="1:54" ht="15" x14ac:dyDescent="0.25">
      <c r="A746" s="72"/>
      <c r="B746" s="70"/>
      <c r="C746" s="71"/>
      <c r="D746" s="71"/>
      <c r="E746" s="71"/>
      <c r="F746" s="71"/>
      <c r="G746" s="71"/>
      <c r="H746" s="71"/>
      <c r="I746" s="71"/>
      <c r="J746" s="71"/>
      <c r="K746" s="71"/>
      <c r="L746" s="71"/>
      <c r="M746" s="73"/>
      <c r="N746" s="71"/>
      <c r="O746" s="19"/>
      <c r="P746" s="13"/>
      <c r="Q746" s="13"/>
      <c r="R746" s="13"/>
      <c r="S746" s="13"/>
      <c r="T746" s="13"/>
      <c r="U746" s="13"/>
      <c r="V746" s="13"/>
      <c r="W746" s="13"/>
      <c r="X746" s="13"/>
      <c r="AZ746" s="10"/>
      <c r="BA746" s="10"/>
      <c r="BB746" s="10"/>
    </row>
    <row r="747" spans="1:54" ht="15" x14ac:dyDescent="0.25">
      <c r="A747" s="72"/>
      <c r="B747" s="70"/>
      <c r="C747" s="71"/>
      <c r="D747" s="71"/>
      <c r="E747" s="71"/>
      <c r="F747" s="71"/>
      <c r="G747" s="71"/>
      <c r="H747" s="71"/>
      <c r="I747" s="71"/>
      <c r="J747" s="71"/>
      <c r="K747" s="71"/>
      <c r="L747" s="71"/>
      <c r="M747" s="73"/>
      <c r="N747" s="71"/>
      <c r="O747" s="19"/>
      <c r="P747" s="13"/>
      <c r="Q747" s="13"/>
      <c r="R747" s="13"/>
      <c r="S747" s="13"/>
      <c r="T747" s="13"/>
      <c r="U747" s="13"/>
      <c r="V747" s="13"/>
      <c r="W747" s="13"/>
      <c r="X747" s="13"/>
      <c r="AZ747" s="10"/>
      <c r="BA747" s="10"/>
      <c r="BB747" s="10"/>
    </row>
    <row r="748" spans="1:54" ht="15" x14ac:dyDescent="0.25">
      <c r="A748" s="72"/>
      <c r="B748" s="70"/>
      <c r="C748" s="71"/>
      <c r="D748" s="71"/>
      <c r="E748" s="71"/>
      <c r="F748" s="71"/>
      <c r="G748" s="71"/>
      <c r="H748" s="71"/>
      <c r="I748" s="71"/>
      <c r="J748" s="71"/>
      <c r="K748" s="71"/>
      <c r="L748" s="71"/>
      <c r="M748" s="73"/>
      <c r="N748" s="71"/>
      <c r="O748" s="19"/>
      <c r="P748" s="13"/>
      <c r="Q748" s="13"/>
      <c r="R748" s="13"/>
      <c r="S748" s="13"/>
      <c r="T748" s="13"/>
      <c r="U748" s="13"/>
      <c r="V748" s="13"/>
      <c r="W748" s="13"/>
      <c r="X748" s="13"/>
      <c r="AZ748" s="10"/>
      <c r="BA748" s="10"/>
      <c r="BB748" s="10"/>
    </row>
    <row r="749" spans="1:54" ht="15" x14ac:dyDescent="0.25">
      <c r="A749" s="72"/>
      <c r="B749" s="70"/>
      <c r="C749" s="71"/>
      <c r="D749" s="71"/>
      <c r="E749" s="71"/>
      <c r="F749" s="71"/>
      <c r="G749" s="71"/>
      <c r="H749" s="71"/>
      <c r="I749" s="71"/>
      <c r="J749" s="71"/>
      <c r="K749" s="71"/>
      <c r="L749" s="71"/>
      <c r="M749" s="73"/>
      <c r="N749" s="71"/>
      <c r="O749" s="19"/>
      <c r="P749" s="13"/>
      <c r="Q749" s="13"/>
      <c r="R749" s="13"/>
      <c r="S749" s="13"/>
      <c r="T749" s="13"/>
      <c r="U749" s="13"/>
      <c r="V749" s="13"/>
      <c r="W749" s="13"/>
      <c r="X749" s="13"/>
      <c r="AZ749" s="10"/>
      <c r="BA749" s="10"/>
      <c r="BB749" s="10"/>
    </row>
    <row r="750" spans="1:54" ht="15" x14ac:dyDescent="0.25">
      <c r="A750" s="72"/>
      <c r="B750" s="70"/>
      <c r="C750" s="71"/>
      <c r="D750" s="71"/>
      <c r="E750" s="71"/>
      <c r="F750" s="71"/>
      <c r="G750" s="71"/>
      <c r="H750" s="71"/>
      <c r="I750" s="71"/>
      <c r="J750" s="71"/>
      <c r="K750" s="71"/>
      <c r="L750" s="71"/>
      <c r="M750" s="73"/>
      <c r="N750" s="71"/>
      <c r="O750" s="19"/>
      <c r="P750" s="13"/>
      <c r="Q750" s="13"/>
      <c r="R750" s="13"/>
      <c r="S750" s="13"/>
      <c r="T750" s="13"/>
      <c r="U750" s="13"/>
      <c r="V750" s="13"/>
      <c r="W750" s="13"/>
      <c r="X750" s="13"/>
      <c r="AZ750" s="10"/>
      <c r="BA750" s="10"/>
      <c r="BB750" s="10"/>
    </row>
    <row r="751" spans="1:54" ht="15" x14ac:dyDescent="0.25">
      <c r="A751" s="72"/>
      <c r="B751" s="70"/>
      <c r="C751" s="71"/>
      <c r="D751" s="71"/>
      <c r="E751" s="71"/>
      <c r="F751" s="71"/>
      <c r="G751" s="71"/>
      <c r="H751" s="71"/>
      <c r="I751" s="71"/>
      <c r="J751" s="71"/>
      <c r="K751" s="71"/>
      <c r="L751" s="71"/>
      <c r="M751" s="73"/>
      <c r="N751" s="71"/>
      <c r="O751" s="19"/>
      <c r="P751" s="13"/>
      <c r="Q751" s="13"/>
      <c r="R751" s="13"/>
      <c r="S751" s="13"/>
      <c r="T751" s="13"/>
      <c r="U751" s="13"/>
      <c r="V751" s="13"/>
      <c r="W751" s="13"/>
      <c r="X751" s="13"/>
      <c r="AZ751" s="10"/>
      <c r="BA751" s="10"/>
      <c r="BB751" s="10"/>
    </row>
    <row r="752" spans="1:54" ht="15" x14ac:dyDescent="0.25">
      <c r="A752" s="72"/>
      <c r="B752" s="70"/>
      <c r="C752" s="71"/>
      <c r="D752" s="71"/>
      <c r="E752" s="71"/>
      <c r="F752" s="71"/>
      <c r="G752" s="71"/>
      <c r="H752" s="71"/>
      <c r="I752" s="71"/>
      <c r="J752" s="71"/>
      <c r="K752" s="71"/>
      <c r="L752" s="71"/>
      <c r="M752" s="73"/>
      <c r="N752" s="71"/>
      <c r="O752" s="19"/>
      <c r="P752" s="13"/>
      <c r="Q752" s="13"/>
      <c r="R752" s="13"/>
      <c r="S752" s="13"/>
      <c r="T752" s="13"/>
      <c r="U752" s="13"/>
      <c r="V752" s="13"/>
      <c r="W752" s="13"/>
      <c r="X752" s="13"/>
      <c r="AZ752" s="10"/>
      <c r="BA752" s="10"/>
      <c r="BB752" s="10"/>
    </row>
    <row r="753" spans="1:54" ht="15" x14ac:dyDescent="0.25">
      <c r="A753" s="72"/>
      <c r="B753" s="70"/>
      <c r="C753" s="71"/>
      <c r="D753" s="71"/>
      <c r="E753" s="71"/>
      <c r="F753" s="71"/>
      <c r="G753" s="71"/>
      <c r="H753" s="71"/>
      <c r="I753" s="71"/>
      <c r="J753" s="71"/>
      <c r="K753" s="71"/>
      <c r="L753" s="71"/>
      <c r="M753" s="73"/>
      <c r="N753" s="71"/>
      <c r="O753" s="19"/>
      <c r="P753" s="13"/>
      <c r="Q753" s="13"/>
      <c r="R753" s="13"/>
      <c r="S753" s="13"/>
      <c r="T753" s="13"/>
      <c r="U753" s="13"/>
      <c r="V753" s="13"/>
      <c r="W753" s="13"/>
      <c r="X753" s="13"/>
      <c r="AZ753" s="10"/>
      <c r="BA753" s="10"/>
      <c r="BB753" s="10"/>
    </row>
    <row r="754" spans="1:54" ht="15" x14ac:dyDescent="0.25">
      <c r="A754" s="72"/>
      <c r="B754" s="72"/>
      <c r="C754" s="72"/>
      <c r="D754" s="72"/>
      <c r="E754" s="72"/>
      <c r="F754" s="72"/>
      <c r="G754" s="72"/>
      <c r="H754" s="72"/>
      <c r="I754" s="72"/>
      <c r="J754" s="72"/>
      <c r="K754" s="72"/>
      <c r="L754" s="72"/>
      <c r="M754" s="72"/>
      <c r="N754" s="72"/>
      <c r="O754" s="19"/>
      <c r="P754" s="13"/>
      <c r="Q754" s="13"/>
      <c r="R754" s="13"/>
      <c r="S754" s="13"/>
      <c r="T754" s="13"/>
      <c r="U754" s="13"/>
      <c r="V754" s="13"/>
      <c r="W754" s="13"/>
      <c r="X754" s="13"/>
      <c r="AZ754" s="10"/>
      <c r="BA754" s="10"/>
      <c r="BB754" s="10"/>
    </row>
    <row r="755" spans="1:54" ht="15" x14ac:dyDescent="0.25">
      <c r="A755" s="72"/>
      <c r="B755" s="72"/>
      <c r="C755" s="72"/>
      <c r="D755" s="72"/>
      <c r="E755" s="72"/>
      <c r="F755" s="72"/>
      <c r="G755" s="72"/>
      <c r="H755" s="72"/>
      <c r="I755" s="72"/>
      <c r="J755" s="72"/>
      <c r="K755" s="72"/>
      <c r="L755" s="72"/>
      <c r="M755" s="72"/>
      <c r="N755" s="72"/>
      <c r="O755" s="19"/>
      <c r="P755" s="13"/>
      <c r="Q755" s="13"/>
      <c r="R755" s="13"/>
      <c r="S755" s="13"/>
      <c r="T755" s="13"/>
      <c r="U755" s="13"/>
      <c r="V755" s="13"/>
      <c r="W755" s="13"/>
      <c r="X755" s="13"/>
      <c r="AZ755" s="10"/>
      <c r="BA755" s="10"/>
      <c r="BB755" s="10"/>
    </row>
    <row r="756" spans="1:54" ht="15" x14ac:dyDescent="0.25">
      <c r="A756" s="72"/>
      <c r="B756" s="72"/>
      <c r="C756" s="72"/>
      <c r="D756" s="72"/>
      <c r="E756" s="72"/>
      <c r="F756" s="72"/>
      <c r="G756" s="72"/>
      <c r="H756" s="72"/>
      <c r="I756" s="72"/>
      <c r="J756" s="72"/>
      <c r="K756" s="72"/>
      <c r="L756" s="72"/>
      <c r="M756" s="72"/>
      <c r="N756" s="72"/>
      <c r="O756" s="19"/>
      <c r="P756" s="13"/>
      <c r="Q756" s="13"/>
      <c r="R756" s="13"/>
      <c r="S756" s="13"/>
      <c r="T756" s="13"/>
      <c r="U756" s="13"/>
      <c r="V756" s="13"/>
      <c r="W756" s="13"/>
      <c r="X756" s="13"/>
      <c r="AZ756" s="10"/>
      <c r="BA756" s="10"/>
      <c r="BB756" s="10"/>
    </row>
    <row r="757" spans="1:54" ht="15" x14ac:dyDescent="0.25">
      <c r="A757" s="72"/>
      <c r="B757" s="72"/>
      <c r="C757" s="72"/>
      <c r="D757" s="72"/>
      <c r="E757" s="72"/>
      <c r="F757" s="72"/>
      <c r="G757" s="72"/>
      <c r="H757" s="72"/>
      <c r="I757" s="72"/>
      <c r="J757" s="72"/>
      <c r="K757" s="72"/>
      <c r="L757" s="72"/>
      <c r="M757" s="72"/>
      <c r="N757" s="72"/>
      <c r="O757" s="19"/>
      <c r="P757" s="13"/>
      <c r="Q757" s="13"/>
      <c r="R757" s="13"/>
      <c r="S757" s="13"/>
      <c r="T757" s="13"/>
      <c r="U757" s="13"/>
      <c r="V757" s="13"/>
      <c r="W757" s="13"/>
      <c r="X757" s="13"/>
      <c r="AZ757" s="10"/>
      <c r="BA757" s="10"/>
      <c r="BB757" s="10"/>
    </row>
    <row r="758" spans="1:54" ht="15" x14ac:dyDescent="0.25">
      <c r="A758" s="72"/>
      <c r="B758" s="72"/>
      <c r="C758" s="72"/>
      <c r="D758" s="72"/>
      <c r="E758" s="72"/>
      <c r="F758" s="72"/>
      <c r="G758" s="72"/>
      <c r="H758" s="72"/>
      <c r="I758" s="72"/>
      <c r="J758" s="72"/>
      <c r="K758" s="72"/>
      <c r="L758" s="72"/>
      <c r="M758" s="72"/>
      <c r="N758" s="72"/>
      <c r="O758" s="19"/>
      <c r="P758" s="13"/>
      <c r="Q758" s="13"/>
      <c r="R758" s="13"/>
      <c r="S758" s="13"/>
      <c r="T758" s="13"/>
      <c r="U758" s="13"/>
      <c r="V758" s="13"/>
      <c r="W758" s="13"/>
      <c r="X758" s="13"/>
      <c r="AZ758" s="10"/>
      <c r="BA758" s="10"/>
      <c r="BB758" s="10"/>
    </row>
    <row r="759" spans="1:54" ht="15" x14ac:dyDescent="0.25">
      <c r="A759" s="72"/>
      <c r="B759" s="72"/>
      <c r="C759" s="72"/>
      <c r="D759" s="72"/>
      <c r="E759" s="72"/>
      <c r="F759" s="72"/>
      <c r="G759" s="72"/>
      <c r="H759" s="72"/>
      <c r="I759" s="72"/>
      <c r="J759" s="72"/>
      <c r="K759" s="72"/>
      <c r="L759" s="72"/>
      <c r="M759" s="72"/>
      <c r="N759" s="72"/>
      <c r="O759" s="19"/>
      <c r="P759" s="13"/>
      <c r="Q759" s="13"/>
      <c r="R759" s="13"/>
      <c r="S759" s="13"/>
      <c r="T759" s="13"/>
      <c r="U759" s="13"/>
      <c r="V759" s="13"/>
      <c r="W759" s="13"/>
      <c r="X759" s="13"/>
      <c r="AZ759" s="10"/>
      <c r="BA759" s="10"/>
      <c r="BB759" s="10"/>
    </row>
    <row r="760" spans="1:54" ht="15" x14ac:dyDescent="0.25">
      <c r="A760" s="72"/>
      <c r="B760" s="72"/>
      <c r="C760" s="72"/>
      <c r="D760" s="72"/>
      <c r="E760" s="72"/>
      <c r="F760" s="72"/>
      <c r="G760" s="72"/>
      <c r="H760" s="72"/>
      <c r="I760" s="72"/>
      <c r="J760" s="72"/>
      <c r="K760" s="72"/>
      <c r="L760" s="72"/>
      <c r="M760" s="72"/>
      <c r="N760" s="72"/>
      <c r="O760" s="19"/>
      <c r="P760" s="13"/>
      <c r="Q760" s="13"/>
      <c r="R760" s="13"/>
      <c r="S760" s="13"/>
      <c r="T760" s="13"/>
      <c r="U760" s="13"/>
      <c r="V760" s="13"/>
      <c r="W760" s="13"/>
      <c r="X760" s="13"/>
      <c r="AZ760" s="10"/>
      <c r="BA760" s="10"/>
      <c r="BB760" s="10"/>
    </row>
    <row r="761" spans="1:54" ht="15" x14ac:dyDescent="0.25">
      <c r="A761" s="72"/>
      <c r="B761" s="72"/>
      <c r="C761" s="72"/>
      <c r="D761" s="72"/>
      <c r="E761" s="72"/>
      <c r="F761" s="72"/>
      <c r="G761" s="72"/>
      <c r="H761" s="72"/>
      <c r="I761" s="72"/>
      <c r="J761" s="72"/>
      <c r="K761" s="72"/>
      <c r="L761" s="72"/>
      <c r="M761" s="72"/>
      <c r="N761" s="72"/>
      <c r="O761" s="19"/>
      <c r="P761" s="13"/>
      <c r="Q761" s="13"/>
      <c r="R761" s="13"/>
      <c r="S761" s="13"/>
      <c r="T761" s="13"/>
      <c r="U761" s="13"/>
      <c r="V761" s="13"/>
      <c r="W761" s="13"/>
      <c r="X761" s="13"/>
      <c r="AZ761" s="10"/>
      <c r="BA761" s="10"/>
      <c r="BB761" s="10"/>
    </row>
    <row r="762" spans="1:54" ht="15" x14ac:dyDescent="0.25">
      <c r="A762" s="72"/>
      <c r="B762" s="72"/>
      <c r="C762" s="72"/>
      <c r="D762" s="72"/>
      <c r="E762" s="72"/>
      <c r="F762" s="72"/>
      <c r="G762" s="72"/>
      <c r="H762" s="72"/>
      <c r="I762" s="72"/>
      <c r="J762" s="72"/>
      <c r="K762" s="72"/>
      <c r="L762" s="72"/>
      <c r="M762" s="72"/>
      <c r="N762" s="72"/>
      <c r="O762" s="19"/>
      <c r="P762" s="13"/>
      <c r="Q762" s="13"/>
      <c r="R762" s="13"/>
      <c r="S762" s="13"/>
      <c r="T762" s="13"/>
      <c r="U762" s="13"/>
      <c r="V762" s="13"/>
      <c r="W762" s="13"/>
      <c r="X762" s="13"/>
      <c r="AZ762" s="10"/>
      <c r="BA762" s="10"/>
      <c r="BB762" s="10"/>
    </row>
    <row r="763" spans="1:54" ht="15" x14ac:dyDescent="0.25">
      <c r="A763" s="72"/>
      <c r="B763" s="72"/>
      <c r="C763" s="72"/>
      <c r="D763" s="72"/>
      <c r="E763" s="72"/>
      <c r="F763" s="72"/>
      <c r="G763" s="72"/>
      <c r="H763" s="72"/>
      <c r="I763" s="72"/>
      <c r="J763" s="72"/>
      <c r="K763" s="72"/>
      <c r="L763" s="72"/>
      <c r="M763" s="72"/>
      <c r="N763" s="72"/>
      <c r="O763" s="19"/>
      <c r="P763" s="13"/>
      <c r="Q763" s="13"/>
      <c r="R763" s="13"/>
      <c r="S763" s="13"/>
      <c r="T763" s="13"/>
      <c r="U763" s="13"/>
      <c r="V763" s="13"/>
      <c r="W763" s="13"/>
      <c r="X763" s="13"/>
      <c r="AZ763" s="10"/>
      <c r="BA763" s="10"/>
      <c r="BB763" s="10"/>
    </row>
    <row r="764" spans="1:54" ht="15" x14ac:dyDescent="0.25">
      <c r="A764" s="72"/>
      <c r="B764" s="72"/>
      <c r="C764" s="72"/>
      <c r="D764" s="72"/>
      <c r="E764" s="72"/>
      <c r="F764" s="72"/>
      <c r="G764" s="72"/>
      <c r="H764" s="72"/>
      <c r="I764" s="72"/>
      <c r="J764" s="72"/>
      <c r="K764" s="72"/>
      <c r="L764" s="72"/>
      <c r="M764" s="72"/>
      <c r="N764" s="72"/>
      <c r="O764" s="19"/>
      <c r="P764" s="13"/>
      <c r="Q764" s="13"/>
      <c r="R764" s="13"/>
      <c r="S764" s="13"/>
      <c r="T764" s="13"/>
      <c r="U764" s="13"/>
      <c r="V764" s="13"/>
      <c r="W764" s="13"/>
      <c r="X764" s="13"/>
      <c r="AZ764" s="10"/>
      <c r="BA764" s="10"/>
      <c r="BB764" s="10"/>
    </row>
    <row r="765" spans="1:54" ht="15" x14ac:dyDescent="0.25">
      <c r="A765" s="72"/>
      <c r="B765" s="72"/>
      <c r="C765" s="72"/>
      <c r="D765" s="72"/>
      <c r="E765" s="72"/>
      <c r="F765" s="72"/>
      <c r="G765" s="72"/>
      <c r="H765" s="72"/>
      <c r="I765" s="72"/>
      <c r="J765" s="72"/>
      <c r="K765" s="72"/>
      <c r="L765" s="72"/>
      <c r="M765" s="72"/>
      <c r="N765" s="72"/>
      <c r="O765" s="19"/>
      <c r="P765" s="13"/>
      <c r="Q765" s="13"/>
      <c r="R765" s="13"/>
      <c r="S765" s="13"/>
      <c r="T765" s="13"/>
      <c r="U765" s="13"/>
      <c r="V765" s="13"/>
      <c r="W765" s="13"/>
      <c r="X765" s="13"/>
      <c r="AZ765" s="10"/>
      <c r="BA765" s="10"/>
      <c r="BB765" s="10"/>
    </row>
    <row r="766" spans="1:54" ht="15" x14ac:dyDescent="0.25">
      <c r="A766" s="72"/>
      <c r="B766" s="72"/>
      <c r="C766" s="72"/>
      <c r="D766" s="72"/>
      <c r="E766" s="72"/>
      <c r="F766" s="72"/>
      <c r="G766" s="72"/>
      <c r="H766" s="72"/>
      <c r="I766" s="72"/>
      <c r="J766" s="72"/>
      <c r="K766" s="72"/>
      <c r="L766" s="72"/>
      <c r="M766" s="72"/>
      <c r="N766" s="72"/>
      <c r="O766" s="19"/>
      <c r="P766" s="13"/>
      <c r="Q766" s="13"/>
      <c r="R766" s="13"/>
      <c r="S766" s="13"/>
      <c r="T766" s="13"/>
      <c r="U766" s="13"/>
      <c r="V766" s="13"/>
      <c r="W766" s="13"/>
      <c r="X766" s="13"/>
      <c r="AZ766" s="10"/>
      <c r="BA766" s="10"/>
      <c r="BB766" s="10"/>
    </row>
    <row r="767" spans="1:54" ht="15" x14ac:dyDescent="0.25">
      <c r="A767" s="72"/>
      <c r="B767" s="72"/>
      <c r="C767" s="72"/>
      <c r="D767" s="72"/>
      <c r="E767" s="72"/>
      <c r="F767" s="72"/>
      <c r="G767" s="72"/>
      <c r="H767" s="72"/>
      <c r="I767" s="72"/>
      <c r="J767" s="72"/>
      <c r="K767" s="72"/>
      <c r="L767" s="72"/>
      <c r="M767" s="72"/>
      <c r="N767" s="72"/>
      <c r="O767" s="19"/>
      <c r="P767" s="13"/>
      <c r="Q767" s="13"/>
      <c r="R767" s="13"/>
      <c r="S767" s="13"/>
      <c r="T767" s="13"/>
      <c r="U767" s="13"/>
      <c r="V767" s="13"/>
      <c r="W767" s="13"/>
      <c r="X767" s="13"/>
      <c r="AZ767" s="10"/>
      <c r="BA767" s="10"/>
      <c r="BB767" s="10"/>
    </row>
    <row r="768" spans="1:54" ht="15" x14ac:dyDescent="0.25">
      <c r="A768" s="72"/>
      <c r="B768" s="72"/>
      <c r="C768" s="72"/>
      <c r="D768" s="72"/>
      <c r="E768" s="72"/>
      <c r="F768" s="72"/>
      <c r="G768" s="72"/>
      <c r="H768" s="72"/>
      <c r="I768" s="72"/>
      <c r="J768" s="72"/>
      <c r="K768" s="72"/>
      <c r="L768" s="72"/>
      <c r="M768" s="72"/>
      <c r="N768" s="72"/>
      <c r="O768" s="19"/>
      <c r="P768" s="13"/>
      <c r="Q768" s="13"/>
      <c r="R768" s="13"/>
      <c r="S768" s="13"/>
      <c r="T768" s="13"/>
      <c r="U768" s="13"/>
      <c r="V768" s="13"/>
      <c r="W768" s="13"/>
      <c r="X768" s="13"/>
      <c r="AZ768" s="10"/>
      <c r="BA768" s="10"/>
      <c r="BB768" s="10"/>
    </row>
    <row r="769" spans="1:54" ht="15" x14ac:dyDescent="0.25">
      <c r="A769" s="72"/>
      <c r="B769" s="72"/>
      <c r="C769" s="73"/>
      <c r="D769" s="73"/>
      <c r="E769" s="73"/>
      <c r="F769" s="73"/>
      <c r="G769" s="73"/>
      <c r="H769" s="73"/>
      <c r="I769" s="73"/>
      <c r="J769" s="73"/>
      <c r="K769" s="73"/>
      <c r="L769" s="73"/>
      <c r="M769" s="73"/>
      <c r="N769" s="73"/>
      <c r="O769" s="19"/>
      <c r="P769" s="13"/>
      <c r="Q769" s="13"/>
      <c r="R769" s="13"/>
      <c r="S769" s="13"/>
      <c r="T769" s="13"/>
      <c r="U769" s="13"/>
      <c r="V769" s="13"/>
      <c r="W769" s="13"/>
      <c r="X769" s="13"/>
      <c r="AZ769" s="10"/>
      <c r="BA769" s="10"/>
      <c r="BB769" s="10"/>
    </row>
    <row r="770" spans="1:54" ht="15" x14ac:dyDescent="0.25">
      <c r="A770" s="72"/>
      <c r="B770" s="72"/>
      <c r="C770" s="73"/>
      <c r="D770" s="73"/>
      <c r="E770" s="73"/>
      <c r="F770" s="73"/>
      <c r="G770" s="73"/>
      <c r="H770" s="73"/>
      <c r="I770" s="73"/>
      <c r="J770" s="73"/>
      <c r="K770" s="73"/>
      <c r="L770" s="73"/>
      <c r="M770" s="73"/>
      <c r="N770" s="73"/>
      <c r="O770" s="19"/>
      <c r="P770" s="13"/>
      <c r="Q770" s="13"/>
      <c r="R770" s="13"/>
      <c r="S770" s="13"/>
      <c r="T770" s="13"/>
      <c r="U770" s="13"/>
      <c r="V770" s="13"/>
      <c r="W770" s="13"/>
      <c r="X770" s="13"/>
      <c r="AZ770" s="10"/>
      <c r="BA770" s="10"/>
      <c r="BB770" s="10"/>
    </row>
    <row r="771" spans="1:54" ht="15" x14ac:dyDescent="0.25">
      <c r="A771" s="72"/>
      <c r="B771" s="72"/>
      <c r="C771" s="73"/>
      <c r="D771" s="73"/>
      <c r="E771" s="73"/>
      <c r="F771" s="73"/>
      <c r="G771" s="73"/>
      <c r="H771" s="73"/>
      <c r="I771" s="73"/>
      <c r="J771" s="73"/>
      <c r="K771" s="73"/>
      <c r="L771" s="73"/>
      <c r="M771" s="73"/>
      <c r="N771" s="73"/>
      <c r="O771" s="19"/>
      <c r="P771" s="13"/>
      <c r="Q771" s="13"/>
      <c r="R771" s="13"/>
      <c r="S771" s="13"/>
      <c r="T771" s="13"/>
      <c r="U771" s="13"/>
      <c r="V771" s="13"/>
      <c r="W771" s="13"/>
      <c r="X771" s="13"/>
      <c r="AZ771" s="10"/>
      <c r="BA771" s="10"/>
      <c r="BB771" s="10"/>
    </row>
    <row r="772" spans="1:54" ht="15" x14ac:dyDescent="0.25">
      <c r="A772" s="72"/>
      <c r="B772" s="72"/>
      <c r="C772" s="73"/>
      <c r="D772" s="73"/>
      <c r="E772" s="73"/>
      <c r="F772" s="73"/>
      <c r="G772" s="73"/>
      <c r="H772" s="73"/>
      <c r="I772" s="73"/>
      <c r="J772" s="73"/>
      <c r="K772" s="73"/>
      <c r="L772" s="73"/>
      <c r="M772" s="73"/>
      <c r="N772" s="73"/>
      <c r="O772" s="19"/>
      <c r="P772" s="13"/>
      <c r="Q772" s="13"/>
      <c r="R772" s="13"/>
      <c r="S772" s="13"/>
      <c r="T772" s="13"/>
      <c r="U772" s="13"/>
      <c r="V772" s="13"/>
      <c r="W772" s="13"/>
      <c r="X772" s="13"/>
      <c r="AZ772" s="10"/>
      <c r="BA772" s="10"/>
      <c r="BB772" s="10"/>
    </row>
    <row r="773" spans="1:54" ht="15" x14ac:dyDescent="0.25">
      <c r="A773" s="72"/>
      <c r="B773" s="72"/>
      <c r="C773" s="73"/>
      <c r="D773" s="73"/>
      <c r="E773" s="73"/>
      <c r="F773" s="73"/>
      <c r="G773" s="73"/>
      <c r="H773" s="73"/>
      <c r="I773" s="73"/>
      <c r="J773" s="73"/>
      <c r="K773" s="73"/>
      <c r="L773" s="73"/>
      <c r="M773" s="73"/>
      <c r="N773" s="73"/>
      <c r="O773" s="19"/>
      <c r="P773" s="13"/>
      <c r="Q773" s="13"/>
      <c r="R773" s="13"/>
      <c r="S773" s="13"/>
      <c r="T773" s="13"/>
      <c r="U773" s="13"/>
      <c r="V773" s="13"/>
      <c r="W773" s="13"/>
      <c r="X773" s="13"/>
      <c r="AZ773" s="10"/>
      <c r="BA773" s="10"/>
      <c r="BB773" s="10"/>
    </row>
    <row r="774" spans="1:54" ht="15" x14ac:dyDescent="0.25">
      <c r="A774" s="72"/>
      <c r="B774" s="72"/>
      <c r="C774" s="72"/>
      <c r="D774" s="72"/>
      <c r="E774" s="72"/>
      <c r="F774" s="72"/>
      <c r="G774" s="72"/>
      <c r="H774" s="72"/>
      <c r="I774" s="72"/>
      <c r="J774" s="72"/>
      <c r="K774" s="72"/>
      <c r="L774" s="72"/>
      <c r="M774" s="72"/>
      <c r="N774" s="72"/>
      <c r="O774" s="19"/>
      <c r="P774" s="13"/>
      <c r="Q774" s="13"/>
      <c r="R774" s="13"/>
      <c r="S774" s="13"/>
      <c r="T774" s="13"/>
      <c r="U774" s="13"/>
      <c r="V774" s="13"/>
      <c r="W774" s="13"/>
      <c r="X774" s="13"/>
      <c r="AZ774" s="10"/>
      <c r="BA774" s="10"/>
      <c r="BB774" s="10"/>
    </row>
    <row r="775" spans="1:54" ht="15" x14ac:dyDescent="0.25">
      <c r="A775" s="70"/>
      <c r="B775" s="70"/>
      <c r="C775" s="71"/>
      <c r="D775" s="71"/>
      <c r="E775" s="71"/>
      <c r="F775" s="71"/>
      <c r="G775" s="71"/>
      <c r="H775" s="71"/>
      <c r="I775" s="71"/>
      <c r="J775" s="71"/>
      <c r="K775" s="71"/>
      <c r="L775" s="71"/>
      <c r="M775" s="73"/>
      <c r="N775" s="71"/>
      <c r="O775" s="19"/>
      <c r="P775" s="13"/>
      <c r="Q775" s="13"/>
      <c r="R775" s="13"/>
      <c r="S775" s="13"/>
      <c r="T775" s="13"/>
      <c r="U775" s="13"/>
      <c r="V775" s="13"/>
      <c r="W775" s="13"/>
      <c r="X775" s="13"/>
      <c r="AZ775" s="10"/>
      <c r="BA775" s="10"/>
      <c r="BB775" s="10"/>
    </row>
    <row r="776" spans="1:54" ht="15" x14ac:dyDescent="0.25">
      <c r="A776" s="70"/>
      <c r="B776" s="70"/>
      <c r="C776" s="71"/>
      <c r="D776" s="71"/>
      <c r="E776" s="71"/>
      <c r="F776" s="71"/>
      <c r="G776" s="71"/>
      <c r="H776" s="71"/>
      <c r="I776" s="71"/>
      <c r="J776" s="71"/>
      <c r="K776" s="71"/>
      <c r="L776" s="71"/>
      <c r="M776" s="73"/>
      <c r="N776" s="71"/>
      <c r="O776" s="19"/>
      <c r="P776" s="13"/>
      <c r="Q776" s="13"/>
      <c r="R776" s="13"/>
      <c r="S776" s="13"/>
      <c r="T776" s="13"/>
      <c r="U776" s="13"/>
      <c r="V776" s="13"/>
      <c r="W776" s="13"/>
      <c r="X776" s="13"/>
      <c r="AZ776" s="10"/>
      <c r="BA776" s="10"/>
      <c r="BB776" s="10"/>
    </row>
    <row r="777" spans="1:54" ht="15" x14ac:dyDescent="0.25">
      <c r="A777" s="70"/>
      <c r="B777" s="70"/>
      <c r="C777" s="71"/>
      <c r="D777" s="71"/>
      <c r="E777" s="71"/>
      <c r="F777" s="71"/>
      <c r="G777" s="71"/>
      <c r="H777" s="71"/>
      <c r="I777" s="71"/>
      <c r="J777" s="71"/>
      <c r="K777" s="71"/>
      <c r="L777" s="71"/>
      <c r="M777" s="73"/>
      <c r="N777" s="71"/>
      <c r="O777" s="19"/>
      <c r="P777" s="13"/>
      <c r="Q777" s="13"/>
      <c r="R777" s="13"/>
      <c r="S777" s="13"/>
      <c r="T777" s="13"/>
      <c r="U777" s="13"/>
      <c r="V777" s="13"/>
      <c r="W777" s="13"/>
      <c r="X777" s="13"/>
      <c r="AZ777" s="10"/>
      <c r="BA777" s="10"/>
      <c r="BB777" s="10"/>
    </row>
    <row r="778" spans="1:54" ht="15" x14ac:dyDescent="0.25">
      <c r="A778" s="70"/>
      <c r="B778" s="70"/>
      <c r="C778" s="71"/>
      <c r="D778" s="71"/>
      <c r="E778" s="71"/>
      <c r="F778" s="71"/>
      <c r="G778" s="71"/>
      <c r="H778" s="71"/>
      <c r="I778" s="71"/>
      <c r="J778" s="71"/>
      <c r="K778" s="71"/>
      <c r="L778" s="71"/>
      <c r="M778" s="73"/>
      <c r="N778" s="71"/>
      <c r="O778" s="19"/>
      <c r="P778" s="13"/>
      <c r="Q778" s="13"/>
      <c r="R778" s="13"/>
      <c r="S778" s="13"/>
      <c r="T778" s="13"/>
      <c r="U778" s="13"/>
      <c r="V778" s="13"/>
      <c r="W778" s="13"/>
      <c r="X778" s="13"/>
      <c r="AZ778" s="10"/>
      <c r="BA778" s="10"/>
      <c r="BB778" s="10"/>
    </row>
    <row r="779" spans="1:54" ht="15" x14ac:dyDescent="0.25">
      <c r="A779" s="70"/>
      <c r="B779" s="70"/>
      <c r="C779" s="71"/>
      <c r="D779" s="71"/>
      <c r="E779" s="71"/>
      <c r="F779" s="71"/>
      <c r="G779" s="71"/>
      <c r="H779" s="71"/>
      <c r="I779" s="71"/>
      <c r="J779" s="71"/>
      <c r="K779" s="71"/>
      <c r="L779" s="71"/>
      <c r="M779" s="73"/>
      <c r="N779" s="71"/>
      <c r="O779" s="19"/>
      <c r="P779" s="13"/>
      <c r="Q779" s="13"/>
      <c r="R779" s="13"/>
      <c r="S779" s="13"/>
      <c r="T779" s="13"/>
      <c r="U779" s="13"/>
      <c r="V779" s="13"/>
      <c r="W779" s="13"/>
      <c r="X779" s="13"/>
      <c r="AZ779" s="10"/>
      <c r="BA779" s="10"/>
      <c r="BB779" s="10"/>
    </row>
    <row r="780" spans="1:54" ht="15" x14ac:dyDescent="0.25">
      <c r="A780" s="70"/>
      <c r="B780" s="70"/>
      <c r="C780" s="71"/>
      <c r="D780" s="71"/>
      <c r="E780" s="71"/>
      <c r="F780" s="71"/>
      <c r="G780" s="71"/>
      <c r="H780" s="71"/>
      <c r="I780" s="71"/>
      <c r="J780" s="71"/>
      <c r="K780" s="71"/>
      <c r="L780" s="71"/>
      <c r="M780" s="73"/>
      <c r="N780" s="71"/>
      <c r="O780" s="19"/>
      <c r="P780" s="13"/>
      <c r="Q780" s="13"/>
      <c r="R780" s="13"/>
      <c r="S780" s="13"/>
      <c r="T780" s="13"/>
      <c r="U780" s="13"/>
      <c r="V780" s="13"/>
      <c r="W780" s="13"/>
      <c r="X780" s="13"/>
      <c r="AZ780" s="10"/>
      <c r="BA780" s="10"/>
      <c r="BB780" s="10"/>
    </row>
    <row r="781" spans="1:54" ht="15" x14ac:dyDescent="0.25">
      <c r="A781" s="70"/>
      <c r="B781" s="70"/>
      <c r="C781" s="71"/>
      <c r="D781" s="71"/>
      <c r="E781" s="71"/>
      <c r="F781" s="71"/>
      <c r="G781" s="71"/>
      <c r="H781" s="71"/>
      <c r="I781" s="71"/>
      <c r="J781" s="71"/>
      <c r="K781" s="71"/>
      <c r="L781" s="71"/>
      <c r="M781" s="73"/>
      <c r="N781" s="71"/>
      <c r="O781" s="19"/>
      <c r="P781" s="13"/>
      <c r="Q781" s="13"/>
      <c r="R781" s="13"/>
      <c r="S781" s="13"/>
      <c r="T781" s="13"/>
      <c r="U781" s="13"/>
      <c r="V781" s="13"/>
      <c r="W781" s="13"/>
      <c r="X781" s="13"/>
      <c r="AZ781" s="10"/>
      <c r="BA781" s="10"/>
      <c r="BB781" s="10"/>
    </row>
    <row r="782" spans="1:54" ht="15" x14ac:dyDescent="0.25">
      <c r="A782" s="70"/>
      <c r="B782" s="70"/>
      <c r="C782" s="71"/>
      <c r="D782" s="71"/>
      <c r="E782" s="71"/>
      <c r="F782" s="71"/>
      <c r="G782" s="71"/>
      <c r="H782" s="71"/>
      <c r="I782" s="71"/>
      <c r="J782" s="71"/>
      <c r="K782" s="71"/>
      <c r="L782" s="71"/>
      <c r="M782" s="73"/>
      <c r="N782" s="71"/>
      <c r="O782" s="19"/>
      <c r="P782" s="13"/>
      <c r="Q782" s="13"/>
      <c r="R782" s="13"/>
      <c r="S782" s="13"/>
      <c r="T782" s="13"/>
      <c r="U782" s="13"/>
      <c r="V782" s="13"/>
      <c r="W782" s="13"/>
      <c r="X782" s="13"/>
      <c r="AZ782" s="10"/>
      <c r="BA782" s="10"/>
      <c r="BB782" s="10"/>
    </row>
    <row r="783" spans="1:54" ht="15" x14ac:dyDescent="0.25">
      <c r="A783" s="70"/>
      <c r="B783" s="70"/>
      <c r="C783" s="71"/>
      <c r="D783" s="71"/>
      <c r="E783" s="71"/>
      <c r="F783" s="71"/>
      <c r="G783" s="71"/>
      <c r="H783" s="71"/>
      <c r="I783" s="71"/>
      <c r="J783" s="71"/>
      <c r="K783" s="71"/>
      <c r="L783" s="71"/>
      <c r="M783" s="73"/>
      <c r="N783" s="71"/>
      <c r="O783" s="19"/>
      <c r="P783" s="13"/>
      <c r="Q783" s="13"/>
      <c r="R783" s="13"/>
      <c r="S783" s="13"/>
      <c r="T783" s="13"/>
      <c r="U783" s="13"/>
      <c r="V783" s="13"/>
      <c r="W783" s="13"/>
      <c r="X783" s="13"/>
      <c r="AZ783" s="10"/>
      <c r="BA783" s="10"/>
      <c r="BB783" s="10"/>
    </row>
    <row r="784" spans="1:54" ht="15" x14ac:dyDescent="0.25">
      <c r="A784" s="70"/>
      <c r="B784" s="70"/>
      <c r="C784" s="71"/>
      <c r="D784" s="71"/>
      <c r="E784" s="71"/>
      <c r="F784" s="71"/>
      <c r="G784" s="71"/>
      <c r="H784" s="71"/>
      <c r="I784" s="71"/>
      <c r="J784" s="71"/>
      <c r="K784" s="71"/>
      <c r="L784" s="71"/>
      <c r="M784" s="73"/>
      <c r="N784" s="71"/>
      <c r="O784" s="19"/>
      <c r="P784" s="13"/>
      <c r="Q784" s="13"/>
      <c r="R784" s="13"/>
      <c r="S784" s="13"/>
      <c r="T784" s="13"/>
      <c r="U784" s="13"/>
      <c r="V784" s="13"/>
      <c r="W784" s="13"/>
      <c r="X784" s="13"/>
      <c r="AZ784" s="10"/>
      <c r="BA784" s="10"/>
      <c r="BB784" s="10"/>
    </row>
    <row r="785" spans="1:54" ht="15" x14ac:dyDescent="0.25">
      <c r="A785" s="70"/>
      <c r="B785" s="70"/>
      <c r="C785" s="71"/>
      <c r="D785" s="71"/>
      <c r="E785" s="71"/>
      <c r="F785" s="71"/>
      <c r="G785" s="71"/>
      <c r="H785" s="71"/>
      <c r="I785" s="71"/>
      <c r="J785" s="71"/>
      <c r="K785" s="71"/>
      <c r="L785" s="71"/>
      <c r="M785" s="73"/>
      <c r="N785" s="71"/>
      <c r="O785" s="19"/>
      <c r="P785" s="13"/>
      <c r="Q785" s="13"/>
      <c r="R785" s="13"/>
      <c r="S785" s="13"/>
      <c r="T785" s="13"/>
      <c r="U785" s="13"/>
      <c r="V785" s="13"/>
      <c r="W785" s="13"/>
      <c r="X785" s="13"/>
      <c r="AZ785" s="10"/>
      <c r="BA785" s="10"/>
      <c r="BB785" s="10"/>
    </row>
    <row r="786" spans="1:54" ht="15" x14ac:dyDescent="0.25">
      <c r="A786" s="70"/>
      <c r="B786" s="70"/>
      <c r="C786" s="71"/>
      <c r="D786" s="71"/>
      <c r="E786" s="71"/>
      <c r="F786" s="71"/>
      <c r="G786" s="71"/>
      <c r="H786" s="71"/>
      <c r="I786" s="71"/>
      <c r="J786" s="71"/>
      <c r="K786" s="71"/>
      <c r="L786" s="71"/>
      <c r="M786" s="73"/>
      <c r="N786" s="71"/>
      <c r="O786" s="19"/>
      <c r="P786" s="13"/>
      <c r="Q786" s="13"/>
      <c r="R786" s="13"/>
      <c r="S786" s="13"/>
      <c r="T786" s="13"/>
      <c r="U786" s="13"/>
      <c r="V786" s="13"/>
      <c r="W786" s="13"/>
      <c r="X786" s="13"/>
      <c r="AZ786" s="10"/>
      <c r="BA786" s="10"/>
      <c r="BB786" s="10"/>
    </row>
    <row r="787" spans="1:54" ht="15" x14ac:dyDescent="0.25">
      <c r="A787" s="70"/>
      <c r="B787" s="70"/>
      <c r="C787" s="71"/>
      <c r="D787" s="71"/>
      <c r="E787" s="71"/>
      <c r="F787" s="71"/>
      <c r="G787" s="71"/>
      <c r="H787" s="71"/>
      <c r="I787" s="71"/>
      <c r="J787" s="71"/>
      <c r="K787" s="71"/>
      <c r="L787" s="71"/>
      <c r="M787" s="73"/>
      <c r="N787" s="71"/>
      <c r="O787" s="19"/>
      <c r="P787" s="13"/>
      <c r="Q787" s="13"/>
      <c r="R787" s="13"/>
      <c r="S787" s="13"/>
      <c r="T787" s="13"/>
      <c r="U787" s="13"/>
      <c r="V787" s="13"/>
      <c r="W787" s="13"/>
      <c r="X787" s="13"/>
      <c r="AZ787" s="10"/>
      <c r="BA787" s="10"/>
      <c r="BB787" s="10"/>
    </row>
    <row r="788" spans="1:54" ht="15" x14ac:dyDescent="0.25">
      <c r="A788" s="70"/>
      <c r="B788" s="70"/>
      <c r="C788" s="71"/>
      <c r="D788" s="71"/>
      <c r="E788" s="71"/>
      <c r="F788" s="71"/>
      <c r="G788" s="71"/>
      <c r="H788" s="71"/>
      <c r="I788" s="71"/>
      <c r="J788" s="71"/>
      <c r="K788" s="71"/>
      <c r="L788" s="71"/>
      <c r="M788" s="73"/>
      <c r="N788" s="71"/>
      <c r="O788" s="19"/>
      <c r="P788" s="13"/>
      <c r="Q788" s="13"/>
      <c r="R788" s="13"/>
      <c r="S788" s="13"/>
      <c r="T788" s="13"/>
      <c r="U788" s="13"/>
      <c r="V788" s="13"/>
      <c r="W788" s="13"/>
      <c r="X788" s="13"/>
      <c r="AZ788" s="10"/>
      <c r="BA788" s="10"/>
      <c r="BB788" s="10"/>
    </row>
    <row r="789" spans="1:54" ht="15" x14ac:dyDescent="0.25">
      <c r="A789" s="70"/>
      <c r="B789" s="70"/>
      <c r="C789" s="71"/>
      <c r="D789" s="71"/>
      <c r="E789" s="71"/>
      <c r="F789" s="71"/>
      <c r="G789" s="71"/>
      <c r="H789" s="71"/>
      <c r="I789" s="71"/>
      <c r="J789" s="71"/>
      <c r="K789" s="71"/>
      <c r="L789" s="71"/>
      <c r="M789" s="73"/>
      <c r="N789" s="71"/>
      <c r="O789" s="19"/>
      <c r="P789" s="13"/>
      <c r="Q789" s="13"/>
      <c r="R789" s="13"/>
      <c r="S789" s="13"/>
      <c r="T789" s="13"/>
      <c r="U789" s="13"/>
      <c r="V789" s="13"/>
      <c r="W789" s="13"/>
      <c r="X789" s="13"/>
      <c r="AZ789" s="10"/>
      <c r="BA789" s="10"/>
      <c r="BB789" s="10"/>
    </row>
    <row r="790" spans="1:54" ht="15" x14ac:dyDescent="0.25">
      <c r="A790" s="70"/>
      <c r="B790" s="70"/>
      <c r="C790" s="71"/>
      <c r="D790" s="71"/>
      <c r="E790" s="71"/>
      <c r="F790" s="71"/>
      <c r="G790" s="71"/>
      <c r="H790" s="71"/>
      <c r="I790" s="71"/>
      <c r="J790" s="71"/>
      <c r="K790" s="71"/>
      <c r="L790" s="71"/>
      <c r="M790" s="73"/>
      <c r="N790" s="71"/>
      <c r="O790" s="19"/>
      <c r="P790" s="13"/>
      <c r="Q790" s="13"/>
      <c r="R790" s="13"/>
      <c r="S790" s="13"/>
      <c r="T790" s="13"/>
      <c r="U790" s="13"/>
      <c r="V790" s="13"/>
      <c r="W790" s="13"/>
      <c r="X790" s="13"/>
      <c r="AZ790" s="10"/>
      <c r="BA790" s="10"/>
      <c r="BB790" s="10"/>
    </row>
    <row r="791" spans="1:54" ht="15" x14ac:dyDescent="0.25">
      <c r="A791" s="70"/>
      <c r="B791" s="70"/>
      <c r="C791" s="71"/>
      <c r="D791" s="71"/>
      <c r="E791" s="71"/>
      <c r="F791" s="71"/>
      <c r="G791" s="71"/>
      <c r="H791" s="71"/>
      <c r="I791" s="71"/>
      <c r="J791" s="71"/>
      <c r="K791" s="71"/>
      <c r="L791" s="71"/>
      <c r="M791" s="73"/>
      <c r="N791" s="71"/>
      <c r="O791" s="19"/>
      <c r="P791" s="13"/>
      <c r="Q791" s="13"/>
      <c r="R791" s="13"/>
      <c r="S791" s="13"/>
      <c r="T791" s="13"/>
      <c r="U791" s="13"/>
      <c r="V791" s="13"/>
      <c r="W791" s="13"/>
      <c r="X791" s="13"/>
      <c r="AZ791" s="10"/>
      <c r="BA791" s="10"/>
      <c r="BB791" s="10"/>
    </row>
    <row r="792" spans="1:54" ht="15" x14ac:dyDescent="0.25">
      <c r="A792" s="70"/>
      <c r="B792" s="70"/>
      <c r="C792" s="71"/>
      <c r="D792" s="71"/>
      <c r="E792" s="71"/>
      <c r="F792" s="71"/>
      <c r="G792" s="71"/>
      <c r="H792" s="71"/>
      <c r="I792" s="71"/>
      <c r="J792" s="71"/>
      <c r="K792" s="71"/>
      <c r="L792" s="71"/>
      <c r="M792" s="73"/>
      <c r="N792" s="71"/>
      <c r="O792" s="19"/>
      <c r="P792" s="13"/>
      <c r="Q792" s="13"/>
      <c r="R792" s="13"/>
      <c r="S792" s="13"/>
      <c r="T792" s="13"/>
      <c r="U792" s="13"/>
      <c r="V792" s="13"/>
      <c r="W792" s="13"/>
      <c r="X792" s="13"/>
      <c r="AZ792" s="10"/>
      <c r="BA792" s="10"/>
      <c r="BB792" s="10"/>
    </row>
    <row r="793" spans="1:54" ht="15" x14ac:dyDescent="0.25">
      <c r="A793" s="70"/>
      <c r="B793" s="70"/>
      <c r="C793" s="71"/>
      <c r="D793" s="71"/>
      <c r="E793" s="71"/>
      <c r="F793" s="71"/>
      <c r="G793" s="71"/>
      <c r="H793" s="71"/>
      <c r="I793" s="71"/>
      <c r="J793" s="71"/>
      <c r="K793" s="71"/>
      <c r="L793" s="71"/>
      <c r="M793" s="73"/>
      <c r="N793" s="71"/>
      <c r="O793" s="19"/>
      <c r="P793" s="13"/>
      <c r="Q793" s="13"/>
      <c r="R793" s="13"/>
      <c r="S793" s="13"/>
      <c r="T793" s="13"/>
      <c r="U793" s="13"/>
      <c r="V793" s="13"/>
      <c r="W793" s="13"/>
      <c r="X793" s="13"/>
      <c r="AZ793" s="10"/>
      <c r="BA793" s="10"/>
      <c r="BB793" s="10"/>
    </row>
    <row r="794" spans="1:54" ht="15" x14ac:dyDescent="0.25">
      <c r="A794" s="70"/>
      <c r="B794" s="70"/>
      <c r="C794" s="71"/>
      <c r="D794" s="71"/>
      <c r="E794" s="71"/>
      <c r="F794" s="71"/>
      <c r="G794" s="71"/>
      <c r="H794" s="71"/>
      <c r="I794" s="71"/>
      <c r="J794" s="71"/>
      <c r="K794" s="71"/>
      <c r="L794" s="71"/>
      <c r="M794" s="73"/>
      <c r="N794" s="71"/>
      <c r="O794" s="19"/>
      <c r="P794" s="13"/>
      <c r="Q794" s="13"/>
      <c r="R794" s="13"/>
      <c r="S794" s="13"/>
      <c r="T794" s="13"/>
      <c r="U794" s="13"/>
      <c r="V794" s="13"/>
      <c r="W794" s="13"/>
      <c r="X794" s="13"/>
      <c r="AZ794" s="10"/>
      <c r="BA794" s="10"/>
      <c r="BB794" s="10"/>
    </row>
    <row r="795" spans="1:54" ht="15" x14ac:dyDescent="0.25">
      <c r="A795" s="70"/>
      <c r="B795" s="70"/>
      <c r="C795" s="71"/>
      <c r="D795" s="71"/>
      <c r="E795" s="71"/>
      <c r="F795" s="71"/>
      <c r="G795" s="71"/>
      <c r="H795" s="71"/>
      <c r="I795" s="71"/>
      <c r="J795" s="71"/>
      <c r="K795" s="71"/>
      <c r="L795" s="71"/>
      <c r="M795" s="73"/>
      <c r="N795" s="71"/>
      <c r="O795" s="19"/>
      <c r="P795" s="13"/>
      <c r="Q795" s="13"/>
      <c r="R795" s="13"/>
      <c r="S795" s="13"/>
      <c r="T795" s="13"/>
      <c r="U795" s="13"/>
      <c r="V795" s="13"/>
      <c r="W795" s="13"/>
      <c r="X795" s="13"/>
      <c r="AZ795" s="10"/>
      <c r="BA795" s="10"/>
      <c r="BB795" s="10"/>
    </row>
    <row r="796" spans="1:54" ht="15" x14ac:dyDescent="0.25">
      <c r="A796" s="70"/>
      <c r="B796" s="70"/>
      <c r="C796" s="71"/>
      <c r="D796" s="71"/>
      <c r="E796" s="71"/>
      <c r="F796" s="71"/>
      <c r="G796" s="71"/>
      <c r="H796" s="71"/>
      <c r="I796" s="71"/>
      <c r="J796" s="71"/>
      <c r="K796" s="71"/>
      <c r="L796" s="71"/>
      <c r="M796" s="73"/>
      <c r="N796" s="71"/>
      <c r="O796" s="19"/>
      <c r="P796" s="13"/>
      <c r="Q796" s="13"/>
      <c r="R796" s="13"/>
      <c r="S796" s="13"/>
      <c r="T796" s="13"/>
      <c r="U796" s="13"/>
      <c r="V796" s="13"/>
      <c r="W796" s="13"/>
      <c r="X796" s="13"/>
      <c r="AZ796" s="10"/>
      <c r="BA796" s="10"/>
      <c r="BB796" s="10"/>
    </row>
    <row r="797" spans="1:54" ht="15" x14ac:dyDescent="0.25">
      <c r="A797" s="70"/>
      <c r="B797" s="70"/>
      <c r="C797" s="71"/>
      <c r="D797" s="71"/>
      <c r="E797" s="71"/>
      <c r="F797" s="71"/>
      <c r="G797" s="71"/>
      <c r="H797" s="71"/>
      <c r="I797" s="71"/>
      <c r="J797" s="71"/>
      <c r="K797" s="71"/>
      <c r="L797" s="71"/>
      <c r="M797" s="73"/>
      <c r="N797" s="71"/>
      <c r="O797" s="19"/>
      <c r="P797" s="13"/>
      <c r="Q797" s="13"/>
      <c r="R797" s="13"/>
      <c r="S797" s="13"/>
      <c r="T797" s="13"/>
      <c r="U797" s="13"/>
      <c r="V797" s="13"/>
      <c r="W797" s="13"/>
      <c r="X797" s="13"/>
      <c r="AZ797" s="10"/>
      <c r="BA797" s="10"/>
      <c r="BB797" s="10"/>
    </row>
    <row r="798" spans="1:54" ht="15" x14ac:dyDescent="0.25">
      <c r="A798" s="70"/>
      <c r="B798" s="70"/>
      <c r="C798" s="71"/>
      <c r="D798" s="71"/>
      <c r="E798" s="71"/>
      <c r="F798" s="71"/>
      <c r="G798" s="71"/>
      <c r="H798" s="71"/>
      <c r="I798" s="71"/>
      <c r="J798" s="71"/>
      <c r="K798" s="71"/>
      <c r="L798" s="71"/>
      <c r="M798" s="73"/>
      <c r="N798" s="71"/>
      <c r="O798" s="19"/>
      <c r="P798" s="13"/>
      <c r="Q798" s="13"/>
      <c r="R798" s="13"/>
      <c r="S798" s="13"/>
      <c r="T798" s="13"/>
      <c r="U798" s="13"/>
      <c r="V798" s="13"/>
      <c r="W798" s="13"/>
      <c r="X798" s="13"/>
      <c r="AZ798" s="10"/>
      <c r="BA798" s="10"/>
      <c r="BB798" s="10"/>
    </row>
    <row r="799" spans="1:54" ht="15" x14ac:dyDescent="0.25">
      <c r="A799" s="70"/>
      <c r="B799" s="70"/>
      <c r="C799" s="71"/>
      <c r="D799" s="71"/>
      <c r="E799" s="71"/>
      <c r="F799" s="71"/>
      <c r="G799" s="71"/>
      <c r="H799" s="71"/>
      <c r="I799" s="71"/>
      <c r="J799" s="71"/>
      <c r="K799" s="71"/>
      <c r="L799" s="71"/>
      <c r="M799" s="73"/>
      <c r="N799" s="71"/>
      <c r="O799" s="19"/>
      <c r="P799" s="13"/>
      <c r="Q799" s="13"/>
      <c r="R799" s="13"/>
      <c r="S799" s="13"/>
      <c r="T799" s="13"/>
      <c r="U799" s="13"/>
      <c r="V799" s="13"/>
      <c r="W799" s="13"/>
      <c r="X799" s="13"/>
      <c r="AZ799" s="10"/>
      <c r="BA799" s="10"/>
      <c r="BB799" s="10"/>
    </row>
    <row r="800" spans="1:54" ht="15" x14ac:dyDescent="0.25">
      <c r="A800" s="70"/>
      <c r="B800" s="70"/>
      <c r="C800" s="71"/>
      <c r="D800" s="71"/>
      <c r="E800" s="71"/>
      <c r="F800" s="71"/>
      <c r="G800" s="71"/>
      <c r="H800" s="71"/>
      <c r="I800" s="71"/>
      <c r="J800" s="71"/>
      <c r="K800" s="71"/>
      <c r="L800" s="71"/>
      <c r="M800" s="73"/>
      <c r="N800" s="71"/>
      <c r="O800" s="19"/>
      <c r="P800" s="13"/>
      <c r="Q800" s="13"/>
      <c r="R800" s="13"/>
      <c r="S800" s="13"/>
      <c r="T800" s="13"/>
      <c r="U800" s="13"/>
      <c r="V800" s="13"/>
      <c r="W800" s="13"/>
      <c r="X800" s="13"/>
      <c r="AZ800" s="10"/>
      <c r="BA800" s="10"/>
      <c r="BB800" s="10"/>
    </row>
    <row r="801" spans="1:54" ht="15" x14ac:dyDescent="0.25">
      <c r="A801" s="70"/>
      <c r="B801" s="70"/>
      <c r="C801" s="71"/>
      <c r="D801" s="71"/>
      <c r="E801" s="71"/>
      <c r="F801" s="71"/>
      <c r="G801" s="71"/>
      <c r="H801" s="71"/>
      <c r="I801" s="71"/>
      <c r="J801" s="71"/>
      <c r="K801" s="71"/>
      <c r="L801" s="71"/>
      <c r="M801" s="73"/>
      <c r="N801" s="71"/>
      <c r="O801" s="19"/>
      <c r="P801" s="13"/>
      <c r="Q801" s="13"/>
      <c r="R801" s="13"/>
      <c r="S801" s="13"/>
      <c r="T801" s="13"/>
      <c r="U801" s="13"/>
      <c r="V801" s="13"/>
      <c r="W801" s="13"/>
      <c r="X801" s="13"/>
      <c r="AZ801" s="10"/>
      <c r="BA801" s="10"/>
      <c r="BB801" s="10"/>
    </row>
    <row r="802" spans="1:54" ht="15" x14ac:dyDescent="0.25">
      <c r="A802" s="70"/>
      <c r="B802" s="70"/>
      <c r="C802" s="71"/>
      <c r="D802" s="71"/>
      <c r="E802" s="71"/>
      <c r="F802" s="71"/>
      <c r="G802" s="71"/>
      <c r="H802" s="71"/>
      <c r="I802" s="71"/>
      <c r="J802" s="71"/>
      <c r="K802" s="71"/>
      <c r="L802" s="71"/>
      <c r="M802" s="73"/>
      <c r="N802" s="71"/>
      <c r="O802" s="19"/>
      <c r="P802" s="13"/>
      <c r="Q802" s="13"/>
      <c r="R802" s="13"/>
      <c r="S802" s="13"/>
      <c r="T802" s="13"/>
      <c r="U802" s="13"/>
      <c r="V802" s="13"/>
      <c r="W802" s="13"/>
      <c r="X802" s="13"/>
      <c r="AZ802" s="10"/>
      <c r="BA802" s="10"/>
      <c r="BB802" s="10"/>
    </row>
    <row r="803" spans="1:54" ht="15" x14ac:dyDescent="0.25">
      <c r="A803" s="70"/>
      <c r="B803" s="70"/>
      <c r="C803" s="71"/>
      <c r="D803" s="71"/>
      <c r="E803" s="71"/>
      <c r="F803" s="71"/>
      <c r="G803" s="71"/>
      <c r="H803" s="71"/>
      <c r="I803" s="71"/>
      <c r="J803" s="71"/>
      <c r="K803" s="71"/>
      <c r="L803" s="71"/>
      <c r="M803" s="73"/>
      <c r="N803" s="71"/>
      <c r="O803" s="19"/>
      <c r="P803" s="13"/>
      <c r="Q803" s="13"/>
      <c r="R803" s="13"/>
      <c r="S803" s="13"/>
      <c r="T803" s="13"/>
      <c r="U803" s="13"/>
      <c r="V803" s="13"/>
      <c r="W803" s="13"/>
      <c r="X803" s="13"/>
      <c r="AZ803" s="10"/>
      <c r="BA803" s="10"/>
      <c r="BB803" s="10"/>
    </row>
    <row r="804" spans="1:54" ht="15" x14ac:dyDescent="0.25">
      <c r="A804" s="70"/>
      <c r="B804" s="70"/>
      <c r="C804" s="71"/>
      <c r="D804" s="71"/>
      <c r="E804" s="71"/>
      <c r="F804" s="71"/>
      <c r="G804" s="71"/>
      <c r="H804" s="71"/>
      <c r="I804" s="71"/>
      <c r="J804" s="71"/>
      <c r="K804" s="71"/>
      <c r="L804" s="71"/>
      <c r="M804" s="73"/>
      <c r="N804" s="71"/>
      <c r="O804" s="19"/>
      <c r="P804" s="13"/>
      <c r="Q804" s="13"/>
      <c r="R804" s="13"/>
      <c r="S804" s="13"/>
      <c r="T804" s="13"/>
      <c r="U804" s="13"/>
      <c r="V804" s="13"/>
      <c r="W804" s="13"/>
      <c r="X804" s="13"/>
      <c r="AZ804" s="10"/>
      <c r="BA804" s="10"/>
      <c r="BB804" s="10"/>
    </row>
    <row r="805" spans="1:54" ht="15" x14ac:dyDescent="0.25">
      <c r="A805" s="70"/>
      <c r="B805" s="70"/>
      <c r="C805" s="71"/>
      <c r="D805" s="71"/>
      <c r="E805" s="71"/>
      <c r="F805" s="71"/>
      <c r="G805" s="71"/>
      <c r="H805" s="71"/>
      <c r="I805" s="71"/>
      <c r="J805" s="71"/>
      <c r="K805" s="71"/>
      <c r="L805" s="71"/>
      <c r="M805" s="73"/>
      <c r="N805" s="71"/>
      <c r="O805" s="19"/>
      <c r="P805" s="13"/>
      <c r="Q805" s="13"/>
      <c r="R805" s="13"/>
      <c r="S805" s="13"/>
      <c r="T805" s="13"/>
      <c r="U805" s="13"/>
      <c r="V805" s="13"/>
      <c r="W805" s="13"/>
      <c r="X805" s="13"/>
      <c r="AZ805" s="10"/>
      <c r="BA805" s="10"/>
      <c r="BB805" s="10"/>
    </row>
    <row r="806" spans="1:54" ht="15" x14ac:dyDescent="0.25">
      <c r="A806" s="70"/>
      <c r="B806" s="70"/>
      <c r="C806" s="71"/>
      <c r="D806" s="71"/>
      <c r="E806" s="71"/>
      <c r="F806" s="71"/>
      <c r="G806" s="71"/>
      <c r="H806" s="71"/>
      <c r="I806" s="71"/>
      <c r="J806" s="71"/>
      <c r="K806" s="71"/>
      <c r="L806" s="71"/>
      <c r="M806" s="73"/>
      <c r="N806" s="71"/>
      <c r="O806" s="19"/>
      <c r="P806" s="13"/>
      <c r="Q806" s="13"/>
      <c r="R806" s="13"/>
      <c r="S806" s="13"/>
      <c r="T806" s="13"/>
      <c r="U806" s="13"/>
      <c r="V806" s="13"/>
      <c r="W806" s="13"/>
      <c r="X806" s="13"/>
      <c r="AZ806" s="10"/>
      <c r="BA806" s="10"/>
      <c r="BB806" s="10"/>
    </row>
    <row r="807" spans="1:54" ht="15" x14ac:dyDescent="0.25">
      <c r="A807" s="70"/>
      <c r="B807" s="70"/>
      <c r="C807" s="71"/>
      <c r="D807" s="71"/>
      <c r="E807" s="71"/>
      <c r="F807" s="71"/>
      <c r="G807" s="71"/>
      <c r="H807" s="71"/>
      <c r="I807" s="71"/>
      <c r="J807" s="71"/>
      <c r="K807" s="71"/>
      <c r="L807" s="71"/>
      <c r="M807" s="73"/>
      <c r="N807" s="71"/>
      <c r="O807" s="19"/>
      <c r="P807" s="13"/>
      <c r="Q807" s="13"/>
      <c r="R807" s="13"/>
      <c r="S807" s="13"/>
      <c r="T807" s="13"/>
      <c r="U807" s="13"/>
      <c r="V807" s="13"/>
      <c r="W807" s="13"/>
      <c r="X807" s="13"/>
      <c r="AZ807" s="10"/>
      <c r="BA807" s="10"/>
      <c r="BB807" s="10"/>
    </row>
    <row r="808" spans="1:54" ht="15" x14ac:dyDescent="0.25">
      <c r="A808" s="70"/>
      <c r="B808" s="70"/>
      <c r="C808" s="71"/>
      <c r="D808" s="71"/>
      <c r="E808" s="71"/>
      <c r="F808" s="71"/>
      <c r="G808" s="71"/>
      <c r="H808" s="71"/>
      <c r="I808" s="71"/>
      <c r="J808" s="71"/>
      <c r="K808" s="71"/>
      <c r="L808" s="71"/>
      <c r="M808" s="73"/>
      <c r="N808" s="71"/>
      <c r="O808" s="19"/>
      <c r="P808" s="13"/>
      <c r="Q808" s="13"/>
      <c r="R808" s="13"/>
      <c r="S808" s="13"/>
      <c r="T808" s="13"/>
      <c r="U808" s="13"/>
      <c r="V808" s="13"/>
      <c r="W808" s="13"/>
      <c r="X808" s="13"/>
      <c r="AZ808" s="10"/>
      <c r="BA808" s="10"/>
      <c r="BB808" s="10"/>
    </row>
    <row r="809" spans="1:54" ht="15" x14ac:dyDescent="0.25">
      <c r="A809" s="70"/>
      <c r="B809" s="70"/>
      <c r="C809" s="71"/>
      <c r="D809" s="71"/>
      <c r="E809" s="71"/>
      <c r="F809" s="71"/>
      <c r="G809" s="71"/>
      <c r="H809" s="71"/>
      <c r="I809" s="71"/>
      <c r="J809" s="71"/>
      <c r="K809" s="71"/>
      <c r="L809" s="71"/>
      <c r="M809" s="73"/>
      <c r="N809" s="71"/>
      <c r="O809" s="19"/>
      <c r="P809" s="13"/>
      <c r="Q809" s="13"/>
      <c r="R809" s="13"/>
      <c r="S809" s="13"/>
      <c r="T809" s="13"/>
      <c r="U809" s="13"/>
      <c r="V809" s="13"/>
      <c r="W809" s="13"/>
      <c r="X809" s="13"/>
      <c r="AZ809" s="10"/>
      <c r="BA809" s="10"/>
      <c r="BB809" s="10"/>
    </row>
    <row r="810" spans="1:54" ht="15" x14ac:dyDescent="0.25">
      <c r="A810" s="70"/>
      <c r="B810" s="70"/>
      <c r="C810" s="71"/>
      <c r="D810" s="71"/>
      <c r="E810" s="71"/>
      <c r="F810" s="71"/>
      <c r="G810" s="71"/>
      <c r="H810" s="71"/>
      <c r="I810" s="71"/>
      <c r="J810" s="71"/>
      <c r="K810" s="71"/>
      <c r="L810" s="71"/>
      <c r="M810" s="73"/>
      <c r="N810" s="71"/>
      <c r="O810" s="19"/>
      <c r="P810" s="13"/>
      <c r="Q810" s="13"/>
      <c r="R810" s="13"/>
      <c r="S810" s="13"/>
      <c r="T810" s="13"/>
      <c r="U810" s="13"/>
      <c r="V810" s="13"/>
      <c r="W810" s="13"/>
      <c r="X810" s="13"/>
      <c r="AZ810" s="10"/>
      <c r="BA810" s="10"/>
      <c r="BB810" s="10"/>
    </row>
    <row r="811" spans="1:54" ht="15" x14ac:dyDescent="0.25">
      <c r="A811" s="70"/>
      <c r="B811" s="70"/>
      <c r="C811" s="71"/>
      <c r="D811" s="71"/>
      <c r="E811" s="71"/>
      <c r="F811" s="71"/>
      <c r="G811" s="71"/>
      <c r="H811" s="71"/>
      <c r="I811" s="71"/>
      <c r="J811" s="71"/>
      <c r="K811" s="71"/>
      <c r="L811" s="71"/>
      <c r="M811" s="73"/>
      <c r="N811" s="71"/>
      <c r="O811" s="19"/>
      <c r="P811" s="13"/>
      <c r="Q811" s="13"/>
      <c r="R811" s="13"/>
      <c r="S811" s="13"/>
      <c r="T811" s="13"/>
      <c r="U811" s="13"/>
      <c r="V811" s="13"/>
      <c r="W811" s="13"/>
      <c r="X811" s="13"/>
      <c r="AZ811" s="10"/>
      <c r="BA811" s="10"/>
      <c r="BB811" s="10"/>
    </row>
    <row r="812" spans="1:54" ht="15" x14ac:dyDescent="0.25">
      <c r="A812" s="70"/>
      <c r="B812" s="70"/>
      <c r="C812" s="71"/>
      <c r="D812" s="71"/>
      <c r="E812" s="71"/>
      <c r="F812" s="71"/>
      <c r="G812" s="71"/>
      <c r="H812" s="71"/>
      <c r="I812" s="71"/>
      <c r="J812" s="71"/>
      <c r="K812" s="71"/>
      <c r="L812" s="71"/>
      <c r="M812" s="73"/>
      <c r="N812" s="71"/>
      <c r="O812" s="19"/>
      <c r="P812" s="13"/>
      <c r="Q812" s="13"/>
      <c r="R812" s="13"/>
      <c r="S812" s="13"/>
      <c r="T812" s="13"/>
      <c r="U812" s="13"/>
      <c r="V812" s="13"/>
      <c r="W812" s="13"/>
      <c r="X812" s="13"/>
      <c r="AZ812" s="10"/>
      <c r="BA812" s="10"/>
      <c r="BB812" s="10"/>
    </row>
    <row r="813" spans="1:54" ht="15" x14ac:dyDescent="0.25">
      <c r="A813" s="70"/>
      <c r="B813" s="70"/>
      <c r="C813" s="71"/>
      <c r="D813" s="71"/>
      <c r="E813" s="71"/>
      <c r="F813" s="71"/>
      <c r="G813" s="71"/>
      <c r="H813" s="71"/>
      <c r="I813" s="71"/>
      <c r="J813" s="71"/>
      <c r="K813" s="71"/>
      <c r="L813" s="71"/>
      <c r="M813" s="73"/>
      <c r="N813" s="71"/>
      <c r="O813" s="19"/>
      <c r="P813" s="13"/>
      <c r="Q813" s="13"/>
      <c r="R813" s="13"/>
      <c r="S813" s="13"/>
      <c r="T813" s="13"/>
      <c r="U813" s="13"/>
      <c r="V813" s="13"/>
      <c r="W813" s="13"/>
      <c r="X813" s="13"/>
      <c r="AZ813" s="10"/>
      <c r="BA813" s="10"/>
      <c r="BB813" s="10"/>
    </row>
    <row r="814" spans="1:54" ht="15" x14ac:dyDescent="0.25">
      <c r="A814" s="70"/>
      <c r="B814" s="70"/>
      <c r="C814" s="71"/>
      <c r="D814" s="71"/>
      <c r="E814" s="71"/>
      <c r="F814" s="71"/>
      <c r="G814" s="71"/>
      <c r="H814" s="71"/>
      <c r="I814" s="71"/>
      <c r="J814" s="71"/>
      <c r="K814" s="71"/>
      <c r="L814" s="71"/>
      <c r="M814" s="73"/>
      <c r="N814" s="71"/>
      <c r="O814" s="19"/>
      <c r="P814" s="13"/>
      <c r="Q814" s="13"/>
      <c r="R814" s="13"/>
      <c r="S814" s="13"/>
      <c r="T814" s="13"/>
      <c r="U814" s="13"/>
      <c r="V814" s="13"/>
      <c r="W814" s="13"/>
      <c r="X814" s="13"/>
      <c r="AZ814" s="10"/>
      <c r="BA814" s="10"/>
      <c r="BB814" s="10"/>
    </row>
    <row r="815" spans="1:54" ht="15" x14ac:dyDescent="0.25">
      <c r="A815" s="70"/>
      <c r="B815" s="70"/>
      <c r="C815" s="71"/>
      <c r="D815" s="71"/>
      <c r="E815" s="71"/>
      <c r="F815" s="71"/>
      <c r="G815" s="71"/>
      <c r="H815" s="71"/>
      <c r="I815" s="71"/>
      <c r="J815" s="71"/>
      <c r="K815" s="71"/>
      <c r="L815" s="71"/>
      <c r="M815" s="73"/>
      <c r="N815" s="71"/>
      <c r="O815" s="19"/>
      <c r="P815" s="13"/>
      <c r="Q815" s="13"/>
      <c r="R815" s="13"/>
      <c r="S815" s="13"/>
      <c r="T815" s="13"/>
      <c r="U815" s="13"/>
      <c r="V815" s="13"/>
      <c r="W815" s="13"/>
      <c r="X815" s="13"/>
      <c r="AZ815" s="10"/>
      <c r="BA815" s="10"/>
      <c r="BB815" s="10"/>
    </row>
    <row r="816" spans="1:54" ht="15" x14ac:dyDescent="0.25">
      <c r="A816" s="70"/>
      <c r="B816" s="70"/>
      <c r="C816" s="71"/>
      <c r="D816" s="71"/>
      <c r="E816" s="71"/>
      <c r="F816" s="71"/>
      <c r="G816" s="71"/>
      <c r="H816" s="71"/>
      <c r="I816" s="71"/>
      <c r="J816" s="71"/>
      <c r="K816" s="71"/>
      <c r="L816" s="71"/>
      <c r="M816" s="73"/>
      <c r="N816" s="71"/>
      <c r="O816" s="19"/>
      <c r="P816" s="13"/>
      <c r="Q816" s="13"/>
      <c r="R816" s="13"/>
      <c r="S816" s="13"/>
      <c r="T816" s="13"/>
      <c r="U816" s="13"/>
      <c r="V816" s="13"/>
      <c r="W816" s="13"/>
      <c r="X816" s="13"/>
      <c r="AZ816" s="10"/>
      <c r="BA816" s="10"/>
      <c r="BB816" s="10"/>
    </row>
    <row r="817" spans="1:54" ht="15" x14ac:dyDescent="0.25">
      <c r="A817" s="70"/>
      <c r="B817" s="70"/>
      <c r="C817" s="71"/>
      <c r="D817" s="71"/>
      <c r="E817" s="71"/>
      <c r="F817" s="71"/>
      <c r="G817" s="71"/>
      <c r="H817" s="71"/>
      <c r="I817" s="71"/>
      <c r="J817" s="71"/>
      <c r="K817" s="71"/>
      <c r="L817" s="71"/>
      <c r="M817" s="73"/>
      <c r="N817" s="71"/>
      <c r="O817" s="19"/>
      <c r="P817" s="13"/>
      <c r="Q817" s="13"/>
      <c r="R817" s="13"/>
      <c r="S817" s="13"/>
      <c r="T817" s="13"/>
      <c r="U817" s="13"/>
      <c r="V817" s="13"/>
      <c r="W817" s="13"/>
      <c r="X817" s="13"/>
      <c r="AZ817" s="10"/>
      <c r="BA817" s="10"/>
      <c r="BB817" s="10"/>
    </row>
    <row r="818" spans="1:54" ht="15" x14ac:dyDescent="0.25">
      <c r="A818" s="70"/>
      <c r="B818" s="70"/>
      <c r="C818" s="71"/>
      <c r="D818" s="71"/>
      <c r="E818" s="71"/>
      <c r="F818" s="71"/>
      <c r="G818" s="71"/>
      <c r="H818" s="71"/>
      <c r="I818" s="71"/>
      <c r="J818" s="71"/>
      <c r="K818" s="71"/>
      <c r="L818" s="71"/>
      <c r="M818" s="73"/>
      <c r="N818" s="71"/>
      <c r="O818" s="19"/>
      <c r="P818" s="13"/>
      <c r="Q818" s="13"/>
      <c r="R818" s="13"/>
      <c r="S818" s="13"/>
      <c r="T818" s="13"/>
      <c r="U818" s="13"/>
      <c r="V818" s="13"/>
      <c r="W818" s="13"/>
      <c r="X818" s="13"/>
      <c r="AZ818" s="10"/>
      <c r="BA818" s="10"/>
      <c r="BB818" s="10"/>
    </row>
    <row r="819" spans="1:54" ht="15" x14ac:dyDescent="0.25">
      <c r="A819" s="70"/>
      <c r="B819" s="70"/>
      <c r="C819" s="71"/>
      <c r="D819" s="71"/>
      <c r="E819" s="71"/>
      <c r="F819" s="71"/>
      <c r="G819" s="71"/>
      <c r="H819" s="71"/>
      <c r="I819" s="71"/>
      <c r="J819" s="71"/>
      <c r="K819" s="71"/>
      <c r="L819" s="71"/>
      <c r="M819" s="73"/>
      <c r="N819" s="71"/>
      <c r="O819" s="19"/>
      <c r="P819" s="13"/>
      <c r="Q819" s="13"/>
      <c r="R819" s="13"/>
      <c r="S819" s="13"/>
      <c r="T819" s="13"/>
      <c r="U819" s="13"/>
      <c r="V819" s="13"/>
      <c r="W819" s="13"/>
      <c r="X819" s="13"/>
      <c r="AZ819" s="10"/>
      <c r="BA819" s="10"/>
      <c r="BB819" s="10"/>
    </row>
    <row r="820" spans="1:54" ht="15" x14ac:dyDescent="0.25">
      <c r="A820" s="70"/>
      <c r="B820" s="70"/>
      <c r="C820" s="71"/>
      <c r="D820" s="71"/>
      <c r="E820" s="71"/>
      <c r="F820" s="71"/>
      <c r="G820" s="71"/>
      <c r="H820" s="71"/>
      <c r="I820" s="71"/>
      <c r="J820" s="71"/>
      <c r="K820" s="71"/>
      <c r="L820" s="71"/>
      <c r="M820" s="73"/>
      <c r="N820" s="71"/>
      <c r="O820" s="19"/>
      <c r="P820" s="13"/>
      <c r="Q820" s="13"/>
      <c r="R820" s="13"/>
      <c r="S820" s="13"/>
      <c r="T820" s="13"/>
      <c r="U820" s="13"/>
      <c r="V820" s="13"/>
      <c r="W820" s="13"/>
      <c r="X820" s="13"/>
      <c r="AZ820" s="10"/>
      <c r="BA820" s="10"/>
      <c r="BB820" s="10"/>
    </row>
    <row r="821" spans="1:54" ht="15" x14ac:dyDescent="0.25">
      <c r="A821" s="70"/>
      <c r="B821" s="70"/>
      <c r="C821" s="71"/>
      <c r="D821" s="71"/>
      <c r="E821" s="71"/>
      <c r="F821" s="71"/>
      <c r="G821" s="71"/>
      <c r="H821" s="71"/>
      <c r="I821" s="71"/>
      <c r="J821" s="71"/>
      <c r="K821" s="71"/>
      <c r="L821" s="71"/>
      <c r="M821" s="73"/>
      <c r="N821" s="71"/>
      <c r="O821" s="19"/>
      <c r="P821" s="13"/>
      <c r="Q821" s="13"/>
      <c r="R821" s="13"/>
      <c r="S821" s="13"/>
      <c r="T821" s="13"/>
      <c r="U821" s="13"/>
      <c r="V821" s="13"/>
      <c r="W821" s="13"/>
      <c r="X821" s="13"/>
      <c r="AZ821" s="10"/>
      <c r="BA821" s="10"/>
      <c r="BB821" s="10"/>
    </row>
    <row r="822" spans="1:54" ht="15" x14ac:dyDescent="0.25">
      <c r="A822" s="70"/>
      <c r="B822" s="70"/>
      <c r="C822" s="71"/>
      <c r="D822" s="71"/>
      <c r="E822" s="71"/>
      <c r="F822" s="71"/>
      <c r="G822" s="71"/>
      <c r="H822" s="71"/>
      <c r="I822" s="71"/>
      <c r="J822" s="71"/>
      <c r="K822" s="71"/>
      <c r="L822" s="71"/>
      <c r="M822" s="73"/>
      <c r="N822" s="71"/>
      <c r="O822" s="19"/>
      <c r="P822" s="13"/>
      <c r="Q822" s="13"/>
      <c r="R822" s="13"/>
      <c r="S822" s="13"/>
      <c r="T822" s="13"/>
      <c r="U822" s="13"/>
      <c r="V822" s="13"/>
      <c r="W822" s="13"/>
      <c r="X822" s="13"/>
      <c r="AZ822" s="10"/>
      <c r="BA822" s="10"/>
      <c r="BB822" s="10"/>
    </row>
    <row r="823" spans="1:54" ht="15" x14ac:dyDescent="0.25">
      <c r="A823" s="70"/>
      <c r="B823" s="70"/>
      <c r="C823" s="71"/>
      <c r="D823" s="71"/>
      <c r="E823" s="71"/>
      <c r="F823" s="71"/>
      <c r="G823" s="71"/>
      <c r="H823" s="71"/>
      <c r="I823" s="71"/>
      <c r="J823" s="71"/>
      <c r="K823" s="71"/>
      <c r="L823" s="71"/>
      <c r="M823" s="73"/>
      <c r="N823" s="71"/>
      <c r="O823" s="19"/>
      <c r="P823" s="13"/>
      <c r="Q823" s="13"/>
      <c r="R823" s="13"/>
      <c r="S823" s="13"/>
      <c r="T823" s="13"/>
      <c r="U823" s="13"/>
      <c r="V823" s="13"/>
      <c r="W823" s="13"/>
      <c r="X823" s="13"/>
      <c r="AZ823" s="10"/>
      <c r="BA823" s="10"/>
      <c r="BB823" s="10"/>
    </row>
    <row r="824" spans="1:54" ht="15" x14ac:dyDescent="0.25">
      <c r="A824" s="70"/>
      <c r="B824" s="70"/>
      <c r="C824" s="71"/>
      <c r="D824" s="71"/>
      <c r="E824" s="71"/>
      <c r="F824" s="71"/>
      <c r="G824" s="71"/>
      <c r="H824" s="71"/>
      <c r="I824" s="71"/>
      <c r="J824" s="71"/>
      <c r="K824" s="71"/>
      <c r="L824" s="71"/>
      <c r="M824" s="73"/>
      <c r="N824" s="71"/>
      <c r="O824" s="19"/>
      <c r="P824" s="13"/>
      <c r="Q824" s="13"/>
      <c r="R824" s="13"/>
      <c r="S824" s="13"/>
      <c r="T824" s="13"/>
      <c r="U824" s="13"/>
      <c r="V824" s="13"/>
      <c r="W824" s="13"/>
      <c r="X824" s="13"/>
      <c r="AZ824" s="10"/>
      <c r="BA824" s="10"/>
      <c r="BB824" s="10"/>
    </row>
    <row r="825" spans="1:54" ht="15" x14ac:dyDescent="0.25">
      <c r="A825" s="70"/>
      <c r="B825" s="70"/>
      <c r="C825" s="71"/>
      <c r="D825" s="71"/>
      <c r="E825" s="71"/>
      <c r="F825" s="71"/>
      <c r="G825" s="71"/>
      <c r="H825" s="71"/>
      <c r="I825" s="71"/>
      <c r="J825" s="71"/>
      <c r="K825" s="71"/>
      <c r="L825" s="71"/>
      <c r="M825" s="73"/>
      <c r="N825" s="71"/>
      <c r="O825" s="19"/>
      <c r="P825" s="13"/>
      <c r="Q825" s="13"/>
      <c r="R825" s="13"/>
      <c r="S825" s="13"/>
      <c r="T825" s="13"/>
      <c r="U825" s="13"/>
      <c r="V825" s="13"/>
      <c r="W825" s="13"/>
      <c r="X825" s="13"/>
      <c r="AZ825" s="10"/>
      <c r="BA825" s="10"/>
      <c r="BB825" s="10"/>
    </row>
    <row r="826" spans="1:54" ht="15" x14ac:dyDescent="0.25">
      <c r="A826" s="70"/>
      <c r="B826" s="70"/>
      <c r="C826" s="71"/>
      <c r="D826" s="71"/>
      <c r="E826" s="71"/>
      <c r="F826" s="71"/>
      <c r="G826" s="71"/>
      <c r="H826" s="71"/>
      <c r="I826" s="71"/>
      <c r="J826" s="71"/>
      <c r="K826" s="71"/>
      <c r="L826" s="71"/>
      <c r="M826" s="73"/>
      <c r="N826" s="71"/>
      <c r="O826" s="19"/>
      <c r="P826" s="13"/>
      <c r="Q826" s="13"/>
      <c r="R826" s="13"/>
      <c r="S826" s="13"/>
      <c r="T826" s="13"/>
      <c r="U826" s="13"/>
      <c r="V826" s="13"/>
      <c r="W826" s="13"/>
      <c r="X826" s="13"/>
      <c r="AZ826" s="10"/>
      <c r="BA826" s="10"/>
      <c r="BB826" s="10"/>
    </row>
    <row r="827" spans="1:54" ht="15" x14ac:dyDescent="0.25">
      <c r="A827" s="70"/>
      <c r="B827" s="70"/>
      <c r="C827" s="71"/>
      <c r="D827" s="71"/>
      <c r="E827" s="71"/>
      <c r="F827" s="71"/>
      <c r="G827" s="71"/>
      <c r="H827" s="71"/>
      <c r="I827" s="71"/>
      <c r="J827" s="71"/>
      <c r="K827" s="71"/>
      <c r="L827" s="71"/>
      <c r="M827" s="73"/>
      <c r="N827" s="71"/>
      <c r="O827" s="19"/>
      <c r="P827" s="13"/>
      <c r="Q827" s="13"/>
      <c r="R827" s="13"/>
      <c r="S827" s="13"/>
      <c r="T827" s="13"/>
      <c r="U827" s="13"/>
      <c r="V827" s="13"/>
      <c r="W827" s="13"/>
      <c r="X827" s="13"/>
      <c r="AZ827" s="10"/>
      <c r="BA827" s="10"/>
      <c r="BB827" s="10"/>
    </row>
    <row r="828" spans="1:54" ht="15" x14ac:dyDescent="0.25">
      <c r="A828" s="70"/>
      <c r="B828" s="70"/>
      <c r="C828" s="71"/>
      <c r="D828" s="71"/>
      <c r="E828" s="71"/>
      <c r="F828" s="71"/>
      <c r="G828" s="71"/>
      <c r="H828" s="71"/>
      <c r="I828" s="71"/>
      <c r="J828" s="71"/>
      <c r="K828" s="71"/>
      <c r="L828" s="71"/>
      <c r="M828" s="73"/>
      <c r="N828" s="71"/>
      <c r="O828" s="19"/>
      <c r="P828" s="13"/>
      <c r="Q828" s="13"/>
      <c r="R828" s="13"/>
      <c r="S828" s="13"/>
      <c r="T828" s="13"/>
      <c r="U828" s="13"/>
      <c r="V828" s="13"/>
      <c r="W828" s="13"/>
      <c r="X828" s="13"/>
      <c r="AZ828" s="10"/>
      <c r="BA828" s="10"/>
      <c r="BB828" s="10"/>
    </row>
    <row r="829" spans="1:54" ht="15" x14ac:dyDescent="0.25">
      <c r="A829" s="70"/>
      <c r="B829" s="70"/>
      <c r="C829" s="71"/>
      <c r="D829" s="71"/>
      <c r="E829" s="71"/>
      <c r="F829" s="71"/>
      <c r="G829" s="71"/>
      <c r="H829" s="71"/>
      <c r="I829" s="71"/>
      <c r="J829" s="71"/>
      <c r="K829" s="71"/>
      <c r="L829" s="71"/>
      <c r="M829" s="73"/>
      <c r="N829" s="71"/>
      <c r="O829" s="19"/>
      <c r="P829" s="13"/>
      <c r="Q829" s="13"/>
      <c r="R829" s="13"/>
      <c r="S829" s="13"/>
      <c r="T829" s="13"/>
      <c r="U829" s="13"/>
      <c r="V829" s="13"/>
      <c r="W829" s="13"/>
      <c r="X829" s="13"/>
      <c r="AZ829" s="10"/>
      <c r="BA829" s="10"/>
      <c r="BB829" s="10"/>
    </row>
    <row r="830" spans="1:54" ht="15" x14ac:dyDescent="0.25">
      <c r="A830" s="70"/>
      <c r="B830" s="70"/>
      <c r="C830" s="71"/>
      <c r="D830" s="71"/>
      <c r="E830" s="71"/>
      <c r="F830" s="71"/>
      <c r="G830" s="71"/>
      <c r="H830" s="71"/>
      <c r="I830" s="71"/>
      <c r="J830" s="71"/>
      <c r="K830" s="71"/>
      <c r="L830" s="71"/>
      <c r="M830" s="73"/>
      <c r="N830" s="71"/>
      <c r="O830" s="19"/>
      <c r="P830" s="13"/>
      <c r="Q830" s="13"/>
      <c r="R830" s="13"/>
      <c r="S830" s="13"/>
      <c r="T830" s="13"/>
      <c r="U830" s="13"/>
      <c r="V830" s="13"/>
      <c r="W830" s="13"/>
      <c r="X830" s="13"/>
      <c r="AZ830" s="10"/>
      <c r="BA830" s="10"/>
      <c r="BB830" s="10"/>
    </row>
    <row r="831" spans="1:54" ht="15" x14ac:dyDescent="0.25">
      <c r="A831" s="70"/>
      <c r="B831" s="70"/>
      <c r="C831" s="71"/>
      <c r="D831" s="71"/>
      <c r="E831" s="71"/>
      <c r="F831" s="71"/>
      <c r="G831" s="71"/>
      <c r="H831" s="71"/>
      <c r="I831" s="71"/>
      <c r="J831" s="71"/>
      <c r="K831" s="71"/>
      <c r="L831" s="71"/>
      <c r="M831" s="73"/>
      <c r="N831" s="71"/>
      <c r="O831" s="19"/>
      <c r="P831" s="13"/>
      <c r="Q831" s="13"/>
      <c r="R831" s="13"/>
      <c r="S831" s="13"/>
      <c r="T831" s="13"/>
      <c r="U831" s="13"/>
      <c r="V831" s="13"/>
      <c r="W831" s="13"/>
      <c r="X831" s="13"/>
      <c r="AZ831" s="10"/>
      <c r="BA831" s="10"/>
      <c r="BB831" s="10"/>
    </row>
    <row r="832" spans="1:54" ht="15" x14ac:dyDescent="0.25">
      <c r="A832" s="70"/>
      <c r="B832" s="70"/>
      <c r="C832" s="71"/>
      <c r="D832" s="71"/>
      <c r="E832" s="71"/>
      <c r="F832" s="71"/>
      <c r="G832" s="71"/>
      <c r="H832" s="71"/>
      <c r="I832" s="71"/>
      <c r="J832" s="71"/>
      <c r="K832" s="71"/>
      <c r="L832" s="71"/>
      <c r="M832" s="73"/>
      <c r="N832" s="71"/>
      <c r="O832" s="19"/>
      <c r="P832" s="13"/>
      <c r="Q832" s="13"/>
      <c r="R832" s="13"/>
      <c r="S832" s="13"/>
      <c r="T832" s="13"/>
      <c r="U832" s="13"/>
      <c r="V832" s="13"/>
      <c r="W832" s="13"/>
      <c r="X832" s="13"/>
      <c r="AZ832" s="10"/>
      <c r="BA832" s="10"/>
      <c r="BB832" s="10"/>
    </row>
    <row r="833" spans="1:54" ht="15" x14ac:dyDescent="0.25">
      <c r="A833" s="70"/>
      <c r="B833" s="70"/>
      <c r="C833" s="71"/>
      <c r="D833" s="71"/>
      <c r="E833" s="71"/>
      <c r="F833" s="71"/>
      <c r="G833" s="71"/>
      <c r="H833" s="71"/>
      <c r="I833" s="71"/>
      <c r="J833" s="71"/>
      <c r="K833" s="71"/>
      <c r="L833" s="71"/>
      <c r="M833" s="73"/>
      <c r="N833" s="71"/>
      <c r="O833" s="19"/>
      <c r="P833" s="13"/>
      <c r="Q833" s="13"/>
      <c r="R833" s="13"/>
      <c r="S833" s="13"/>
      <c r="T833" s="13"/>
      <c r="U833" s="13"/>
      <c r="V833" s="13"/>
      <c r="W833" s="13"/>
      <c r="X833" s="13"/>
      <c r="AZ833" s="10"/>
      <c r="BA833" s="10"/>
      <c r="BB833" s="10"/>
    </row>
    <row r="834" spans="1:54" ht="15" x14ac:dyDescent="0.25">
      <c r="A834" s="70"/>
      <c r="B834" s="70"/>
      <c r="C834" s="71"/>
      <c r="D834" s="71"/>
      <c r="E834" s="71"/>
      <c r="F834" s="71"/>
      <c r="G834" s="71"/>
      <c r="H834" s="71"/>
      <c r="I834" s="71"/>
      <c r="J834" s="71"/>
      <c r="K834" s="71"/>
      <c r="L834" s="71"/>
      <c r="M834" s="73"/>
      <c r="N834" s="71"/>
      <c r="O834" s="19"/>
      <c r="P834" s="13"/>
      <c r="Q834" s="13"/>
      <c r="R834" s="13"/>
      <c r="S834" s="13"/>
      <c r="T834" s="13"/>
      <c r="U834" s="13"/>
      <c r="V834" s="13"/>
      <c r="W834" s="13"/>
      <c r="X834" s="13"/>
      <c r="AZ834" s="10"/>
      <c r="BA834" s="10"/>
      <c r="BB834" s="10"/>
    </row>
    <row r="835" spans="1:54" ht="15" x14ac:dyDescent="0.25">
      <c r="A835" s="70"/>
      <c r="B835" s="70"/>
      <c r="C835" s="71"/>
      <c r="D835" s="71"/>
      <c r="E835" s="71"/>
      <c r="F835" s="71"/>
      <c r="G835" s="71"/>
      <c r="H835" s="71"/>
      <c r="I835" s="71"/>
      <c r="J835" s="71"/>
      <c r="K835" s="71"/>
      <c r="L835" s="71"/>
      <c r="M835" s="73"/>
      <c r="N835" s="71"/>
      <c r="O835" s="19"/>
      <c r="P835" s="13"/>
      <c r="Q835" s="13"/>
      <c r="R835" s="13"/>
      <c r="S835" s="13"/>
      <c r="T835" s="13"/>
      <c r="U835" s="13"/>
      <c r="V835" s="13"/>
      <c r="W835" s="13"/>
      <c r="X835" s="13"/>
      <c r="AZ835" s="10"/>
      <c r="BA835" s="10"/>
      <c r="BB835" s="10"/>
    </row>
    <row r="836" spans="1:54" ht="15" x14ac:dyDescent="0.25">
      <c r="A836" s="70"/>
      <c r="B836" s="70"/>
      <c r="C836" s="71"/>
      <c r="D836" s="71"/>
      <c r="E836" s="71"/>
      <c r="F836" s="71"/>
      <c r="G836" s="71"/>
      <c r="H836" s="71"/>
      <c r="I836" s="71"/>
      <c r="J836" s="71"/>
      <c r="K836" s="71"/>
      <c r="L836" s="71"/>
      <c r="M836" s="73"/>
      <c r="N836" s="71"/>
      <c r="O836" s="19"/>
      <c r="P836" s="13"/>
      <c r="Q836" s="13"/>
      <c r="R836" s="13"/>
      <c r="S836" s="13"/>
      <c r="T836" s="13"/>
      <c r="U836" s="13"/>
      <c r="V836" s="13"/>
      <c r="W836" s="13"/>
      <c r="X836" s="13"/>
      <c r="AZ836" s="10"/>
      <c r="BA836" s="10"/>
      <c r="BB836" s="10"/>
    </row>
    <row r="837" spans="1:54" ht="15" x14ac:dyDescent="0.25">
      <c r="A837" s="70"/>
      <c r="B837" s="70"/>
      <c r="C837" s="71"/>
      <c r="D837" s="71"/>
      <c r="E837" s="71"/>
      <c r="F837" s="71"/>
      <c r="G837" s="71"/>
      <c r="H837" s="71"/>
      <c r="I837" s="71"/>
      <c r="J837" s="71"/>
      <c r="K837" s="71"/>
      <c r="L837" s="71"/>
      <c r="M837" s="73"/>
      <c r="N837" s="71"/>
      <c r="O837" s="19"/>
      <c r="P837" s="13"/>
      <c r="Q837" s="13"/>
      <c r="R837" s="13"/>
      <c r="S837" s="13"/>
      <c r="T837" s="13"/>
      <c r="U837" s="13"/>
      <c r="V837" s="13"/>
      <c r="W837" s="13"/>
      <c r="X837" s="13"/>
      <c r="AZ837" s="10"/>
      <c r="BA837" s="10"/>
      <c r="BB837" s="10"/>
    </row>
    <row r="838" spans="1:54" ht="15" x14ac:dyDescent="0.25">
      <c r="A838" s="70"/>
      <c r="B838" s="70"/>
      <c r="C838" s="71"/>
      <c r="D838" s="71"/>
      <c r="E838" s="71"/>
      <c r="F838" s="71"/>
      <c r="G838" s="71"/>
      <c r="H838" s="71"/>
      <c r="I838" s="71"/>
      <c r="J838" s="71"/>
      <c r="K838" s="71"/>
      <c r="L838" s="71"/>
      <c r="M838" s="73"/>
      <c r="N838" s="71"/>
      <c r="O838" s="19"/>
      <c r="P838" s="13"/>
      <c r="Q838" s="13"/>
      <c r="R838" s="13"/>
      <c r="S838" s="13"/>
      <c r="T838" s="13"/>
      <c r="U838" s="13"/>
      <c r="V838" s="13"/>
      <c r="W838" s="13"/>
      <c r="X838" s="13"/>
      <c r="AZ838" s="10"/>
      <c r="BA838" s="10"/>
      <c r="BB838" s="10"/>
    </row>
    <row r="839" spans="1:54" ht="15" x14ac:dyDescent="0.25">
      <c r="A839" s="70"/>
      <c r="B839" s="70"/>
      <c r="C839" s="71"/>
      <c r="D839" s="71"/>
      <c r="E839" s="71"/>
      <c r="F839" s="71"/>
      <c r="G839" s="71"/>
      <c r="H839" s="71"/>
      <c r="I839" s="71"/>
      <c r="J839" s="71"/>
      <c r="K839" s="71"/>
      <c r="L839" s="71"/>
      <c r="M839" s="71"/>
      <c r="N839" s="19"/>
      <c r="O839" s="13"/>
      <c r="P839" s="13"/>
      <c r="Q839" s="13"/>
      <c r="R839" s="13"/>
      <c r="S839" s="13"/>
      <c r="T839" s="13"/>
      <c r="U839" s="13"/>
      <c r="V839" s="13"/>
      <c r="W839" s="13"/>
      <c r="AY839" s="10"/>
      <c r="AZ839" s="10"/>
      <c r="BA839" s="10"/>
    </row>
    <row r="840" spans="1:54" ht="15" x14ac:dyDescent="0.25">
      <c r="A840" s="70"/>
      <c r="B840" s="70"/>
      <c r="C840" s="71"/>
      <c r="D840" s="71"/>
      <c r="E840" s="71"/>
      <c r="F840" s="71"/>
      <c r="G840" s="71"/>
      <c r="H840" s="71"/>
      <c r="I840" s="71"/>
      <c r="J840" s="71"/>
      <c r="K840" s="71"/>
      <c r="L840" s="71"/>
      <c r="M840" s="71"/>
      <c r="N840" s="19"/>
      <c r="O840" s="13"/>
      <c r="P840" s="13"/>
      <c r="Q840" s="13"/>
      <c r="R840" s="13"/>
      <c r="S840" s="13"/>
      <c r="T840" s="13"/>
      <c r="U840" s="13"/>
      <c r="V840" s="13"/>
      <c r="W840" s="13"/>
      <c r="AY840" s="10"/>
      <c r="AZ840" s="10"/>
      <c r="BA840" s="10"/>
    </row>
    <row r="841" spans="1:54" ht="15" x14ac:dyDescent="0.25">
      <c r="A841" s="70"/>
      <c r="B841" s="70"/>
      <c r="C841" s="71"/>
      <c r="D841" s="71"/>
      <c r="E841" s="71"/>
      <c r="F841" s="71"/>
      <c r="G841" s="71"/>
      <c r="H841" s="71"/>
      <c r="I841" s="71"/>
      <c r="J841" s="71"/>
      <c r="K841" s="71"/>
      <c r="L841" s="71"/>
      <c r="M841" s="71"/>
      <c r="N841" s="19"/>
      <c r="O841" s="13"/>
      <c r="P841" s="13"/>
      <c r="Q841" s="13"/>
      <c r="R841" s="13"/>
      <c r="S841" s="13"/>
      <c r="T841" s="13"/>
      <c r="U841" s="13"/>
      <c r="V841" s="13"/>
      <c r="W841" s="13"/>
      <c r="AY841" s="10"/>
      <c r="AZ841" s="10"/>
      <c r="BA841" s="10"/>
    </row>
    <row r="842" spans="1:54" ht="15" x14ac:dyDescent="0.25">
      <c r="A842" s="70"/>
      <c r="B842" s="70"/>
      <c r="C842" s="71"/>
      <c r="D842" s="71"/>
      <c r="E842" s="71"/>
      <c r="F842" s="71"/>
      <c r="G842" s="71"/>
      <c r="H842" s="71"/>
      <c r="I842" s="71"/>
      <c r="J842" s="71"/>
      <c r="K842" s="71"/>
      <c r="L842" s="71"/>
      <c r="M842" s="71"/>
      <c r="N842" s="19"/>
      <c r="O842" s="13"/>
      <c r="P842" s="13"/>
      <c r="Q842" s="13"/>
      <c r="R842" s="13"/>
      <c r="S842" s="13"/>
      <c r="T842" s="13"/>
      <c r="U842" s="13"/>
      <c r="V842" s="13"/>
      <c r="W842" s="13"/>
      <c r="AY842" s="10"/>
      <c r="AZ842" s="10"/>
      <c r="BA842" s="10"/>
    </row>
    <row r="843" spans="1:54" ht="15" x14ac:dyDescent="0.25">
      <c r="A843" s="70"/>
      <c r="B843" s="70"/>
      <c r="C843" s="71"/>
      <c r="D843" s="71"/>
      <c r="E843" s="71"/>
      <c r="F843" s="71"/>
      <c r="G843" s="71"/>
      <c r="H843" s="71"/>
      <c r="I843" s="71"/>
      <c r="J843" s="71"/>
      <c r="K843" s="71"/>
      <c r="L843" s="71"/>
      <c r="M843" s="71"/>
      <c r="N843" s="19"/>
      <c r="O843" s="13"/>
      <c r="P843" s="13"/>
      <c r="Q843" s="13"/>
      <c r="R843" s="13"/>
      <c r="S843" s="13"/>
      <c r="T843" s="13"/>
      <c r="U843" s="13"/>
      <c r="V843" s="13"/>
      <c r="W843" s="13"/>
      <c r="AY843" s="10"/>
      <c r="AZ843" s="10"/>
      <c r="BA843" s="10"/>
    </row>
    <row r="844" spans="1:54" ht="15" x14ac:dyDescent="0.25">
      <c r="A844" s="70"/>
      <c r="B844" s="70"/>
      <c r="C844" s="71"/>
      <c r="D844" s="71"/>
      <c r="E844" s="71"/>
      <c r="F844" s="71"/>
      <c r="G844" s="71"/>
      <c r="H844" s="71"/>
      <c r="I844" s="71"/>
      <c r="J844" s="71"/>
      <c r="K844" s="71"/>
      <c r="L844" s="71"/>
      <c r="M844" s="71"/>
      <c r="N844" s="19"/>
      <c r="O844" s="13"/>
      <c r="P844" s="13"/>
      <c r="Q844" s="13"/>
      <c r="R844" s="13"/>
      <c r="S844" s="13"/>
      <c r="T844" s="13"/>
      <c r="U844" s="13"/>
      <c r="V844" s="13"/>
      <c r="W844" s="13"/>
      <c r="AY844" s="10"/>
      <c r="AZ844" s="10"/>
      <c r="BA844" s="10"/>
    </row>
    <row r="845" spans="1:54" ht="15" x14ac:dyDescent="0.25">
      <c r="A845" s="70"/>
      <c r="B845" s="70"/>
      <c r="C845" s="71"/>
      <c r="D845" s="71"/>
      <c r="E845" s="71"/>
      <c r="F845" s="71"/>
      <c r="G845" s="71"/>
      <c r="H845" s="71"/>
      <c r="I845" s="71"/>
      <c r="J845" s="71"/>
      <c r="K845" s="71"/>
      <c r="L845" s="71"/>
      <c r="M845" s="71"/>
      <c r="N845" s="19"/>
      <c r="O845" s="13"/>
      <c r="P845" s="13"/>
      <c r="Q845" s="13"/>
      <c r="R845" s="13"/>
      <c r="S845" s="13"/>
      <c r="T845" s="13"/>
      <c r="U845" s="13"/>
      <c r="V845" s="13"/>
      <c r="W845" s="13"/>
      <c r="AY845" s="10"/>
      <c r="AZ845" s="10"/>
      <c r="BA845" s="10"/>
    </row>
    <row r="846" spans="1:54" ht="15" x14ac:dyDescent="0.25">
      <c r="A846" s="70"/>
      <c r="B846" s="70"/>
      <c r="C846" s="71"/>
      <c r="D846" s="71"/>
      <c r="E846" s="71"/>
      <c r="F846" s="71"/>
      <c r="G846" s="71"/>
      <c r="H846" s="71"/>
      <c r="I846" s="71"/>
      <c r="J846" s="71"/>
      <c r="K846" s="71"/>
      <c r="L846" s="71"/>
      <c r="M846" s="71"/>
      <c r="N846" s="19"/>
      <c r="O846" s="13"/>
      <c r="P846" s="13"/>
      <c r="Q846" s="13"/>
      <c r="R846" s="13"/>
      <c r="S846" s="13"/>
      <c r="T846" s="13"/>
      <c r="U846" s="13"/>
      <c r="V846" s="13"/>
      <c r="W846" s="13"/>
      <c r="AY846" s="10"/>
      <c r="AZ846" s="10"/>
      <c r="BA846" s="10"/>
    </row>
    <row r="847" spans="1:54" ht="15" x14ac:dyDescent="0.25">
      <c r="A847" s="70"/>
      <c r="B847" s="70"/>
      <c r="C847" s="71"/>
      <c r="D847" s="71"/>
      <c r="E847" s="71"/>
      <c r="F847" s="71"/>
      <c r="G847" s="71"/>
      <c r="H847" s="71"/>
      <c r="I847" s="71"/>
      <c r="J847" s="71"/>
      <c r="K847" s="71"/>
      <c r="L847" s="71"/>
      <c r="M847" s="71"/>
      <c r="N847" s="19"/>
      <c r="O847" s="13"/>
      <c r="P847" s="13"/>
      <c r="Q847" s="13"/>
      <c r="R847" s="13"/>
      <c r="S847" s="13"/>
      <c r="T847" s="13"/>
      <c r="U847" s="13"/>
      <c r="V847" s="13"/>
      <c r="W847" s="13"/>
      <c r="AY847" s="10"/>
      <c r="AZ847" s="10"/>
      <c r="BA847" s="10"/>
    </row>
    <row r="848" spans="1:54" ht="15" x14ac:dyDescent="0.25">
      <c r="A848" s="70"/>
      <c r="B848" s="70"/>
      <c r="C848" s="71"/>
      <c r="D848" s="71"/>
      <c r="E848" s="71"/>
      <c r="F848" s="71"/>
      <c r="G848" s="71"/>
      <c r="H848" s="71"/>
      <c r="I848" s="71"/>
      <c r="J848" s="71"/>
      <c r="K848" s="71"/>
      <c r="L848" s="71"/>
      <c r="M848" s="71"/>
      <c r="N848" s="19"/>
      <c r="O848" s="13"/>
      <c r="P848" s="13"/>
      <c r="Q848" s="13"/>
      <c r="R848" s="13"/>
      <c r="S848" s="13"/>
      <c r="T848" s="13"/>
      <c r="U848" s="13"/>
      <c r="V848" s="13"/>
      <c r="W848" s="13"/>
      <c r="AY848" s="10"/>
      <c r="AZ848" s="10"/>
      <c r="BA848" s="10"/>
    </row>
    <row r="849" spans="1:53" ht="15" x14ac:dyDescent="0.25">
      <c r="A849" s="70"/>
      <c r="B849" s="70"/>
      <c r="C849" s="71"/>
      <c r="D849" s="71"/>
      <c r="E849" s="71"/>
      <c r="F849" s="71"/>
      <c r="G849" s="71"/>
      <c r="H849" s="71"/>
      <c r="I849" s="71"/>
      <c r="J849" s="71"/>
      <c r="K849" s="71"/>
      <c r="L849" s="71"/>
      <c r="M849" s="71"/>
      <c r="N849" s="19"/>
      <c r="O849" s="13"/>
      <c r="P849" s="13"/>
      <c r="Q849" s="13"/>
      <c r="R849" s="13"/>
      <c r="S849" s="13"/>
      <c r="T849" s="13"/>
      <c r="U849" s="13"/>
      <c r="V849" s="13"/>
      <c r="W849" s="13"/>
      <c r="AY849" s="10"/>
      <c r="AZ849" s="10"/>
      <c r="BA849" s="10"/>
    </row>
    <row r="850" spans="1:53" ht="15" x14ac:dyDescent="0.25">
      <c r="A850" s="70"/>
      <c r="B850" s="70"/>
      <c r="C850" s="71"/>
      <c r="D850" s="71"/>
      <c r="E850" s="71"/>
      <c r="F850" s="71"/>
      <c r="G850" s="71"/>
      <c r="H850" s="71"/>
      <c r="I850" s="71"/>
      <c r="J850" s="71"/>
      <c r="K850" s="71"/>
      <c r="L850" s="71"/>
      <c r="M850" s="71"/>
      <c r="N850" s="19"/>
      <c r="O850" s="13"/>
      <c r="P850" s="13"/>
      <c r="Q850" s="13"/>
      <c r="R850" s="13"/>
      <c r="S850" s="13"/>
      <c r="T850" s="13"/>
      <c r="U850" s="13"/>
      <c r="V850" s="13"/>
      <c r="W850" s="13"/>
      <c r="AY850" s="10"/>
      <c r="AZ850" s="10"/>
      <c r="BA850" s="10"/>
    </row>
    <row r="851" spans="1:53" ht="15" x14ac:dyDescent="0.25">
      <c r="A851" s="70"/>
      <c r="B851" s="70"/>
      <c r="C851" s="71"/>
      <c r="D851" s="71"/>
      <c r="E851" s="71"/>
      <c r="F851" s="71"/>
      <c r="G851" s="71"/>
      <c r="H851" s="71"/>
      <c r="I851" s="71"/>
      <c r="J851" s="71"/>
      <c r="K851" s="71"/>
      <c r="L851" s="71"/>
      <c r="M851" s="71"/>
      <c r="N851" s="19"/>
      <c r="O851" s="13"/>
      <c r="P851" s="13"/>
      <c r="Q851" s="13"/>
      <c r="R851" s="13"/>
      <c r="S851" s="13"/>
      <c r="T851" s="13"/>
      <c r="U851" s="13"/>
      <c r="V851" s="13"/>
      <c r="W851" s="13"/>
      <c r="AY851" s="10"/>
      <c r="AZ851" s="10"/>
      <c r="BA851" s="10"/>
    </row>
    <row r="852" spans="1:53" ht="15" x14ac:dyDescent="0.25">
      <c r="A852" s="70"/>
      <c r="B852" s="70"/>
      <c r="C852" s="71"/>
      <c r="D852" s="71"/>
      <c r="E852" s="71"/>
      <c r="F852" s="71"/>
      <c r="G852" s="71"/>
      <c r="H852" s="71"/>
      <c r="I852" s="71"/>
      <c r="J852" s="71"/>
      <c r="K852" s="71"/>
      <c r="L852" s="71"/>
      <c r="M852" s="71"/>
      <c r="N852" s="19"/>
      <c r="O852" s="13"/>
      <c r="P852" s="13"/>
      <c r="Q852" s="13"/>
      <c r="R852" s="13"/>
      <c r="S852" s="13"/>
      <c r="T852" s="13"/>
      <c r="U852" s="13"/>
      <c r="V852" s="13"/>
      <c r="W852" s="13"/>
      <c r="AY852" s="10"/>
      <c r="AZ852" s="10"/>
      <c r="BA852" s="10"/>
    </row>
    <row r="853" spans="1:53" ht="15" x14ac:dyDescent="0.25">
      <c r="A853" s="70"/>
      <c r="B853" s="70"/>
      <c r="C853" s="71"/>
      <c r="D853" s="71"/>
      <c r="E853" s="71"/>
      <c r="F853" s="71"/>
      <c r="G853" s="71"/>
      <c r="H853" s="71"/>
      <c r="I853" s="71"/>
      <c r="J853" s="71"/>
      <c r="K853" s="71"/>
      <c r="L853" s="71"/>
      <c r="M853" s="71"/>
      <c r="N853" s="19"/>
      <c r="O853" s="13"/>
      <c r="P853" s="13"/>
      <c r="Q853" s="13"/>
      <c r="R853" s="13"/>
      <c r="S853" s="13"/>
      <c r="T853" s="13"/>
      <c r="U853" s="13"/>
      <c r="V853" s="13"/>
      <c r="W853" s="13"/>
      <c r="AY853" s="10"/>
      <c r="AZ853" s="10"/>
      <c r="BA853" s="10"/>
    </row>
    <row r="854" spans="1:53" ht="15" x14ac:dyDescent="0.25">
      <c r="A854" s="70"/>
      <c r="B854" s="70"/>
      <c r="C854" s="71"/>
      <c r="D854" s="71"/>
      <c r="E854" s="71"/>
      <c r="F854" s="71"/>
      <c r="G854" s="71"/>
      <c r="H854" s="71"/>
      <c r="I854" s="71"/>
      <c r="J854" s="71"/>
      <c r="K854" s="71"/>
      <c r="L854" s="71"/>
      <c r="M854" s="71"/>
      <c r="N854" s="19"/>
      <c r="O854" s="13"/>
      <c r="P854" s="13"/>
      <c r="Q854" s="13"/>
      <c r="R854" s="13"/>
      <c r="S854" s="13"/>
      <c r="T854" s="13"/>
      <c r="U854" s="13"/>
      <c r="V854" s="13"/>
      <c r="W854" s="13"/>
      <c r="AY854" s="10"/>
      <c r="AZ854" s="10"/>
      <c r="BA854" s="10"/>
    </row>
    <row r="855" spans="1:53" ht="15" x14ac:dyDescent="0.25">
      <c r="A855" s="70"/>
      <c r="B855" s="70"/>
      <c r="C855" s="71"/>
      <c r="D855" s="71"/>
      <c r="E855" s="71"/>
      <c r="F855" s="71"/>
      <c r="G855" s="71"/>
      <c r="H855" s="71"/>
      <c r="I855" s="71"/>
      <c r="J855" s="71"/>
      <c r="K855" s="71"/>
      <c r="L855" s="71"/>
      <c r="M855" s="71"/>
      <c r="N855" s="19"/>
      <c r="O855" s="13"/>
      <c r="P855" s="13"/>
      <c r="Q855" s="13"/>
      <c r="R855" s="13"/>
      <c r="S855" s="13"/>
      <c r="T855" s="13"/>
      <c r="U855" s="13"/>
      <c r="V855" s="13"/>
      <c r="W855" s="13"/>
      <c r="AY855" s="10"/>
      <c r="AZ855" s="10"/>
      <c r="BA855" s="10"/>
    </row>
    <row r="856" spans="1:53" ht="15" x14ac:dyDescent="0.25">
      <c r="A856" s="70"/>
      <c r="B856" s="70"/>
      <c r="C856" s="71"/>
      <c r="D856" s="71"/>
      <c r="E856" s="71"/>
      <c r="F856" s="71"/>
      <c r="G856" s="71"/>
      <c r="H856" s="71"/>
      <c r="I856" s="71"/>
      <c r="J856" s="71"/>
      <c r="K856" s="71"/>
      <c r="L856" s="71"/>
      <c r="M856" s="71"/>
      <c r="N856" s="19"/>
      <c r="O856" s="13"/>
      <c r="P856" s="13"/>
      <c r="Q856" s="13"/>
      <c r="R856" s="13"/>
      <c r="S856" s="13"/>
      <c r="T856" s="13"/>
      <c r="U856" s="13"/>
      <c r="V856" s="13"/>
      <c r="W856" s="13"/>
      <c r="AY856" s="10"/>
      <c r="AZ856" s="10"/>
      <c r="BA856" s="10"/>
    </row>
    <row r="857" spans="1:53" ht="15" x14ac:dyDescent="0.25">
      <c r="A857" s="70"/>
      <c r="B857" s="70"/>
      <c r="C857" s="71"/>
      <c r="D857" s="71"/>
      <c r="E857" s="71"/>
      <c r="F857" s="71"/>
      <c r="G857" s="71"/>
      <c r="H857" s="71"/>
      <c r="I857" s="71"/>
      <c r="J857" s="71"/>
      <c r="K857" s="71"/>
      <c r="L857" s="71"/>
      <c r="M857" s="71"/>
      <c r="N857" s="19"/>
      <c r="O857" s="13"/>
      <c r="P857" s="13"/>
      <c r="Q857" s="13"/>
      <c r="R857" s="13"/>
      <c r="S857" s="13"/>
      <c r="T857" s="13"/>
      <c r="U857" s="13"/>
      <c r="V857" s="13"/>
      <c r="W857" s="13"/>
      <c r="AY857" s="10"/>
      <c r="AZ857" s="10"/>
      <c r="BA857" s="10"/>
    </row>
    <row r="858" spans="1:53" ht="15" x14ac:dyDescent="0.25">
      <c r="A858" s="70"/>
      <c r="B858" s="70"/>
      <c r="C858" s="71"/>
      <c r="D858" s="71"/>
      <c r="E858" s="71"/>
      <c r="F858" s="71"/>
      <c r="G858" s="71"/>
      <c r="H858" s="71"/>
      <c r="I858" s="71"/>
      <c r="J858" s="71"/>
      <c r="K858" s="71"/>
      <c r="L858" s="71"/>
      <c r="M858" s="71"/>
      <c r="N858" s="19"/>
      <c r="O858" s="13"/>
      <c r="P858" s="13"/>
      <c r="Q858" s="13"/>
      <c r="R858" s="13"/>
      <c r="S858" s="13"/>
      <c r="T858" s="13"/>
      <c r="U858" s="13"/>
      <c r="V858" s="13"/>
      <c r="W858" s="13"/>
      <c r="AY858" s="10"/>
      <c r="AZ858" s="10"/>
      <c r="BA858" s="10"/>
    </row>
    <row r="859" spans="1:53" ht="15" x14ac:dyDescent="0.25">
      <c r="A859" s="70"/>
      <c r="B859" s="70"/>
      <c r="C859" s="71"/>
      <c r="D859" s="71"/>
      <c r="E859" s="71"/>
      <c r="F859" s="71"/>
      <c r="G859" s="71"/>
      <c r="H859" s="71"/>
      <c r="I859" s="71"/>
      <c r="J859" s="71"/>
      <c r="K859" s="71"/>
      <c r="L859" s="71"/>
      <c r="M859" s="71"/>
      <c r="N859" s="19"/>
      <c r="O859" s="13"/>
      <c r="P859" s="13"/>
      <c r="Q859" s="13"/>
      <c r="R859" s="13"/>
      <c r="S859" s="13"/>
      <c r="T859" s="13"/>
      <c r="U859" s="13"/>
      <c r="V859" s="13"/>
      <c r="W859" s="13"/>
      <c r="AY859" s="10"/>
      <c r="AZ859" s="10"/>
      <c r="BA859" s="10"/>
    </row>
    <row r="860" spans="1:53" ht="15" x14ac:dyDescent="0.25">
      <c r="A860" s="70"/>
      <c r="B860" s="70"/>
      <c r="C860" s="71"/>
      <c r="D860" s="71"/>
      <c r="E860" s="71"/>
      <c r="F860" s="71"/>
      <c r="G860" s="71"/>
      <c r="H860" s="71"/>
      <c r="I860" s="71"/>
      <c r="J860" s="71"/>
      <c r="K860" s="71"/>
      <c r="L860" s="71"/>
      <c r="M860" s="71"/>
      <c r="N860" s="19"/>
      <c r="O860" s="13"/>
      <c r="P860" s="13"/>
      <c r="Q860" s="13"/>
      <c r="R860" s="13"/>
      <c r="S860" s="13"/>
      <c r="T860" s="13"/>
      <c r="U860" s="13"/>
      <c r="V860" s="13"/>
      <c r="W860" s="13"/>
      <c r="AY860" s="10"/>
      <c r="AZ860" s="10"/>
      <c r="BA860" s="10"/>
    </row>
    <row r="861" spans="1:53" ht="15" x14ac:dyDescent="0.25">
      <c r="A861" s="70"/>
      <c r="B861" s="70"/>
      <c r="C861" s="71"/>
      <c r="D861" s="71"/>
      <c r="E861" s="71"/>
      <c r="F861" s="71"/>
      <c r="G861" s="71"/>
      <c r="H861" s="71"/>
      <c r="I861" s="71"/>
      <c r="J861" s="71"/>
      <c r="K861" s="71"/>
      <c r="L861" s="71"/>
      <c r="M861" s="71"/>
      <c r="N861" s="19"/>
      <c r="O861" s="13"/>
      <c r="P861" s="13"/>
      <c r="Q861" s="13"/>
      <c r="R861" s="13"/>
      <c r="S861" s="13"/>
      <c r="T861" s="13"/>
      <c r="U861" s="13"/>
      <c r="V861" s="13"/>
      <c r="W861" s="13"/>
      <c r="AY861" s="10"/>
      <c r="AZ861" s="10"/>
      <c r="BA861" s="10"/>
    </row>
    <row r="862" spans="1:53" ht="15" x14ac:dyDescent="0.25">
      <c r="A862" s="70"/>
      <c r="B862" s="70"/>
      <c r="C862" s="71"/>
      <c r="D862" s="71"/>
      <c r="E862" s="71"/>
      <c r="F862" s="71"/>
      <c r="G862" s="71"/>
      <c r="H862" s="71"/>
      <c r="I862" s="71"/>
      <c r="J862" s="71"/>
      <c r="K862" s="71"/>
      <c r="L862" s="71"/>
      <c r="M862" s="71"/>
      <c r="N862" s="19"/>
      <c r="O862" s="13"/>
      <c r="P862" s="13"/>
      <c r="Q862" s="13"/>
      <c r="R862" s="13"/>
      <c r="S862" s="13"/>
      <c r="T862" s="13"/>
      <c r="U862" s="13"/>
      <c r="V862" s="13"/>
      <c r="W862" s="13"/>
      <c r="AY862" s="10"/>
      <c r="AZ862" s="10"/>
      <c r="BA862" s="10"/>
    </row>
    <row r="863" spans="1:53" ht="15" x14ac:dyDescent="0.25">
      <c r="A863" s="70"/>
      <c r="B863" s="70"/>
      <c r="C863" s="71"/>
      <c r="D863" s="71"/>
      <c r="E863" s="71"/>
      <c r="F863" s="71"/>
      <c r="G863" s="71"/>
      <c r="H863" s="71"/>
      <c r="I863" s="71"/>
      <c r="J863" s="71"/>
      <c r="K863" s="71"/>
      <c r="L863" s="71"/>
      <c r="M863" s="71"/>
      <c r="N863" s="19"/>
      <c r="O863" s="13"/>
      <c r="P863" s="13"/>
      <c r="Q863" s="13"/>
      <c r="R863" s="13"/>
      <c r="S863" s="13"/>
      <c r="T863" s="13"/>
      <c r="U863" s="13"/>
      <c r="V863" s="13"/>
      <c r="W863" s="13"/>
      <c r="AY863" s="10"/>
      <c r="AZ863" s="10"/>
      <c r="BA863" s="10"/>
    </row>
    <row r="864" spans="1:53" ht="15" x14ac:dyDescent="0.25">
      <c r="A864" s="70"/>
      <c r="B864" s="70"/>
      <c r="C864" s="71"/>
      <c r="D864" s="71"/>
      <c r="E864" s="71"/>
      <c r="F864" s="71"/>
      <c r="G864" s="71"/>
      <c r="H864" s="71"/>
      <c r="I864" s="71"/>
      <c r="J864" s="71"/>
      <c r="K864" s="71"/>
      <c r="L864" s="71"/>
      <c r="M864" s="71"/>
      <c r="N864" s="19"/>
      <c r="O864" s="13"/>
      <c r="P864" s="13"/>
      <c r="Q864" s="13"/>
      <c r="R864" s="13"/>
      <c r="S864" s="13"/>
      <c r="T864" s="13"/>
      <c r="U864" s="13"/>
      <c r="V864" s="13"/>
      <c r="W864" s="13"/>
      <c r="AY864" s="10"/>
      <c r="AZ864" s="10"/>
      <c r="BA864" s="10"/>
    </row>
    <row r="865" spans="1:53" ht="15" x14ac:dyDescent="0.25">
      <c r="A865" s="70"/>
      <c r="B865" s="70"/>
      <c r="C865" s="71"/>
      <c r="D865" s="71"/>
      <c r="E865" s="71"/>
      <c r="F865" s="71"/>
      <c r="G865" s="71"/>
      <c r="H865" s="71"/>
      <c r="I865" s="71"/>
      <c r="J865" s="71"/>
      <c r="K865" s="71"/>
      <c r="L865" s="71"/>
      <c r="M865" s="71"/>
      <c r="N865" s="19"/>
      <c r="O865" s="13"/>
      <c r="P865" s="13"/>
      <c r="Q865" s="13"/>
      <c r="R865" s="13"/>
      <c r="S865" s="13"/>
      <c r="T865" s="13"/>
      <c r="U865" s="13"/>
      <c r="V865" s="13"/>
      <c r="W865" s="13"/>
      <c r="AY865" s="10"/>
      <c r="AZ865" s="10"/>
      <c r="BA865" s="10"/>
    </row>
    <row r="866" spans="1:53" ht="15" x14ac:dyDescent="0.25">
      <c r="A866" s="70"/>
      <c r="B866" s="70"/>
      <c r="C866" s="71"/>
      <c r="D866" s="71"/>
      <c r="E866" s="71"/>
      <c r="F866" s="71"/>
      <c r="G866" s="71"/>
      <c r="H866" s="71"/>
      <c r="I866" s="71"/>
      <c r="J866" s="71"/>
      <c r="K866" s="71"/>
      <c r="L866" s="71"/>
      <c r="M866" s="71"/>
      <c r="N866" s="19"/>
      <c r="O866" s="13"/>
      <c r="P866" s="13"/>
      <c r="Q866" s="13"/>
      <c r="R866" s="13"/>
      <c r="S866" s="13"/>
      <c r="T866" s="13"/>
      <c r="U866" s="13"/>
      <c r="V866" s="13"/>
      <c r="W866" s="13"/>
      <c r="AY866" s="10"/>
      <c r="AZ866" s="10"/>
      <c r="BA866" s="10"/>
    </row>
    <row r="867" spans="1:53" ht="15" x14ac:dyDescent="0.25">
      <c r="A867" s="70"/>
      <c r="B867" s="70"/>
      <c r="C867" s="71"/>
      <c r="D867" s="71"/>
      <c r="E867" s="71"/>
      <c r="F867" s="71"/>
      <c r="G867" s="71"/>
      <c r="H867" s="71"/>
      <c r="I867" s="71"/>
      <c r="J867" s="71"/>
      <c r="K867" s="71"/>
      <c r="L867" s="71"/>
      <c r="M867" s="71"/>
      <c r="N867" s="19"/>
      <c r="O867" s="13"/>
      <c r="P867" s="13"/>
      <c r="Q867" s="13"/>
      <c r="R867" s="13"/>
      <c r="S867" s="13"/>
      <c r="T867" s="13"/>
      <c r="U867" s="13"/>
      <c r="V867" s="13"/>
      <c r="W867" s="13"/>
      <c r="AY867" s="10"/>
      <c r="AZ867" s="10"/>
      <c r="BA867" s="10"/>
    </row>
    <row r="868" spans="1:53" ht="15" x14ac:dyDescent="0.25">
      <c r="A868" s="70"/>
      <c r="B868" s="70"/>
      <c r="C868" s="71"/>
      <c r="D868" s="71"/>
      <c r="E868" s="71"/>
      <c r="F868" s="71"/>
      <c r="G868" s="71"/>
      <c r="H868" s="71"/>
      <c r="I868" s="71"/>
      <c r="J868" s="71"/>
      <c r="K868" s="71"/>
      <c r="L868" s="71"/>
      <c r="M868" s="71"/>
      <c r="N868" s="19"/>
      <c r="O868" s="13"/>
      <c r="P868" s="13"/>
      <c r="Q868" s="13"/>
      <c r="R868" s="13"/>
      <c r="S868" s="13"/>
      <c r="T868" s="13"/>
      <c r="U868" s="13"/>
      <c r="V868" s="13"/>
      <c r="W868" s="13"/>
      <c r="AY868" s="10"/>
      <c r="AZ868" s="10"/>
      <c r="BA868" s="10"/>
    </row>
    <row r="869" spans="1:53" ht="15" x14ac:dyDescent="0.25">
      <c r="A869" s="70"/>
      <c r="B869" s="70"/>
      <c r="C869" s="71"/>
      <c r="D869" s="71"/>
      <c r="E869" s="71"/>
      <c r="F869" s="71"/>
      <c r="G869" s="71"/>
      <c r="H869" s="71"/>
      <c r="I869" s="71"/>
      <c r="J869" s="71"/>
      <c r="K869" s="71"/>
      <c r="L869" s="71"/>
      <c r="M869" s="71"/>
      <c r="N869" s="19"/>
      <c r="O869" s="13"/>
      <c r="P869" s="13"/>
      <c r="Q869" s="13"/>
      <c r="R869" s="13"/>
      <c r="S869" s="13"/>
      <c r="T869" s="13"/>
      <c r="U869" s="13"/>
      <c r="V869" s="13"/>
      <c r="W869" s="13"/>
      <c r="AY869" s="10"/>
      <c r="AZ869" s="10"/>
      <c r="BA869" s="10"/>
    </row>
    <row r="870" spans="1:53" ht="15" x14ac:dyDescent="0.25">
      <c r="A870" s="70"/>
      <c r="B870" s="70"/>
      <c r="C870" s="71"/>
      <c r="D870" s="71"/>
      <c r="E870" s="71"/>
      <c r="F870" s="71"/>
      <c r="G870" s="71"/>
      <c r="H870" s="71"/>
      <c r="I870" s="71"/>
      <c r="J870" s="71"/>
      <c r="K870" s="71"/>
      <c r="L870" s="71"/>
      <c r="M870" s="71"/>
      <c r="N870" s="19"/>
      <c r="O870" s="13"/>
      <c r="P870" s="13"/>
      <c r="Q870" s="13"/>
      <c r="R870" s="13"/>
      <c r="S870" s="13"/>
      <c r="T870" s="13"/>
      <c r="U870" s="13"/>
      <c r="V870" s="13"/>
      <c r="W870" s="13"/>
      <c r="AY870" s="10"/>
      <c r="AZ870" s="10"/>
      <c r="BA870" s="10"/>
    </row>
    <row r="871" spans="1:53" ht="15" x14ac:dyDescent="0.25">
      <c r="A871" s="70"/>
      <c r="B871" s="70"/>
      <c r="C871" s="71"/>
      <c r="D871" s="71"/>
      <c r="E871" s="71"/>
      <c r="F871" s="71"/>
      <c r="G871" s="71"/>
      <c r="H871" s="71"/>
      <c r="I871" s="71"/>
      <c r="J871" s="71"/>
      <c r="K871" s="71"/>
      <c r="L871" s="71"/>
      <c r="M871" s="71"/>
      <c r="N871" s="19"/>
      <c r="O871" s="13"/>
      <c r="P871" s="13"/>
      <c r="Q871" s="13"/>
      <c r="R871" s="13"/>
      <c r="S871" s="13"/>
      <c r="T871" s="13"/>
      <c r="U871" s="13"/>
      <c r="V871" s="13"/>
      <c r="W871" s="13"/>
      <c r="AY871" s="10"/>
      <c r="AZ871" s="10"/>
      <c r="BA871" s="10"/>
    </row>
    <row r="872" spans="1:53" ht="15" x14ac:dyDescent="0.25">
      <c r="A872" s="70"/>
      <c r="B872" s="70"/>
      <c r="C872" s="71"/>
      <c r="D872" s="71"/>
      <c r="E872" s="71"/>
      <c r="F872" s="71"/>
      <c r="G872" s="71"/>
      <c r="H872" s="71"/>
      <c r="I872" s="71"/>
      <c r="J872" s="71"/>
      <c r="K872" s="71"/>
      <c r="L872" s="71"/>
      <c r="M872" s="71"/>
      <c r="N872" s="19"/>
      <c r="O872" s="13"/>
      <c r="P872" s="13"/>
      <c r="Q872" s="13"/>
      <c r="R872" s="13"/>
      <c r="S872" s="13"/>
      <c r="T872" s="13"/>
      <c r="U872" s="13"/>
      <c r="V872" s="13"/>
      <c r="W872" s="13"/>
      <c r="AY872" s="10"/>
      <c r="AZ872" s="10"/>
      <c r="BA872" s="10"/>
    </row>
    <row r="873" spans="1:53" ht="15" x14ac:dyDescent="0.25">
      <c r="A873" s="70"/>
      <c r="B873" s="70"/>
      <c r="C873" s="71"/>
      <c r="D873" s="71"/>
      <c r="E873" s="71"/>
      <c r="F873" s="71"/>
      <c r="G873" s="71"/>
      <c r="H873" s="71"/>
      <c r="I873" s="71"/>
      <c r="J873" s="71"/>
      <c r="K873" s="71"/>
      <c r="L873" s="71"/>
      <c r="M873" s="71"/>
      <c r="N873" s="19"/>
      <c r="O873" s="13"/>
      <c r="P873" s="13"/>
      <c r="Q873" s="13"/>
      <c r="R873" s="13"/>
      <c r="S873" s="13"/>
      <c r="T873" s="13"/>
      <c r="U873" s="13"/>
      <c r="V873" s="13"/>
      <c r="W873" s="13"/>
      <c r="AY873" s="10"/>
      <c r="AZ873" s="10"/>
      <c r="BA873" s="10"/>
    </row>
    <row r="874" spans="1:53" ht="15" x14ac:dyDescent="0.25">
      <c r="A874" s="70"/>
      <c r="B874" s="70"/>
      <c r="C874" s="71"/>
      <c r="D874" s="71"/>
      <c r="E874" s="71"/>
      <c r="F874" s="71"/>
      <c r="G874" s="71"/>
      <c r="H874" s="71"/>
      <c r="I874" s="71"/>
      <c r="J874" s="71"/>
      <c r="K874" s="71"/>
      <c r="L874" s="71"/>
      <c r="M874" s="71"/>
      <c r="N874" s="19"/>
      <c r="O874" s="13"/>
      <c r="P874" s="13"/>
      <c r="Q874" s="13"/>
      <c r="R874" s="13"/>
      <c r="S874" s="13"/>
      <c r="T874" s="13"/>
      <c r="U874" s="13"/>
      <c r="V874" s="13"/>
      <c r="W874" s="13"/>
      <c r="AY874" s="10"/>
      <c r="AZ874" s="10"/>
      <c r="BA874" s="10"/>
    </row>
    <row r="875" spans="1:53" ht="15" x14ac:dyDescent="0.25">
      <c r="A875" s="70"/>
      <c r="B875" s="70"/>
      <c r="C875" s="71"/>
      <c r="D875" s="71"/>
      <c r="E875" s="71"/>
      <c r="F875" s="71"/>
      <c r="G875" s="71"/>
      <c r="H875" s="71"/>
      <c r="I875" s="71"/>
      <c r="J875" s="71"/>
      <c r="K875" s="71"/>
      <c r="L875" s="71"/>
      <c r="M875" s="71"/>
      <c r="N875" s="19"/>
      <c r="O875" s="13"/>
      <c r="P875" s="13"/>
      <c r="Q875" s="13"/>
      <c r="R875" s="13"/>
      <c r="S875" s="13"/>
      <c r="T875" s="13"/>
      <c r="U875" s="13"/>
      <c r="V875" s="13"/>
      <c r="W875" s="13"/>
      <c r="AY875" s="10"/>
      <c r="AZ875" s="10"/>
      <c r="BA875" s="10"/>
    </row>
    <row r="876" spans="1:53" ht="15" x14ac:dyDescent="0.25">
      <c r="A876" s="70"/>
      <c r="B876" s="70"/>
      <c r="C876" s="71"/>
      <c r="D876" s="71"/>
      <c r="E876" s="71"/>
      <c r="F876" s="71"/>
      <c r="G876" s="71"/>
      <c r="H876" s="71"/>
      <c r="I876" s="71"/>
      <c r="J876" s="71"/>
      <c r="K876" s="71"/>
      <c r="L876" s="71"/>
      <c r="M876" s="71"/>
      <c r="N876" s="19"/>
      <c r="O876" s="13"/>
      <c r="P876" s="13"/>
      <c r="Q876" s="13"/>
      <c r="R876" s="13"/>
      <c r="S876" s="13"/>
      <c r="T876" s="13"/>
      <c r="U876" s="13"/>
      <c r="V876" s="13"/>
      <c r="W876" s="13"/>
      <c r="AY876" s="10"/>
      <c r="AZ876" s="10"/>
      <c r="BA876" s="10"/>
    </row>
    <row r="877" spans="1:53" ht="15" x14ac:dyDescent="0.25">
      <c r="A877" s="70"/>
      <c r="B877" s="70"/>
      <c r="C877" s="71"/>
      <c r="D877" s="71"/>
      <c r="E877" s="71"/>
      <c r="F877" s="71"/>
      <c r="G877" s="71"/>
      <c r="H877" s="71"/>
      <c r="I877" s="71"/>
      <c r="J877" s="71"/>
      <c r="K877" s="71"/>
      <c r="L877" s="71"/>
      <c r="M877" s="71"/>
      <c r="N877" s="19"/>
      <c r="O877" s="13"/>
      <c r="P877" s="13"/>
      <c r="Q877" s="13"/>
      <c r="R877" s="13"/>
      <c r="S877" s="13"/>
      <c r="T877" s="13"/>
      <c r="U877" s="13"/>
      <c r="V877" s="13"/>
      <c r="W877" s="13"/>
      <c r="AY877" s="10"/>
      <c r="AZ877" s="10"/>
      <c r="BA877" s="10"/>
    </row>
    <row r="878" spans="1:53" ht="15" x14ac:dyDescent="0.25">
      <c r="A878" s="70"/>
      <c r="B878" s="70"/>
      <c r="C878" s="71"/>
      <c r="D878" s="71"/>
      <c r="E878" s="71"/>
      <c r="F878" s="71"/>
      <c r="G878" s="71"/>
      <c r="H878" s="71"/>
      <c r="I878" s="71"/>
      <c r="J878" s="71"/>
      <c r="K878" s="71"/>
      <c r="L878" s="71"/>
      <c r="M878" s="71"/>
      <c r="N878" s="19"/>
      <c r="O878" s="13"/>
      <c r="P878" s="13"/>
      <c r="Q878" s="13"/>
      <c r="R878" s="13"/>
      <c r="S878" s="13"/>
      <c r="T878" s="13"/>
      <c r="U878" s="13"/>
      <c r="V878" s="13"/>
      <c r="W878" s="13"/>
      <c r="AY878" s="10"/>
      <c r="AZ878" s="10"/>
      <c r="BA878" s="10"/>
    </row>
    <row r="879" spans="1:53" ht="15" x14ac:dyDescent="0.25">
      <c r="A879" s="70"/>
      <c r="B879" s="70"/>
      <c r="C879" s="71"/>
      <c r="D879" s="71"/>
      <c r="E879" s="71"/>
      <c r="F879" s="71"/>
      <c r="G879" s="71"/>
      <c r="H879" s="71"/>
      <c r="I879" s="71"/>
      <c r="J879" s="71"/>
      <c r="K879" s="71"/>
      <c r="L879" s="71"/>
      <c r="M879" s="71"/>
      <c r="N879" s="19"/>
      <c r="O879" s="13"/>
      <c r="P879" s="13"/>
      <c r="Q879" s="13"/>
      <c r="R879" s="13"/>
      <c r="S879" s="13"/>
      <c r="T879" s="13"/>
      <c r="U879" s="13"/>
      <c r="V879" s="13"/>
      <c r="W879" s="13"/>
      <c r="AY879" s="10"/>
      <c r="AZ879" s="10"/>
      <c r="BA879" s="10"/>
    </row>
    <row r="880" spans="1:53" ht="15" x14ac:dyDescent="0.25">
      <c r="A880" s="70"/>
      <c r="B880" s="70"/>
      <c r="C880" s="71"/>
      <c r="D880" s="71"/>
      <c r="E880" s="71"/>
      <c r="F880" s="71"/>
      <c r="G880" s="71"/>
      <c r="H880" s="71"/>
      <c r="I880" s="71"/>
      <c r="J880" s="71"/>
      <c r="K880" s="71"/>
      <c r="L880" s="71"/>
      <c r="M880" s="71"/>
      <c r="N880" s="19"/>
      <c r="O880" s="13"/>
      <c r="P880" s="13"/>
      <c r="Q880" s="13"/>
      <c r="R880" s="13"/>
      <c r="S880" s="13"/>
      <c r="T880" s="13"/>
      <c r="U880" s="13"/>
      <c r="V880" s="13"/>
      <c r="W880" s="13"/>
      <c r="AY880" s="10"/>
      <c r="AZ880" s="10"/>
      <c r="BA880" s="10"/>
    </row>
    <row r="881" spans="1:53" ht="15" x14ac:dyDescent="0.25">
      <c r="A881" s="70"/>
      <c r="B881" s="70"/>
      <c r="C881" s="71"/>
      <c r="D881" s="71"/>
      <c r="E881" s="71"/>
      <c r="F881" s="71"/>
      <c r="G881" s="71"/>
      <c r="H881" s="71"/>
      <c r="I881" s="71"/>
      <c r="J881" s="71"/>
      <c r="K881" s="71"/>
      <c r="L881" s="71"/>
      <c r="M881" s="71"/>
      <c r="N881" s="19"/>
      <c r="O881" s="13"/>
      <c r="P881" s="13"/>
      <c r="Q881" s="13"/>
      <c r="R881" s="13"/>
      <c r="S881" s="13"/>
      <c r="T881" s="13"/>
      <c r="U881" s="13"/>
      <c r="V881" s="13"/>
      <c r="W881" s="13"/>
      <c r="AY881" s="10"/>
      <c r="AZ881" s="10"/>
      <c r="BA881" s="10"/>
    </row>
    <row r="882" spans="1:53" ht="15" x14ac:dyDescent="0.25">
      <c r="A882" s="70"/>
      <c r="B882" s="70"/>
      <c r="C882" s="71"/>
      <c r="D882" s="71"/>
      <c r="E882" s="71"/>
      <c r="F882" s="71"/>
      <c r="G882" s="71"/>
      <c r="H882" s="71"/>
      <c r="I882" s="71"/>
      <c r="J882" s="71"/>
      <c r="K882" s="71"/>
      <c r="L882" s="71"/>
      <c r="M882" s="71"/>
      <c r="N882" s="19"/>
      <c r="O882" s="13"/>
      <c r="P882" s="13"/>
      <c r="Q882" s="13"/>
      <c r="R882" s="13"/>
      <c r="S882" s="13"/>
      <c r="T882" s="13"/>
      <c r="U882" s="13"/>
      <c r="V882" s="13"/>
      <c r="W882" s="13"/>
      <c r="AY882" s="10"/>
      <c r="AZ882" s="10"/>
      <c r="BA882" s="10"/>
    </row>
    <row r="883" spans="1:53" ht="15" x14ac:dyDescent="0.25">
      <c r="A883" s="70"/>
      <c r="B883" s="70"/>
      <c r="C883" s="71"/>
      <c r="D883" s="71"/>
      <c r="E883" s="71"/>
      <c r="F883" s="71"/>
      <c r="G883" s="71"/>
      <c r="H883" s="71"/>
      <c r="I883" s="71"/>
      <c r="J883" s="71"/>
      <c r="K883" s="71"/>
      <c r="L883" s="71"/>
      <c r="M883" s="71"/>
      <c r="N883" s="19"/>
      <c r="O883" s="13"/>
      <c r="P883" s="13"/>
      <c r="Q883" s="13"/>
      <c r="R883" s="13"/>
      <c r="S883" s="13"/>
      <c r="T883" s="13"/>
      <c r="U883" s="13"/>
      <c r="V883" s="13"/>
      <c r="W883" s="13"/>
      <c r="AY883" s="10"/>
      <c r="AZ883" s="10"/>
      <c r="BA883" s="10"/>
    </row>
    <row r="884" spans="1:53" ht="15" x14ac:dyDescent="0.25">
      <c r="A884" s="70"/>
      <c r="B884" s="70"/>
      <c r="C884" s="71"/>
      <c r="D884" s="71"/>
      <c r="E884" s="71"/>
      <c r="F884" s="71"/>
      <c r="G884" s="71"/>
      <c r="H884" s="71"/>
      <c r="I884" s="71"/>
      <c r="J884" s="71"/>
      <c r="K884" s="71"/>
      <c r="L884" s="71"/>
      <c r="M884" s="71"/>
      <c r="N884" s="19"/>
      <c r="O884" s="13"/>
      <c r="P884" s="13"/>
      <c r="Q884" s="13"/>
      <c r="R884" s="13"/>
      <c r="S884" s="13"/>
      <c r="T884" s="13"/>
      <c r="U884" s="13"/>
      <c r="V884" s="13"/>
      <c r="W884" s="13"/>
      <c r="AY884" s="10"/>
      <c r="AZ884" s="10"/>
      <c r="BA884" s="10"/>
    </row>
    <row r="885" spans="1:53" ht="15" x14ac:dyDescent="0.25">
      <c r="A885" s="70"/>
      <c r="B885" s="70"/>
      <c r="C885" s="71"/>
      <c r="D885" s="71"/>
      <c r="E885" s="71"/>
      <c r="F885" s="71"/>
      <c r="G885" s="71"/>
      <c r="H885" s="71"/>
      <c r="I885" s="71"/>
      <c r="J885" s="71"/>
      <c r="K885" s="71"/>
      <c r="L885" s="71"/>
      <c r="M885" s="71"/>
      <c r="N885" s="19"/>
      <c r="O885" s="13"/>
      <c r="P885" s="13"/>
      <c r="Q885" s="13"/>
      <c r="R885" s="13"/>
      <c r="S885" s="13"/>
      <c r="T885" s="13"/>
      <c r="U885" s="13"/>
      <c r="V885" s="13"/>
      <c r="W885" s="13"/>
      <c r="AY885" s="10"/>
      <c r="AZ885" s="10"/>
      <c r="BA885" s="10"/>
    </row>
    <row r="886" spans="1:53" ht="15" x14ac:dyDescent="0.25">
      <c r="A886" s="70"/>
      <c r="B886" s="70"/>
      <c r="C886" s="71"/>
      <c r="D886" s="71"/>
      <c r="E886" s="71"/>
      <c r="F886" s="71"/>
      <c r="G886" s="71"/>
      <c r="H886" s="71"/>
      <c r="I886" s="71"/>
      <c r="J886" s="71"/>
      <c r="K886" s="71"/>
      <c r="L886" s="71"/>
      <c r="M886" s="71"/>
      <c r="N886" s="19"/>
      <c r="O886" s="13"/>
      <c r="P886" s="13"/>
      <c r="Q886" s="13"/>
      <c r="R886" s="13"/>
      <c r="S886" s="13"/>
      <c r="T886" s="13"/>
      <c r="U886" s="13"/>
      <c r="V886" s="13"/>
      <c r="W886" s="13"/>
      <c r="AY886" s="10"/>
      <c r="AZ886" s="10"/>
      <c r="BA886" s="10"/>
    </row>
    <row r="887" spans="1:53" ht="15" x14ac:dyDescent="0.25">
      <c r="A887" s="70"/>
      <c r="B887" s="70"/>
      <c r="C887" s="71"/>
      <c r="D887" s="71"/>
      <c r="E887" s="71"/>
      <c r="F887" s="71"/>
      <c r="G887" s="71"/>
      <c r="H887" s="71"/>
      <c r="I887" s="71"/>
      <c r="J887" s="71"/>
      <c r="K887" s="71"/>
      <c r="L887" s="71"/>
      <c r="M887" s="71"/>
      <c r="N887" s="19"/>
      <c r="O887" s="13"/>
      <c r="P887" s="13"/>
      <c r="Q887" s="13"/>
      <c r="R887" s="13"/>
      <c r="S887" s="13"/>
      <c r="T887" s="13"/>
      <c r="U887" s="13"/>
      <c r="V887" s="13"/>
      <c r="W887" s="13"/>
      <c r="AY887" s="10"/>
      <c r="AZ887" s="10"/>
      <c r="BA887" s="10"/>
    </row>
    <row r="888" spans="1:53" ht="15" x14ac:dyDescent="0.25">
      <c r="A888" s="70"/>
      <c r="B888" s="70"/>
      <c r="C888" s="71"/>
      <c r="D888" s="71"/>
      <c r="E888" s="71"/>
      <c r="F888" s="71"/>
      <c r="G888" s="71"/>
      <c r="H888" s="71"/>
      <c r="I888" s="71"/>
      <c r="J888" s="71"/>
      <c r="K888" s="71"/>
      <c r="L888" s="71"/>
      <c r="M888" s="71"/>
      <c r="N888" s="19"/>
      <c r="O888" s="13"/>
      <c r="P888" s="13"/>
      <c r="Q888" s="13"/>
      <c r="R888" s="13"/>
      <c r="S888" s="13"/>
      <c r="T888" s="13"/>
      <c r="U888" s="13"/>
      <c r="V888" s="13"/>
      <c r="W888" s="13"/>
      <c r="AY888" s="10"/>
      <c r="AZ888" s="10"/>
      <c r="BA888" s="10"/>
    </row>
    <row r="889" spans="1:53" ht="15" x14ac:dyDescent="0.25">
      <c r="A889" s="70"/>
      <c r="B889" s="70"/>
      <c r="C889" s="71"/>
      <c r="D889" s="71"/>
      <c r="E889" s="71"/>
      <c r="F889" s="71"/>
      <c r="G889" s="71"/>
      <c r="H889" s="71"/>
      <c r="I889" s="71"/>
      <c r="J889" s="71"/>
      <c r="K889" s="71"/>
      <c r="L889" s="71"/>
      <c r="M889" s="71"/>
      <c r="N889" s="19"/>
      <c r="O889" s="13"/>
      <c r="P889" s="13"/>
      <c r="Q889" s="13"/>
      <c r="R889" s="13"/>
      <c r="S889" s="13"/>
      <c r="T889" s="13"/>
      <c r="U889" s="13"/>
      <c r="V889" s="13"/>
      <c r="W889" s="13"/>
      <c r="AY889" s="10"/>
      <c r="AZ889" s="10"/>
      <c r="BA889" s="10"/>
    </row>
    <row r="890" spans="1:53" ht="15" x14ac:dyDescent="0.25">
      <c r="A890" s="70"/>
      <c r="B890" s="70"/>
      <c r="C890" s="71"/>
      <c r="D890" s="71"/>
      <c r="E890" s="71"/>
      <c r="F890" s="71"/>
      <c r="G890" s="71"/>
      <c r="H890" s="71"/>
      <c r="I890" s="71"/>
      <c r="J890" s="71"/>
      <c r="K890" s="71"/>
      <c r="L890" s="71"/>
      <c r="M890" s="71"/>
      <c r="N890" s="19"/>
      <c r="O890" s="13"/>
      <c r="P890" s="13"/>
      <c r="Q890" s="13"/>
      <c r="R890" s="13"/>
      <c r="S890" s="13"/>
      <c r="T890" s="13"/>
      <c r="U890" s="13"/>
      <c r="V890" s="13"/>
      <c r="W890" s="13"/>
      <c r="AY890" s="10"/>
      <c r="AZ890" s="10"/>
      <c r="BA890" s="10"/>
    </row>
    <row r="891" spans="1:53" ht="15" x14ac:dyDescent="0.25">
      <c r="A891" s="70"/>
      <c r="B891" s="70"/>
      <c r="C891" s="71"/>
      <c r="D891" s="71"/>
      <c r="E891" s="71"/>
      <c r="F891" s="71"/>
      <c r="G891" s="71"/>
      <c r="H891" s="71"/>
      <c r="I891" s="71"/>
      <c r="J891" s="71"/>
      <c r="K891" s="71"/>
      <c r="L891" s="71"/>
      <c r="M891" s="71"/>
      <c r="N891" s="19"/>
      <c r="O891" s="13"/>
      <c r="P891" s="13"/>
      <c r="Q891" s="13"/>
      <c r="R891" s="13"/>
      <c r="S891" s="13"/>
      <c r="T891" s="13"/>
      <c r="U891" s="13"/>
      <c r="V891" s="13"/>
      <c r="W891" s="13"/>
      <c r="AY891" s="10"/>
      <c r="AZ891" s="10"/>
      <c r="BA891" s="10"/>
    </row>
    <row r="892" spans="1:53" ht="15" x14ac:dyDescent="0.25">
      <c r="A892" s="70"/>
      <c r="B892" s="70"/>
      <c r="C892" s="71"/>
      <c r="D892" s="71"/>
      <c r="E892" s="71"/>
      <c r="F892" s="71"/>
      <c r="G892" s="71"/>
      <c r="H892" s="71"/>
      <c r="I892" s="71"/>
      <c r="J892" s="71"/>
      <c r="K892" s="71"/>
      <c r="L892" s="71"/>
      <c r="M892" s="71"/>
      <c r="N892" s="19"/>
      <c r="O892" s="13"/>
      <c r="P892" s="13"/>
      <c r="Q892" s="13"/>
      <c r="R892" s="13"/>
      <c r="S892" s="13"/>
      <c r="T892" s="13"/>
      <c r="U892" s="13"/>
      <c r="V892" s="13"/>
      <c r="W892" s="13"/>
      <c r="AY892" s="10"/>
      <c r="AZ892" s="10"/>
      <c r="BA892" s="10"/>
    </row>
    <row r="893" spans="1:53" ht="15" x14ac:dyDescent="0.25">
      <c r="A893" s="70"/>
      <c r="B893" s="70"/>
      <c r="C893" s="71"/>
      <c r="D893" s="71"/>
      <c r="E893" s="71"/>
      <c r="F893" s="71"/>
      <c r="G893" s="71"/>
      <c r="H893" s="71"/>
      <c r="I893" s="71"/>
      <c r="J893" s="71"/>
      <c r="K893" s="71"/>
      <c r="L893" s="71"/>
      <c r="M893" s="71"/>
      <c r="N893" s="19"/>
      <c r="O893" s="13"/>
      <c r="P893" s="13"/>
      <c r="Q893" s="13"/>
      <c r="R893" s="13"/>
      <c r="S893" s="13"/>
      <c r="T893" s="13"/>
      <c r="U893" s="13"/>
      <c r="V893" s="13"/>
      <c r="W893" s="13"/>
      <c r="AY893" s="10"/>
      <c r="AZ893" s="10"/>
      <c r="BA893" s="10"/>
    </row>
    <row r="894" spans="1:53" ht="15" x14ac:dyDescent="0.25">
      <c r="A894" s="70"/>
      <c r="B894" s="70"/>
      <c r="C894" s="71"/>
      <c r="D894" s="71"/>
      <c r="E894" s="71"/>
      <c r="F894" s="71"/>
      <c r="G894" s="71"/>
      <c r="H894" s="71"/>
      <c r="I894" s="71"/>
      <c r="J894" s="71"/>
      <c r="K894" s="71"/>
      <c r="L894" s="71"/>
      <c r="M894" s="71"/>
      <c r="N894" s="19"/>
      <c r="O894" s="13"/>
      <c r="P894" s="13"/>
      <c r="Q894" s="13"/>
      <c r="R894" s="13"/>
      <c r="S894" s="13"/>
      <c r="T894" s="13"/>
      <c r="U894" s="13"/>
      <c r="V894" s="13"/>
      <c r="W894" s="13"/>
      <c r="AY894" s="10"/>
      <c r="AZ894" s="10"/>
      <c r="BA894" s="10"/>
    </row>
    <row r="895" spans="1:53" ht="15" x14ac:dyDescent="0.25">
      <c r="A895" s="70"/>
      <c r="B895" s="70"/>
      <c r="C895" s="71"/>
      <c r="D895" s="71"/>
      <c r="E895" s="71"/>
      <c r="F895" s="71"/>
      <c r="G895" s="71"/>
      <c r="H895" s="71"/>
      <c r="I895" s="71"/>
      <c r="J895" s="71"/>
      <c r="K895" s="71"/>
      <c r="L895" s="71"/>
      <c r="M895" s="71"/>
      <c r="N895" s="19"/>
      <c r="O895" s="13"/>
      <c r="P895" s="13"/>
      <c r="Q895" s="13"/>
      <c r="R895" s="13"/>
      <c r="S895" s="13"/>
      <c r="T895" s="13"/>
      <c r="U895" s="13"/>
      <c r="V895" s="13"/>
      <c r="W895" s="13"/>
      <c r="AY895" s="10"/>
      <c r="AZ895" s="10"/>
      <c r="BA895" s="10"/>
    </row>
    <row r="896" spans="1:53" ht="15" x14ac:dyDescent="0.25">
      <c r="A896" s="70"/>
      <c r="B896" s="70"/>
      <c r="C896" s="71"/>
      <c r="D896" s="71"/>
      <c r="E896" s="71"/>
      <c r="F896" s="71"/>
      <c r="G896" s="71"/>
      <c r="H896" s="71"/>
      <c r="I896" s="71"/>
      <c r="J896" s="71"/>
      <c r="K896" s="71"/>
      <c r="L896" s="71"/>
      <c r="M896" s="71"/>
      <c r="N896" s="19"/>
      <c r="O896" s="13"/>
      <c r="P896" s="13"/>
      <c r="Q896" s="13"/>
      <c r="R896" s="13"/>
      <c r="S896" s="13"/>
      <c r="T896" s="13"/>
      <c r="U896" s="13"/>
      <c r="V896" s="13"/>
      <c r="W896" s="13"/>
      <c r="AY896" s="10"/>
      <c r="AZ896" s="10"/>
      <c r="BA896" s="10"/>
    </row>
    <row r="897" spans="1:53" ht="15" x14ac:dyDescent="0.25">
      <c r="A897" s="70"/>
      <c r="B897" s="70"/>
      <c r="C897" s="71"/>
      <c r="D897" s="71"/>
      <c r="E897" s="71"/>
      <c r="F897" s="71"/>
      <c r="G897" s="71"/>
      <c r="H897" s="71"/>
      <c r="I897" s="71"/>
      <c r="J897" s="71"/>
      <c r="K897" s="71"/>
      <c r="L897" s="71"/>
      <c r="M897" s="71"/>
      <c r="N897" s="19"/>
      <c r="O897" s="13"/>
      <c r="P897" s="13"/>
      <c r="Q897" s="13"/>
      <c r="R897" s="13"/>
      <c r="S897" s="13"/>
      <c r="T897" s="13"/>
      <c r="U897" s="13"/>
      <c r="V897" s="13"/>
      <c r="W897" s="13"/>
      <c r="AY897" s="10"/>
      <c r="AZ897" s="10"/>
      <c r="BA897" s="10"/>
    </row>
    <row r="898" spans="1:53" ht="15" x14ac:dyDescent="0.25">
      <c r="A898" s="70"/>
      <c r="B898" s="70"/>
      <c r="C898" s="71"/>
      <c r="D898" s="71"/>
      <c r="E898" s="71"/>
      <c r="F898" s="71"/>
      <c r="G898" s="71"/>
      <c r="H898" s="71"/>
      <c r="I898" s="71"/>
      <c r="J898" s="71"/>
      <c r="K898" s="71"/>
      <c r="L898" s="71"/>
      <c r="M898" s="71"/>
      <c r="N898" s="19"/>
      <c r="O898" s="13"/>
      <c r="P898" s="13"/>
      <c r="Q898" s="13"/>
      <c r="R898" s="13"/>
      <c r="S898" s="13"/>
      <c r="T898" s="13"/>
      <c r="U898" s="13"/>
      <c r="V898" s="13"/>
      <c r="W898" s="13"/>
      <c r="AY898" s="10"/>
      <c r="AZ898" s="10"/>
      <c r="BA898" s="10"/>
    </row>
    <row r="899" spans="1:53" ht="15" x14ac:dyDescent="0.25">
      <c r="A899" s="70"/>
      <c r="B899" s="70"/>
      <c r="C899" s="71"/>
      <c r="D899" s="71"/>
      <c r="E899" s="71"/>
      <c r="F899" s="71"/>
      <c r="G899" s="71"/>
      <c r="H899" s="71"/>
      <c r="I899" s="71"/>
      <c r="J899" s="71"/>
      <c r="K899" s="71"/>
      <c r="L899" s="71"/>
      <c r="M899" s="71"/>
      <c r="N899" s="19"/>
      <c r="O899" s="13"/>
      <c r="P899" s="13"/>
      <c r="Q899" s="13"/>
      <c r="R899" s="13"/>
      <c r="S899" s="13"/>
      <c r="T899" s="13"/>
      <c r="U899" s="13"/>
      <c r="V899" s="13"/>
      <c r="W899" s="13"/>
      <c r="AY899" s="10"/>
      <c r="AZ899" s="10"/>
      <c r="BA899" s="10"/>
    </row>
    <row r="900" spans="1:53" ht="15" x14ac:dyDescent="0.25">
      <c r="A900" s="70"/>
      <c r="B900" s="70"/>
      <c r="C900" s="71"/>
      <c r="D900" s="71"/>
      <c r="E900" s="71"/>
      <c r="F900" s="71"/>
      <c r="G900" s="71"/>
      <c r="H900" s="71"/>
      <c r="I900" s="71"/>
      <c r="J900" s="71"/>
      <c r="K900" s="71"/>
      <c r="L900" s="71"/>
      <c r="M900" s="71"/>
      <c r="N900" s="19"/>
      <c r="O900" s="13"/>
      <c r="P900" s="13"/>
      <c r="Q900" s="13"/>
      <c r="R900" s="13"/>
      <c r="S900" s="13"/>
      <c r="T900" s="13"/>
      <c r="U900" s="13"/>
      <c r="V900" s="13"/>
      <c r="W900" s="13"/>
      <c r="AY900" s="10"/>
      <c r="AZ900" s="10"/>
      <c r="BA900" s="10"/>
    </row>
    <row r="901" spans="1:53" ht="15" x14ac:dyDescent="0.25">
      <c r="A901" s="70"/>
      <c r="B901" s="70"/>
      <c r="C901" s="71"/>
      <c r="D901" s="71"/>
      <c r="E901" s="71"/>
      <c r="F901" s="71"/>
      <c r="G901" s="71"/>
      <c r="H901" s="71"/>
      <c r="I901" s="71"/>
      <c r="J901" s="71"/>
      <c r="K901" s="71"/>
      <c r="L901" s="71"/>
      <c r="M901" s="71"/>
      <c r="N901" s="19"/>
      <c r="O901" s="13"/>
      <c r="P901" s="13"/>
      <c r="Q901" s="13"/>
      <c r="R901" s="13"/>
      <c r="S901" s="13"/>
      <c r="T901" s="13"/>
      <c r="U901" s="13"/>
      <c r="V901" s="13"/>
      <c r="W901" s="13"/>
      <c r="AY901" s="10"/>
      <c r="AZ901" s="10"/>
      <c r="BA901" s="10"/>
    </row>
    <row r="902" spans="1:53" ht="15" x14ac:dyDescent="0.25">
      <c r="A902" s="70"/>
      <c r="B902" s="70"/>
      <c r="C902" s="71"/>
      <c r="D902" s="71"/>
      <c r="E902" s="71"/>
      <c r="F902" s="71"/>
      <c r="G902" s="71"/>
      <c r="H902" s="71"/>
      <c r="I902" s="71"/>
      <c r="J902" s="71"/>
      <c r="K902" s="71"/>
      <c r="L902" s="71"/>
      <c r="M902" s="71"/>
      <c r="N902" s="19"/>
      <c r="O902" s="13"/>
      <c r="P902" s="13"/>
      <c r="Q902" s="13"/>
      <c r="R902" s="13"/>
      <c r="S902" s="13"/>
      <c r="T902" s="13"/>
      <c r="U902" s="13"/>
      <c r="V902" s="13"/>
      <c r="W902" s="13"/>
      <c r="AY902" s="10"/>
      <c r="AZ902" s="10"/>
      <c r="BA902" s="10"/>
    </row>
    <row r="903" spans="1:53" ht="15" x14ac:dyDescent="0.25">
      <c r="A903" s="70"/>
      <c r="B903" s="70"/>
      <c r="C903" s="71"/>
      <c r="D903" s="71"/>
      <c r="E903" s="71"/>
      <c r="F903" s="71"/>
      <c r="G903" s="71"/>
      <c r="H903" s="71"/>
      <c r="I903" s="71"/>
      <c r="J903" s="71"/>
      <c r="K903" s="71"/>
      <c r="L903" s="71"/>
      <c r="M903" s="71"/>
      <c r="N903" s="19"/>
      <c r="O903" s="13"/>
      <c r="P903" s="13"/>
      <c r="Q903" s="13"/>
      <c r="R903" s="13"/>
      <c r="S903" s="13"/>
      <c r="T903" s="13"/>
      <c r="U903" s="13"/>
      <c r="V903" s="13"/>
      <c r="W903" s="13"/>
      <c r="AY903" s="10"/>
      <c r="AZ903" s="10"/>
      <c r="BA903" s="10"/>
    </row>
    <row r="904" spans="1:53" ht="15" x14ac:dyDescent="0.25">
      <c r="A904" s="70"/>
      <c r="B904" s="70"/>
      <c r="C904" s="71"/>
      <c r="D904" s="71"/>
      <c r="E904" s="71"/>
      <c r="F904" s="71"/>
      <c r="G904" s="71"/>
      <c r="H904" s="71"/>
      <c r="I904" s="71"/>
      <c r="J904" s="71"/>
      <c r="K904" s="71"/>
      <c r="L904" s="71"/>
      <c r="M904" s="71"/>
      <c r="N904" s="19"/>
      <c r="O904" s="13"/>
      <c r="P904" s="13"/>
      <c r="Q904" s="13"/>
      <c r="R904" s="13"/>
      <c r="S904" s="13"/>
      <c r="T904" s="13"/>
      <c r="U904" s="13"/>
      <c r="V904" s="13"/>
      <c r="W904" s="13"/>
      <c r="AY904" s="10"/>
      <c r="AZ904" s="10"/>
      <c r="BA904" s="10"/>
    </row>
    <row r="905" spans="1:53" ht="15" x14ac:dyDescent="0.25">
      <c r="A905" s="70"/>
      <c r="B905" s="70"/>
      <c r="C905" s="71"/>
      <c r="D905" s="71"/>
      <c r="E905" s="71"/>
      <c r="F905" s="71"/>
      <c r="G905" s="71"/>
      <c r="H905" s="71"/>
      <c r="I905" s="71"/>
      <c r="J905" s="71"/>
      <c r="K905" s="71"/>
      <c r="L905" s="71"/>
      <c r="M905" s="71"/>
      <c r="N905" s="19"/>
      <c r="O905" s="13"/>
      <c r="P905" s="13"/>
      <c r="Q905" s="13"/>
      <c r="R905" s="13"/>
      <c r="S905" s="13"/>
      <c r="T905" s="13"/>
      <c r="U905" s="13"/>
      <c r="V905" s="13"/>
      <c r="W905" s="13"/>
      <c r="AY905" s="10"/>
      <c r="AZ905" s="10"/>
      <c r="BA905" s="10"/>
    </row>
    <row r="906" spans="1:53" ht="15" x14ac:dyDescent="0.25">
      <c r="A906" s="70"/>
      <c r="B906" s="70"/>
      <c r="C906" s="71"/>
      <c r="D906" s="71"/>
      <c r="E906" s="71"/>
      <c r="F906" s="71"/>
      <c r="G906" s="71"/>
      <c r="H906" s="71"/>
      <c r="I906" s="71"/>
      <c r="J906" s="71"/>
      <c r="K906" s="71"/>
      <c r="L906" s="71"/>
      <c r="M906" s="71"/>
      <c r="N906" s="19"/>
      <c r="O906" s="13"/>
      <c r="P906" s="13"/>
      <c r="Q906" s="13"/>
      <c r="R906" s="13"/>
      <c r="S906" s="13"/>
      <c r="T906" s="13"/>
      <c r="U906" s="13"/>
      <c r="V906" s="13"/>
      <c r="W906" s="13"/>
      <c r="AY906" s="10"/>
      <c r="AZ906" s="10"/>
      <c r="BA906" s="10"/>
    </row>
    <row r="907" spans="1:53" ht="15" x14ac:dyDescent="0.25">
      <c r="A907" s="70"/>
      <c r="B907" s="70"/>
      <c r="C907" s="71"/>
      <c r="D907" s="71"/>
      <c r="E907" s="71"/>
      <c r="F907" s="71"/>
      <c r="G907" s="71"/>
      <c r="H907" s="71"/>
      <c r="I907" s="71"/>
      <c r="J907" s="71"/>
      <c r="K907" s="71"/>
      <c r="L907" s="71"/>
      <c r="M907" s="71"/>
      <c r="N907" s="19"/>
      <c r="O907" s="13"/>
      <c r="P907" s="13"/>
      <c r="Q907" s="13"/>
      <c r="R907" s="13"/>
      <c r="S907" s="13"/>
      <c r="T907" s="13"/>
      <c r="U907" s="13"/>
      <c r="V907" s="13"/>
      <c r="W907" s="13"/>
      <c r="AY907" s="10"/>
      <c r="AZ907" s="10"/>
      <c r="BA907" s="10"/>
    </row>
    <row r="908" spans="1:53" ht="15" x14ac:dyDescent="0.25">
      <c r="A908" s="70"/>
      <c r="B908" s="70"/>
      <c r="C908" s="71"/>
      <c r="D908" s="71"/>
      <c r="E908" s="71"/>
      <c r="F908" s="71"/>
      <c r="G908" s="71"/>
      <c r="H908" s="71"/>
      <c r="I908" s="71"/>
      <c r="J908" s="71"/>
      <c r="K908" s="71"/>
      <c r="L908" s="71"/>
      <c r="M908" s="71"/>
      <c r="N908" s="19"/>
      <c r="O908" s="13"/>
      <c r="P908" s="13"/>
      <c r="Q908" s="13"/>
      <c r="R908" s="13"/>
      <c r="S908" s="13"/>
      <c r="T908" s="13"/>
      <c r="U908" s="13"/>
      <c r="V908" s="13"/>
      <c r="W908" s="13"/>
      <c r="AY908" s="10"/>
      <c r="AZ908" s="10"/>
      <c r="BA908" s="10"/>
    </row>
    <row r="909" spans="1:53" ht="15" x14ac:dyDescent="0.25">
      <c r="A909" s="70"/>
      <c r="B909" s="70"/>
      <c r="C909" s="71"/>
      <c r="D909" s="71"/>
      <c r="E909" s="71"/>
      <c r="F909" s="71"/>
      <c r="G909" s="71"/>
      <c r="H909" s="71"/>
      <c r="I909" s="71"/>
      <c r="J909" s="71"/>
      <c r="K909" s="71"/>
      <c r="L909" s="71"/>
      <c r="M909" s="71"/>
      <c r="N909" s="19"/>
      <c r="O909" s="13"/>
      <c r="P909" s="13"/>
      <c r="Q909" s="13"/>
      <c r="R909" s="13"/>
      <c r="S909" s="13"/>
      <c r="T909" s="13"/>
      <c r="U909" s="13"/>
      <c r="V909" s="13"/>
      <c r="W909" s="13"/>
      <c r="AY909" s="10"/>
      <c r="AZ909" s="10"/>
      <c r="BA909" s="10"/>
    </row>
    <row r="910" spans="1:53" ht="15" x14ac:dyDescent="0.25">
      <c r="A910" s="70"/>
      <c r="B910" s="70"/>
      <c r="C910" s="71"/>
      <c r="D910" s="71"/>
      <c r="E910" s="71"/>
      <c r="F910" s="71"/>
      <c r="G910" s="71"/>
      <c r="H910" s="71"/>
      <c r="I910" s="71"/>
      <c r="J910" s="71"/>
      <c r="K910" s="71"/>
      <c r="L910" s="71"/>
      <c r="M910" s="71"/>
      <c r="N910" s="19"/>
      <c r="O910" s="13"/>
      <c r="P910" s="13"/>
      <c r="Q910" s="13"/>
      <c r="R910" s="13"/>
      <c r="S910" s="13"/>
      <c r="T910" s="13"/>
      <c r="U910" s="13"/>
      <c r="V910" s="13"/>
      <c r="W910" s="13"/>
      <c r="AY910" s="10"/>
      <c r="AZ910" s="10"/>
      <c r="BA910" s="10"/>
    </row>
    <row r="911" spans="1:53" ht="15" x14ac:dyDescent="0.25">
      <c r="A911" s="70"/>
      <c r="B911" s="70"/>
      <c r="C911" s="71"/>
      <c r="D911" s="71"/>
      <c r="E911" s="71"/>
      <c r="F911" s="71"/>
      <c r="G911" s="71"/>
      <c r="H911" s="71"/>
      <c r="I911" s="71"/>
      <c r="J911" s="71"/>
      <c r="K911" s="71"/>
      <c r="L911" s="71"/>
      <c r="M911" s="71"/>
      <c r="N911" s="19"/>
      <c r="O911" s="13"/>
      <c r="P911" s="13"/>
      <c r="Q911" s="13"/>
      <c r="R911" s="13"/>
      <c r="S911" s="13"/>
      <c r="T911" s="13"/>
      <c r="U911" s="13"/>
      <c r="V911" s="13"/>
      <c r="W911" s="13"/>
      <c r="AY911" s="10"/>
      <c r="AZ911" s="10"/>
      <c r="BA911" s="10"/>
    </row>
    <row r="912" spans="1:53" ht="15" x14ac:dyDescent="0.25">
      <c r="A912" s="70"/>
      <c r="B912" s="70"/>
      <c r="C912" s="71"/>
      <c r="D912" s="71"/>
      <c r="E912" s="71"/>
      <c r="F912" s="71"/>
      <c r="G912" s="71"/>
      <c r="H912" s="71"/>
      <c r="I912" s="71"/>
      <c r="J912" s="71"/>
      <c r="K912" s="71"/>
      <c r="L912" s="71"/>
      <c r="M912" s="71"/>
      <c r="N912" s="19"/>
      <c r="O912" s="13"/>
      <c r="P912" s="13"/>
      <c r="Q912" s="13"/>
      <c r="R912" s="13"/>
      <c r="S912" s="13"/>
      <c r="T912" s="13"/>
      <c r="U912" s="13"/>
      <c r="V912" s="13"/>
      <c r="W912" s="13"/>
      <c r="AY912" s="10"/>
      <c r="AZ912" s="10"/>
      <c r="BA912" s="10"/>
    </row>
    <row r="913" spans="1:53" ht="15" x14ac:dyDescent="0.25">
      <c r="A913" s="70"/>
      <c r="B913" s="70"/>
      <c r="C913" s="71"/>
      <c r="D913" s="71"/>
      <c r="E913" s="71"/>
      <c r="F913" s="71"/>
      <c r="G913" s="71"/>
      <c r="H913" s="71"/>
      <c r="I913" s="71"/>
      <c r="J913" s="71"/>
      <c r="K913" s="71"/>
      <c r="L913" s="71"/>
      <c r="M913" s="71"/>
      <c r="N913" s="19"/>
      <c r="O913" s="13"/>
      <c r="P913" s="13"/>
      <c r="Q913" s="13"/>
      <c r="R913" s="13"/>
      <c r="S913" s="13"/>
      <c r="T913" s="13"/>
      <c r="U913" s="13"/>
      <c r="V913" s="13"/>
      <c r="W913" s="13"/>
      <c r="AY913" s="10"/>
      <c r="AZ913" s="10"/>
      <c r="BA913" s="10"/>
    </row>
    <row r="914" spans="1:53" ht="15" x14ac:dyDescent="0.25">
      <c r="A914" s="70"/>
      <c r="B914" s="70"/>
      <c r="C914" s="71"/>
      <c r="D914" s="71"/>
      <c r="E914" s="71"/>
      <c r="F914" s="71"/>
      <c r="G914" s="71"/>
      <c r="H914" s="71"/>
      <c r="I914" s="71"/>
      <c r="J914" s="71"/>
      <c r="K914" s="71"/>
      <c r="L914" s="71"/>
      <c r="M914" s="71"/>
      <c r="N914" s="19"/>
      <c r="O914" s="13"/>
      <c r="P914" s="13"/>
      <c r="Q914" s="13"/>
      <c r="R914" s="13"/>
      <c r="S914" s="13"/>
      <c r="T914" s="13"/>
      <c r="U914" s="13"/>
      <c r="V914" s="13"/>
      <c r="W914" s="13"/>
      <c r="AY914" s="10"/>
      <c r="AZ914" s="10"/>
      <c r="BA914" s="10"/>
    </row>
    <row r="915" spans="1:53" ht="15" x14ac:dyDescent="0.25">
      <c r="A915" s="70"/>
      <c r="B915" s="70"/>
      <c r="C915" s="71"/>
      <c r="D915" s="71"/>
      <c r="E915" s="71"/>
      <c r="F915" s="71"/>
      <c r="G915" s="71"/>
      <c r="H915" s="71"/>
      <c r="I915" s="71"/>
      <c r="J915" s="71"/>
      <c r="K915" s="71"/>
      <c r="L915" s="71"/>
      <c r="M915" s="71"/>
      <c r="N915" s="19"/>
      <c r="O915" s="13"/>
      <c r="P915" s="13"/>
      <c r="Q915" s="13"/>
      <c r="R915" s="13"/>
      <c r="S915" s="13"/>
      <c r="T915" s="13"/>
      <c r="U915" s="13"/>
      <c r="V915" s="13"/>
      <c r="W915" s="13"/>
      <c r="AY915" s="10"/>
      <c r="AZ915" s="10"/>
      <c r="BA915" s="10"/>
    </row>
    <row r="916" spans="1:53" ht="15" x14ac:dyDescent="0.25">
      <c r="A916" s="70"/>
      <c r="B916" s="70"/>
      <c r="C916" s="71"/>
      <c r="D916" s="71"/>
      <c r="E916" s="71"/>
      <c r="F916" s="71"/>
      <c r="G916" s="71"/>
      <c r="H916" s="71"/>
      <c r="I916" s="71"/>
      <c r="J916" s="71"/>
      <c r="K916" s="71"/>
      <c r="L916" s="71"/>
      <c r="M916" s="71"/>
      <c r="N916" s="19"/>
      <c r="O916" s="13"/>
      <c r="P916" s="13"/>
      <c r="Q916" s="13"/>
      <c r="R916" s="13"/>
      <c r="S916" s="13"/>
      <c r="T916" s="13"/>
      <c r="U916" s="13"/>
      <c r="V916" s="13"/>
      <c r="W916" s="13"/>
      <c r="AY916" s="10"/>
      <c r="AZ916" s="10"/>
      <c r="BA916" s="10"/>
    </row>
    <row r="917" spans="1:53" ht="15" x14ac:dyDescent="0.25">
      <c r="A917" s="70"/>
      <c r="B917" s="70"/>
      <c r="C917" s="71"/>
      <c r="D917" s="71"/>
      <c r="E917" s="71"/>
      <c r="F917" s="71"/>
      <c r="G917" s="71"/>
      <c r="H917" s="71"/>
      <c r="I917" s="71"/>
      <c r="J917" s="71"/>
      <c r="K917" s="71"/>
      <c r="L917" s="71"/>
      <c r="M917" s="71"/>
      <c r="N917" s="19"/>
      <c r="O917" s="13"/>
      <c r="P917" s="13"/>
      <c r="Q917" s="13"/>
      <c r="R917" s="13"/>
      <c r="S917" s="13"/>
      <c r="T917" s="13"/>
      <c r="U917" s="13"/>
      <c r="V917" s="13"/>
      <c r="W917" s="13"/>
      <c r="AY917" s="10"/>
      <c r="AZ917" s="10"/>
      <c r="BA917" s="10"/>
    </row>
    <row r="918" spans="1:53" ht="15" x14ac:dyDescent="0.25">
      <c r="A918" s="70"/>
      <c r="B918" s="70"/>
      <c r="C918" s="71"/>
      <c r="D918" s="71"/>
      <c r="E918" s="71"/>
      <c r="F918" s="71"/>
      <c r="G918" s="71"/>
      <c r="H918" s="71"/>
      <c r="I918" s="71"/>
      <c r="J918" s="71"/>
      <c r="K918" s="71"/>
      <c r="L918" s="71"/>
      <c r="M918" s="71"/>
      <c r="N918" s="19"/>
      <c r="O918" s="13"/>
      <c r="P918" s="13"/>
      <c r="Q918" s="13"/>
      <c r="R918" s="13"/>
      <c r="S918" s="13"/>
      <c r="T918" s="13"/>
      <c r="U918" s="13"/>
      <c r="V918" s="13"/>
      <c r="W918" s="13"/>
      <c r="AY918" s="10"/>
      <c r="AZ918" s="10"/>
      <c r="BA918" s="10"/>
    </row>
    <row r="919" spans="1:53" ht="15" x14ac:dyDescent="0.25">
      <c r="A919" s="70"/>
      <c r="B919" s="70"/>
      <c r="C919" s="71"/>
      <c r="D919" s="71"/>
      <c r="E919" s="71"/>
      <c r="F919" s="71"/>
      <c r="G919" s="71"/>
      <c r="H919" s="71"/>
      <c r="I919" s="71"/>
      <c r="J919" s="71"/>
      <c r="K919" s="71"/>
      <c r="L919" s="71"/>
      <c r="M919" s="71"/>
      <c r="N919" s="19"/>
      <c r="O919" s="13"/>
      <c r="P919" s="13"/>
      <c r="Q919" s="13"/>
      <c r="R919" s="13"/>
      <c r="S919" s="13"/>
      <c r="T919" s="13"/>
      <c r="U919" s="13"/>
      <c r="V919" s="13"/>
      <c r="W919" s="13"/>
      <c r="AY919" s="10"/>
      <c r="AZ919" s="10"/>
      <c r="BA919" s="10"/>
    </row>
    <row r="920" spans="1:53" ht="15" x14ac:dyDescent="0.25">
      <c r="A920" s="70"/>
      <c r="B920" s="70"/>
      <c r="C920" s="71"/>
      <c r="D920" s="71"/>
      <c r="E920" s="71"/>
      <c r="F920" s="71"/>
      <c r="G920" s="71"/>
      <c r="H920" s="71"/>
      <c r="I920" s="71"/>
      <c r="J920" s="71"/>
      <c r="K920" s="71"/>
      <c r="L920" s="71"/>
      <c r="M920" s="71"/>
      <c r="N920" s="19"/>
      <c r="O920" s="13"/>
      <c r="P920" s="13"/>
      <c r="Q920" s="13"/>
      <c r="R920" s="13"/>
      <c r="S920" s="13"/>
      <c r="T920" s="13"/>
      <c r="U920" s="13"/>
      <c r="V920" s="13"/>
      <c r="W920" s="13"/>
      <c r="AY920" s="10"/>
      <c r="AZ920" s="10"/>
      <c r="BA920" s="10"/>
    </row>
    <row r="921" spans="1:53" ht="15" x14ac:dyDescent="0.25">
      <c r="A921" s="70"/>
      <c r="B921" s="70"/>
      <c r="C921" s="71"/>
      <c r="D921" s="71"/>
      <c r="E921" s="71"/>
      <c r="F921" s="71"/>
      <c r="G921" s="71"/>
      <c r="H921" s="71"/>
      <c r="I921" s="71"/>
      <c r="J921" s="71"/>
      <c r="K921" s="71"/>
      <c r="L921" s="71"/>
      <c r="M921" s="71"/>
      <c r="N921" s="19"/>
      <c r="O921" s="13"/>
      <c r="P921" s="13"/>
      <c r="Q921" s="13"/>
      <c r="R921" s="13"/>
      <c r="S921" s="13"/>
      <c r="T921" s="13"/>
      <c r="U921" s="13"/>
      <c r="V921" s="13"/>
      <c r="W921" s="13"/>
      <c r="AY921" s="10"/>
      <c r="AZ921" s="10"/>
      <c r="BA921" s="10"/>
    </row>
    <row r="922" spans="1:53" ht="15" x14ac:dyDescent="0.25">
      <c r="A922" s="70"/>
      <c r="B922" s="70"/>
      <c r="C922" s="71"/>
      <c r="D922" s="71"/>
      <c r="E922" s="71"/>
      <c r="F922" s="71"/>
      <c r="G922" s="71"/>
      <c r="H922" s="71"/>
      <c r="I922" s="71"/>
      <c r="J922" s="71"/>
      <c r="K922" s="71"/>
      <c r="L922" s="71"/>
      <c r="M922" s="71"/>
      <c r="N922" s="19"/>
      <c r="O922" s="13"/>
      <c r="P922" s="13"/>
      <c r="Q922" s="13"/>
      <c r="R922" s="13"/>
      <c r="S922" s="13"/>
      <c r="T922" s="13"/>
      <c r="U922" s="13"/>
      <c r="V922" s="13"/>
      <c r="W922" s="13"/>
      <c r="AY922" s="10"/>
      <c r="AZ922" s="10"/>
      <c r="BA922" s="10"/>
    </row>
    <row r="923" spans="1:53" ht="15" x14ac:dyDescent="0.25">
      <c r="A923" s="70"/>
      <c r="B923" s="70"/>
      <c r="C923" s="71"/>
      <c r="D923" s="71"/>
      <c r="E923" s="71"/>
      <c r="F923" s="71"/>
      <c r="G923" s="71"/>
      <c r="H923" s="71"/>
      <c r="I923" s="71"/>
      <c r="J923" s="71"/>
      <c r="K923" s="71"/>
      <c r="L923" s="71"/>
      <c r="M923" s="71"/>
      <c r="N923" s="19"/>
      <c r="O923" s="13"/>
      <c r="P923" s="13"/>
      <c r="Q923" s="13"/>
      <c r="R923" s="13"/>
      <c r="S923" s="13"/>
      <c r="T923" s="13"/>
      <c r="U923" s="13"/>
      <c r="V923" s="13"/>
      <c r="W923" s="13"/>
      <c r="AY923" s="10"/>
      <c r="AZ923" s="10"/>
      <c r="BA923" s="10"/>
    </row>
    <row r="924" spans="1:53" ht="15" x14ac:dyDescent="0.25">
      <c r="A924" s="70"/>
      <c r="B924" s="70"/>
      <c r="C924" s="71"/>
      <c r="D924" s="71"/>
      <c r="E924" s="71"/>
      <c r="F924" s="71"/>
      <c r="G924" s="71"/>
      <c r="H924" s="71"/>
      <c r="I924" s="71"/>
      <c r="J924" s="71"/>
      <c r="K924" s="71"/>
      <c r="L924" s="71"/>
      <c r="M924" s="71"/>
      <c r="N924" s="19"/>
      <c r="O924" s="13"/>
      <c r="P924" s="13"/>
      <c r="Q924" s="13"/>
      <c r="R924" s="13"/>
      <c r="S924" s="13"/>
      <c r="T924" s="13"/>
      <c r="U924" s="13"/>
      <c r="V924" s="13"/>
      <c r="W924" s="13"/>
      <c r="AY924" s="10"/>
      <c r="AZ924" s="10"/>
      <c r="BA924" s="10"/>
    </row>
    <row r="925" spans="1:53" ht="15" x14ac:dyDescent="0.25">
      <c r="A925" s="70"/>
      <c r="B925" s="70"/>
      <c r="C925" s="71"/>
      <c r="D925" s="71"/>
      <c r="E925" s="71"/>
      <c r="F925" s="71"/>
      <c r="G925" s="71"/>
      <c r="H925" s="71"/>
      <c r="I925" s="71"/>
      <c r="J925" s="71"/>
      <c r="K925" s="71"/>
      <c r="L925" s="71"/>
      <c r="M925" s="71"/>
      <c r="N925" s="19"/>
      <c r="O925" s="13"/>
      <c r="P925" s="13"/>
      <c r="Q925" s="13"/>
      <c r="R925" s="13"/>
      <c r="S925" s="13"/>
      <c r="T925" s="13"/>
      <c r="U925" s="13"/>
      <c r="V925" s="13"/>
      <c r="W925" s="13"/>
      <c r="AY925" s="10"/>
      <c r="AZ925" s="10"/>
      <c r="BA925" s="10"/>
    </row>
    <row r="926" spans="1:53" ht="15" x14ac:dyDescent="0.25">
      <c r="A926" s="70"/>
      <c r="B926" s="70"/>
      <c r="C926" s="71"/>
      <c r="D926" s="71"/>
      <c r="E926" s="71"/>
      <c r="F926" s="71"/>
      <c r="G926" s="71"/>
      <c r="H926" s="71"/>
      <c r="I926" s="71"/>
      <c r="J926" s="71"/>
      <c r="K926" s="71"/>
      <c r="L926" s="71"/>
      <c r="M926" s="71"/>
      <c r="N926" s="19"/>
      <c r="O926" s="13"/>
      <c r="P926" s="13"/>
      <c r="Q926" s="13"/>
      <c r="R926" s="13"/>
      <c r="S926" s="13"/>
      <c r="T926" s="13"/>
      <c r="U926" s="13"/>
      <c r="V926" s="13"/>
      <c r="W926" s="13"/>
      <c r="AY926" s="10"/>
      <c r="AZ926" s="10"/>
      <c r="BA926" s="10"/>
    </row>
    <row r="927" spans="1:53" ht="15" x14ac:dyDescent="0.25">
      <c r="A927" s="70"/>
      <c r="B927" s="70"/>
      <c r="C927" s="71"/>
      <c r="D927" s="71"/>
      <c r="E927" s="71"/>
      <c r="F927" s="71"/>
      <c r="G927" s="71"/>
      <c r="H927" s="71"/>
      <c r="I927" s="71"/>
      <c r="J927" s="71"/>
      <c r="K927" s="71"/>
      <c r="L927" s="71"/>
      <c r="M927" s="71"/>
      <c r="N927" s="19"/>
      <c r="O927" s="13"/>
      <c r="P927" s="13"/>
      <c r="Q927" s="13"/>
      <c r="R927" s="13"/>
      <c r="S927" s="13"/>
      <c r="T927" s="13"/>
      <c r="U927" s="13"/>
      <c r="V927" s="13"/>
      <c r="W927" s="13"/>
      <c r="AY927" s="10"/>
      <c r="AZ927" s="10"/>
      <c r="BA927" s="10"/>
    </row>
    <row r="928" spans="1:53" ht="15" x14ac:dyDescent="0.25">
      <c r="A928" s="70"/>
      <c r="B928" s="70"/>
      <c r="C928" s="71"/>
      <c r="D928" s="71"/>
      <c r="E928" s="71"/>
      <c r="F928" s="71"/>
      <c r="G928" s="71"/>
      <c r="H928" s="71"/>
      <c r="I928" s="71"/>
      <c r="J928" s="71"/>
      <c r="K928" s="71"/>
      <c r="L928" s="71"/>
      <c r="M928" s="71"/>
      <c r="N928" s="19"/>
      <c r="O928" s="13"/>
      <c r="P928" s="13"/>
      <c r="Q928" s="13"/>
      <c r="R928" s="13"/>
      <c r="S928" s="13"/>
      <c r="T928" s="13"/>
      <c r="U928" s="13"/>
      <c r="V928" s="13"/>
      <c r="W928" s="13"/>
      <c r="AY928" s="10"/>
      <c r="AZ928" s="10"/>
      <c r="BA928" s="10"/>
    </row>
    <row r="929" spans="1:53" ht="15" x14ac:dyDescent="0.25">
      <c r="A929" s="70"/>
      <c r="B929" s="70"/>
      <c r="C929" s="71"/>
      <c r="D929" s="71"/>
      <c r="E929" s="71"/>
      <c r="F929" s="71"/>
      <c r="G929" s="71"/>
      <c r="H929" s="71"/>
      <c r="I929" s="71"/>
      <c r="J929" s="71"/>
      <c r="K929" s="71"/>
      <c r="L929" s="71"/>
      <c r="M929" s="71"/>
      <c r="N929" s="19"/>
      <c r="O929" s="13"/>
      <c r="P929" s="13"/>
      <c r="Q929" s="13"/>
      <c r="R929" s="13"/>
      <c r="S929" s="13"/>
      <c r="T929" s="13"/>
      <c r="U929" s="13"/>
      <c r="V929" s="13"/>
      <c r="W929" s="13"/>
      <c r="AY929" s="10"/>
      <c r="AZ929" s="10"/>
      <c r="BA929" s="10"/>
    </row>
    <row r="930" spans="1:53" ht="15" x14ac:dyDescent="0.25">
      <c r="A930" s="70"/>
      <c r="B930" s="70"/>
      <c r="C930" s="71"/>
      <c r="D930" s="71"/>
      <c r="E930" s="71"/>
      <c r="F930" s="71"/>
      <c r="G930" s="71"/>
      <c r="H930" s="71"/>
      <c r="I930" s="71"/>
      <c r="J930" s="71"/>
      <c r="K930" s="71"/>
      <c r="L930" s="71"/>
      <c r="M930" s="71"/>
      <c r="N930" s="19"/>
      <c r="O930" s="13"/>
      <c r="P930" s="13"/>
      <c r="Q930" s="13"/>
      <c r="R930" s="13"/>
      <c r="S930" s="13"/>
      <c r="T930" s="13"/>
      <c r="U930" s="13"/>
      <c r="V930" s="13"/>
      <c r="W930" s="13"/>
      <c r="AY930" s="10"/>
      <c r="AZ930" s="10"/>
      <c r="BA930" s="10"/>
    </row>
    <row r="931" spans="1:53" ht="15" x14ac:dyDescent="0.25">
      <c r="A931" s="70"/>
      <c r="B931" s="70"/>
      <c r="C931" s="71"/>
      <c r="D931" s="71"/>
      <c r="E931" s="71"/>
      <c r="F931" s="71"/>
      <c r="G931" s="71"/>
      <c r="H931" s="71"/>
      <c r="I931" s="71"/>
      <c r="J931" s="71"/>
      <c r="K931" s="71"/>
      <c r="L931" s="71"/>
      <c r="M931" s="71"/>
      <c r="N931" s="19"/>
      <c r="O931" s="13"/>
      <c r="P931" s="13"/>
      <c r="Q931" s="13"/>
      <c r="R931" s="13"/>
      <c r="S931" s="13"/>
      <c r="T931" s="13"/>
      <c r="U931" s="13"/>
      <c r="V931" s="13"/>
      <c r="W931" s="13"/>
      <c r="AY931" s="10"/>
      <c r="AZ931" s="10"/>
      <c r="BA931" s="10"/>
    </row>
    <row r="932" spans="1:53" ht="15" x14ac:dyDescent="0.25">
      <c r="A932" s="70"/>
      <c r="B932" s="70"/>
      <c r="C932" s="71"/>
      <c r="D932" s="71"/>
      <c r="E932" s="71"/>
      <c r="F932" s="71"/>
      <c r="G932" s="71"/>
      <c r="H932" s="71"/>
      <c r="I932" s="71"/>
      <c r="J932" s="71"/>
      <c r="K932" s="71"/>
      <c r="L932" s="71"/>
      <c r="M932" s="71"/>
      <c r="N932" s="19"/>
      <c r="O932" s="13"/>
      <c r="P932" s="13"/>
      <c r="Q932" s="13"/>
      <c r="R932" s="13"/>
      <c r="S932" s="13"/>
      <c r="T932" s="13"/>
      <c r="U932" s="13"/>
      <c r="V932" s="13"/>
      <c r="W932" s="13"/>
      <c r="AY932" s="10"/>
      <c r="AZ932" s="10"/>
      <c r="BA932" s="10"/>
    </row>
    <row r="933" spans="1:53" ht="15" x14ac:dyDescent="0.25">
      <c r="A933" s="70"/>
      <c r="B933" s="70"/>
      <c r="C933" s="71"/>
      <c r="D933" s="71"/>
      <c r="E933" s="71"/>
      <c r="F933" s="71"/>
      <c r="G933" s="71"/>
      <c r="H933" s="71"/>
      <c r="I933" s="71"/>
      <c r="J933" s="71"/>
      <c r="K933" s="71"/>
      <c r="L933" s="71"/>
      <c r="M933" s="71"/>
      <c r="N933" s="19"/>
      <c r="O933" s="13"/>
      <c r="P933" s="13"/>
      <c r="Q933" s="13"/>
      <c r="R933" s="13"/>
      <c r="S933" s="13"/>
      <c r="T933" s="13"/>
      <c r="U933" s="13"/>
      <c r="V933" s="13"/>
      <c r="W933" s="13"/>
      <c r="AY933" s="10"/>
      <c r="AZ933" s="10"/>
      <c r="BA933" s="10"/>
    </row>
    <row r="934" spans="1:53" ht="15" x14ac:dyDescent="0.25">
      <c r="A934" s="70"/>
      <c r="B934" s="70"/>
      <c r="C934" s="71"/>
      <c r="D934" s="71"/>
      <c r="E934" s="71"/>
      <c r="F934" s="71"/>
      <c r="G934" s="71"/>
      <c r="H934" s="71"/>
      <c r="I934" s="71"/>
      <c r="J934" s="71"/>
      <c r="K934" s="71"/>
      <c r="L934" s="71"/>
      <c r="M934" s="71"/>
      <c r="N934" s="19"/>
      <c r="O934" s="13"/>
      <c r="P934" s="13"/>
      <c r="Q934" s="13"/>
      <c r="R934" s="13"/>
      <c r="S934" s="13"/>
      <c r="T934" s="13"/>
      <c r="U934" s="13"/>
      <c r="V934" s="13"/>
      <c r="W934" s="13"/>
      <c r="AY934" s="10"/>
      <c r="AZ934" s="10"/>
      <c r="BA934" s="10"/>
    </row>
    <row r="935" spans="1:53" ht="15" x14ac:dyDescent="0.25">
      <c r="A935" s="70"/>
      <c r="B935" s="70"/>
      <c r="C935" s="71"/>
      <c r="D935" s="71"/>
      <c r="E935" s="71"/>
      <c r="F935" s="71"/>
      <c r="G935" s="71"/>
      <c r="H935" s="71"/>
      <c r="I935" s="71"/>
      <c r="J935" s="71"/>
      <c r="K935" s="71"/>
      <c r="L935" s="71"/>
      <c r="M935" s="71"/>
      <c r="N935" s="19"/>
      <c r="O935" s="13"/>
      <c r="P935" s="13"/>
      <c r="Q935" s="13"/>
      <c r="R935" s="13"/>
      <c r="S935" s="13"/>
      <c r="T935" s="13"/>
      <c r="U935" s="13"/>
      <c r="V935" s="13"/>
      <c r="W935" s="13"/>
      <c r="AY935" s="10"/>
      <c r="AZ935" s="10"/>
      <c r="BA935" s="10"/>
    </row>
    <row r="936" spans="1:53" ht="15" x14ac:dyDescent="0.25">
      <c r="A936" s="70"/>
      <c r="B936" s="70"/>
      <c r="C936" s="71"/>
      <c r="D936" s="71"/>
      <c r="E936" s="71"/>
      <c r="F936" s="71"/>
      <c r="G936" s="71"/>
      <c r="H936" s="71"/>
      <c r="I936" s="71"/>
      <c r="J936" s="71"/>
      <c r="K936" s="71"/>
      <c r="L936" s="71"/>
      <c r="M936" s="71"/>
      <c r="N936" s="19"/>
      <c r="O936" s="13"/>
      <c r="P936" s="13"/>
      <c r="Q936" s="13"/>
      <c r="R936" s="13"/>
      <c r="S936" s="13"/>
      <c r="T936" s="13"/>
      <c r="U936" s="13"/>
      <c r="V936" s="13"/>
      <c r="W936" s="13"/>
      <c r="AY936" s="10"/>
      <c r="AZ936" s="10"/>
      <c r="BA936" s="10"/>
    </row>
    <row r="937" spans="1:53" ht="15" x14ac:dyDescent="0.25">
      <c r="A937" s="70"/>
      <c r="B937" s="70"/>
      <c r="C937" s="71"/>
      <c r="D937" s="71"/>
      <c r="E937" s="71"/>
      <c r="F937" s="71"/>
      <c r="G937" s="71"/>
      <c r="H937" s="71"/>
      <c r="I937" s="71"/>
      <c r="J937" s="71"/>
      <c r="K937" s="71"/>
      <c r="L937" s="71"/>
      <c r="M937" s="71"/>
      <c r="N937" s="19"/>
      <c r="O937" s="13"/>
      <c r="P937" s="13"/>
      <c r="Q937" s="13"/>
      <c r="R937" s="13"/>
      <c r="S937" s="13"/>
      <c r="T937" s="13"/>
      <c r="U937" s="13"/>
      <c r="V937" s="13"/>
      <c r="W937" s="13"/>
      <c r="AY937" s="10"/>
      <c r="AZ937" s="10"/>
      <c r="BA937" s="10"/>
    </row>
    <row r="938" spans="1:53" ht="15" x14ac:dyDescent="0.25">
      <c r="A938" s="70"/>
      <c r="B938" s="70"/>
      <c r="C938" s="71"/>
      <c r="D938" s="71"/>
      <c r="E938" s="71"/>
      <c r="F938" s="71"/>
      <c r="G938" s="71"/>
      <c r="H938" s="71"/>
      <c r="I938" s="71"/>
      <c r="J938" s="71"/>
      <c r="K938" s="71"/>
      <c r="L938" s="71"/>
      <c r="M938" s="71"/>
      <c r="N938" s="19"/>
      <c r="O938" s="13"/>
      <c r="P938" s="13"/>
      <c r="Q938" s="13"/>
      <c r="R938" s="13"/>
      <c r="S938" s="13"/>
      <c r="T938" s="13"/>
      <c r="U938" s="13"/>
      <c r="V938" s="13"/>
      <c r="W938" s="13"/>
      <c r="AY938" s="10"/>
      <c r="AZ938" s="10"/>
      <c r="BA938" s="10"/>
    </row>
    <row r="939" spans="1:53" ht="15" x14ac:dyDescent="0.25">
      <c r="A939" s="70"/>
      <c r="B939" s="70"/>
      <c r="C939" s="71"/>
      <c r="D939" s="71"/>
      <c r="E939" s="71"/>
      <c r="F939" s="71"/>
      <c r="G939" s="71"/>
      <c r="H939" s="71"/>
      <c r="I939" s="71"/>
      <c r="J939" s="71"/>
      <c r="K939" s="71"/>
      <c r="L939" s="71"/>
      <c r="M939" s="71"/>
      <c r="N939" s="19"/>
      <c r="O939" s="13"/>
      <c r="P939" s="13"/>
      <c r="Q939" s="13"/>
      <c r="R939" s="13"/>
      <c r="S939" s="13"/>
      <c r="T939" s="13"/>
      <c r="U939" s="13"/>
      <c r="V939" s="13"/>
      <c r="W939" s="13"/>
      <c r="AY939" s="10"/>
      <c r="AZ939" s="10"/>
      <c r="BA939" s="10"/>
    </row>
    <row r="940" spans="1:53" ht="15" x14ac:dyDescent="0.25">
      <c r="A940" s="70"/>
      <c r="B940" s="70"/>
      <c r="C940" s="71"/>
      <c r="D940" s="71"/>
      <c r="E940" s="71"/>
      <c r="F940" s="71"/>
      <c r="G940" s="71"/>
      <c r="H940" s="71"/>
      <c r="I940" s="71"/>
      <c r="J940" s="71"/>
      <c r="K940" s="71"/>
      <c r="L940" s="71"/>
      <c r="M940" s="71"/>
      <c r="N940" s="19"/>
      <c r="O940" s="13"/>
      <c r="P940" s="13"/>
      <c r="Q940" s="13"/>
      <c r="R940" s="13"/>
      <c r="S940" s="13"/>
      <c r="T940" s="13"/>
      <c r="U940" s="13"/>
      <c r="V940" s="13"/>
      <c r="W940" s="13"/>
      <c r="AY940" s="10"/>
      <c r="AZ940" s="10"/>
      <c r="BA940" s="10"/>
    </row>
    <row r="941" spans="1:53" ht="15" x14ac:dyDescent="0.25">
      <c r="A941" s="70"/>
      <c r="B941" s="70"/>
      <c r="C941" s="71"/>
      <c r="D941" s="71"/>
      <c r="E941" s="71"/>
      <c r="F941" s="71"/>
      <c r="G941" s="71"/>
      <c r="H941" s="71"/>
      <c r="I941" s="71"/>
      <c r="J941" s="71"/>
      <c r="K941" s="71"/>
      <c r="L941" s="71"/>
      <c r="M941" s="71"/>
      <c r="N941" s="19"/>
      <c r="O941" s="13"/>
      <c r="P941" s="13"/>
      <c r="Q941" s="13"/>
      <c r="R941" s="13"/>
      <c r="S941" s="13"/>
      <c r="T941" s="13"/>
      <c r="U941" s="13"/>
      <c r="V941" s="13"/>
      <c r="W941" s="13"/>
      <c r="AY941" s="10"/>
      <c r="AZ941" s="10"/>
      <c r="BA941" s="10"/>
    </row>
    <row r="942" spans="1:53" ht="15" x14ac:dyDescent="0.25">
      <c r="A942" s="70"/>
      <c r="B942" s="70"/>
      <c r="C942" s="71"/>
      <c r="D942" s="71"/>
      <c r="E942" s="71"/>
      <c r="F942" s="71"/>
      <c r="G942" s="71"/>
      <c r="H942" s="71"/>
      <c r="I942" s="71"/>
      <c r="J942" s="71"/>
      <c r="K942" s="71"/>
      <c r="L942" s="71"/>
      <c r="M942" s="71"/>
      <c r="N942" s="19"/>
      <c r="O942" s="13"/>
      <c r="P942" s="13"/>
      <c r="Q942" s="13"/>
      <c r="R942" s="13"/>
      <c r="S942" s="13"/>
      <c r="T942" s="13"/>
      <c r="U942" s="13"/>
      <c r="V942" s="13"/>
      <c r="W942" s="13"/>
      <c r="AY942" s="10"/>
      <c r="AZ942" s="10"/>
      <c r="BA942" s="10"/>
    </row>
    <row r="943" spans="1:53" ht="15" x14ac:dyDescent="0.25">
      <c r="A943" s="70"/>
      <c r="B943" s="70"/>
      <c r="C943" s="71"/>
      <c r="D943" s="71"/>
      <c r="E943" s="71"/>
      <c r="F943" s="71"/>
      <c r="G943" s="71"/>
      <c r="H943" s="71"/>
      <c r="I943" s="71"/>
      <c r="J943" s="71"/>
      <c r="K943" s="71"/>
      <c r="L943" s="71"/>
      <c r="M943" s="71"/>
      <c r="N943" s="19"/>
      <c r="O943" s="13"/>
      <c r="P943" s="13"/>
      <c r="Q943" s="13"/>
      <c r="R943" s="13"/>
      <c r="S943" s="13"/>
      <c r="T943" s="13"/>
      <c r="U943" s="13"/>
      <c r="V943" s="13"/>
      <c r="W943" s="13"/>
      <c r="AY943" s="10"/>
      <c r="AZ943" s="10"/>
      <c r="BA943" s="10"/>
    </row>
    <row r="944" spans="1:53" ht="15" x14ac:dyDescent="0.25">
      <c r="A944" s="70"/>
      <c r="B944" s="70"/>
      <c r="C944" s="71"/>
      <c r="D944" s="71"/>
      <c r="E944" s="71"/>
      <c r="F944" s="71"/>
      <c r="G944" s="71"/>
      <c r="H944" s="71"/>
      <c r="I944" s="71"/>
      <c r="J944" s="71"/>
      <c r="K944" s="71"/>
      <c r="L944" s="71"/>
      <c r="M944" s="71"/>
      <c r="N944" s="19"/>
      <c r="O944" s="13"/>
      <c r="P944" s="13"/>
      <c r="Q944" s="13"/>
      <c r="R944" s="13"/>
      <c r="S944" s="13"/>
      <c r="T944" s="13"/>
      <c r="U944" s="13"/>
      <c r="V944" s="13"/>
      <c r="W944" s="13"/>
      <c r="AY944" s="10"/>
      <c r="AZ944" s="10"/>
      <c r="BA944" s="10"/>
    </row>
    <row r="945" spans="1:53" ht="15" x14ac:dyDescent="0.25">
      <c r="A945" s="70"/>
      <c r="B945" s="70"/>
      <c r="C945" s="71"/>
      <c r="D945" s="71"/>
      <c r="E945" s="71"/>
      <c r="F945" s="71"/>
      <c r="G945" s="71"/>
      <c r="H945" s="71"/>
      <c r="I945" s="71"/>
      <c r="J945" s="71"/>
      <c r="K945" s="71"/>
      <c r="L945" s="71"/>
      <c r="M945" s="71"/>
      <c r="N945" s="19"/>
      <c r="O945" s="13"/>
      <c r="P945" s="13"/>
      <c r="Q945" s="13"/>
      <c r="R945" s="13"/>
      <c r="S945" s="13"/>
      <c r="T945" s="13"/>
      <c r="U945" s="13"/>
      <c r="V945" s="13"/>
      <c r="W945" s="13"/>
      <c r="AY945" s="10"/>
      <c r="AZ945" s="10"/>
      <c r="BA945" s="10"/>
    </row>
    <row r="946" spans="1:53" ht="15" x14ac:dyDescent="0.25">
      <c r="A946" s="70"/>
      <c r="B946" s="70"/>
      <c r="C946" s="71"/>
      <c r="D946" s="71"/>
      <c r="E946" s="71"/>
      <c r="F946" s="71"/>
      <c r="G946" s="71"/>
      <c r="H946" s="71"/>
      <c r="I946" s="71"/>
      <c r="J946" s="71"/>
      <c r="K946" s="71"/>
      <c r="L946" s="71"/>
      <c r="M946" s="71"/>
      <c r="N946" s="19"/>
      <c r="O946" s="13"/>
      <c r="P946" s="13"/>
      <c r="Q946" s="13"/>
      <c r="R946" s="13"/>
      <c r="S946" s="13"/>
      <c r="T946" s="13"/>
      <c r="U946" s="13"/>
      <c r="V946" s="13"/>
      <c r="W946" s="13"/>
      <c r="AY946" s="10"/>
      <c r="AZ946" s="10"/>
      <c r="BA946" s="10"/>
    </row>
    <row r="947" spans="1:53" ht="15" x14ac:dyDescent="0.25">
      <c r="A947" s="70"/>
      <c r="B947" s="70"/>
      <c r="C947" s="71"/>
      <c r="D947" s="71"/>
      <c r="E947" s="71"/>
      <c r="F947" s="71"/>
      <c r="G947" s="71"/>
      <c r="H947" s="71"/>
      <c r="I947" s="71"/>
      <c r="J947" s="71"/>
      <c r="K947" s="71"/>
      <c r="L947" s="71"/>
      <c r="M947" s="71"/>
      <c r="N947" s="19"/>
      <c r="O947" s="13"/>
      <c r="P947" s="13"/>
      <c r="Q947" s="13"/>
      <c r="R947" s="13"/>
      <c r="S947" s="13"/>
      <c r="T947" s="13"/>
      <c r="U947" s="13"/>
      <c r="V947" s="13"/>
      <c r="W947" s="13"/>
      <c r="AY947" s="10"/>
      <c r="AZ947" s="10"/>
      <c r="BA947" s="10"/>
    </row>
    <row r="948" spans="1:53" ht="15" x14ac:dyDescent="0.25">
      <c r="A948" s="70"/>
      <c r="B948" s="70"/>
      <c r="C948" s="71"/>
      <c r="D948" s="71"/>
      <c r="E948" s="71"/>
      <c r="F948" s="71"/>
      <c r="G948" s="71"/>
      <c r="H948" s="71"/>
      <c r="I948" s="71"/>
      <c r="J948" s="71"/>
      <c r="K948" s="71"/>
      <c r="L948" s="71"/>
      <c r="M948" s="71"/>
      <c r="N948" s="19"/>
      <c r="O948" s="13"/>
      <c r="P948" s="13"/>
      <c r="Q948" s="13"/>
      <c r="R948" s="13"/>
      <c r="S948" s="13"/>
      <c r="T948" s="13"/>
      <c r="U948" s="13"/>
      <c r="V948" s="13"/>
      <c r="W948" s="13"/>
      <c r="AY948" s="10"/>
      <c r="AZ948" s="10"/>
      <c r="BA948" s="10"/>
    </row>
    <row r="949" spans="1:53" ht="15" x14ac:dyDescent="0.25">
      <c r="A949" s="70"/>
      <c r="B949" s="70"/>
      <c r="C949" s="71"/>
      <c r="D949" s="71"/>
      <c r="E949" s="71"/>
      <c r="F949" s="71"/>
      <c r="G949" s="71"/>
      <c r="H949" s="71"/>
      <c r="I949" s="71"/>
      <c r="J949" s="71"/>
      <c r="K949" s="71"/>
      <c r="L949" s="71"/>
      <c r="M949" s="71"/>
      <c r="N949" s="19"/>
      <c r="O949" s="13"/>
      <c r="P949" s="13"/>
      <c r="Q949" s="13"/>
      <c r="R949" s="13"/>
      <c r="S949" s="13"/>
      <c r="T949" s="13"/>
      <c r="U949" s="13"/>
      <c r="V949" s="13"/>
      <c r="W949" s="13"/>
      <c r="AY949" s="10"/>
      <c r="AZ949" s="10"/>
      <c r="BA949" s="10"/>
    </row>
    <row r="950" spans="1:53" ht="15" x14ac:dyDescent="0.25">
      <c r="A950" s="70"/>
      <c r="B950" s="70"/>
      <c r="C950" s="71"/>
      <c r="D950" s="71"/>
      <c r="E950" s="71"/>
      <c r="F950" s="71"/>
      <c r="G950" s="71"/>
      <c r="H950" s="71"/>
      <c r="I950" s="71"/>
      <c r="J950" s="71"/>
      <c r="K950" s="71"/>
      <c r="L950" s="71"/>
      <c r="M950" s="71"/>
      <c r="N950" s="19"/>
      <c r="O950" s="13"/>
      <c r="P950" s="13"/>
      <c r="Q950" s="13"/>
      <c r="R950" s="13"/>
      <c r="S950" s="13"/>
      <c r="T950" s="13"/>
      <c r="U950" s="13"/>
      <c r="V950" s="13"/>
      <c r="W950" s="13"/>
      <c r="AY950" s="10"/>
      <c r="AZ950" s="10"/>
      <c r="BA950" s="10"/>
    </row>
    <row r="951" spans="1:53" ht="15" x14ac:dyDescent="0.25">
      <c r="A951" s="70"/>
      <c r="B951" s="70"/>
      <c r="C951" s="71"/>
      <c r="D951" s="71"/>
      <c r="E951" s="71"/>
      <c r="F951" s="71"/>
      <c r="G951" s="71"/>
      <c r="H951" s="71"/>
      <c r="I951" s="71"/>
      <c r="J951" s="71"/>
      <c r="K951" s="71"/>
      <c r="L951" s="71"/>
      <c r="M951" s="71"/>
      <c r="N951" s="19"/>
      <c r="O951" s="13"/>
      <c r="P951" s="13"/>
      <c r="Q951" s="13"/>
      <c r="R951" s="13"/>
      <c r="S951" s="13"/>
      <c r="T951" s="13"/>
      <c r="U951" s="13"/>
      <c r="V951" s="13"/>
      <c r="W951" s="13"/>
      <c r="AY951" s="10"/>
      <c r="AZ951" s="10"/>
      <c r="BA951" s="10"/>
    </row>
    <row r="952" spans="1:53" ht="15" x14ac:dyDescent="0.25">
      <c r="A952" s="70"/>
      <c r="B952" s="70"/>
      <c r="C952" s="71"/>
      <c r="D952" s="71"/>
      <c r="E952" s="71"/>
      <c r="F952" s="71"/>
      <c r="G952" s="71"/>
      <c r="H952" s="71"/>
      <c r="I952" s="71"/>
      <c r="J952" s="71"/>
      <c r="K952" s="71"/>
      <c r="L952" s="71"/>
      <c r="M952" s="71"/>
      <c r="N952" s="19"/>
      <c r="O952" s="13"/>
      <c r="P952" s="13"/>
      <c r="Q952" s="13"/>
      <c r="R952" s="13"/>
      <c r="S952" s="13"/>
      <c r="T952" s="13"/>
      <c r="U952" s="13"/>
      <c r="V952" s="13"/>
      <c r="W952" s="13"/>
      <c r="AY952" s="10"/>
      <c r="AZ952" s="10"/>
      <c r="BA952" s="10"/>
    </row>
    <row r="953" spans="1:53" ht="15" x14ac:dyDescent="0.25">
      <c r="A953" s="70"/>
      <c r="B953" s="70"/>
      <c r="C953" s="71"/>
      <c r="D953" s="71"/>
      <c r="E953" s="71"/>
      <c r="F953" s="71"/>
      <c r="G953" s="71"/>
      <c r="H953" s="71"/>
      <c r="I953" s="71"/>
      <c r="J953" s="71"/>
      <c r="K953" s="71"/>
      <c r="L953" s="71"/>
      <c r="M953" s="71"/>
      <c r="N953" s="19"/>
      <c r="O953" s="13"/>
      <c r="P953" s="13"/>
      <c r="Q953" s="13"/>
      <c r="R953" s="13"/>
      <c r="S953" s="13"/>
      <c r="T953" s="13"/>
      <c r="U953" s="13"/>
      <c r="V953" s="13"/>
      <c r="W953" s="13"/>
      <c r="AY953" s="10"/>
      <c r="AZ953" s="10"/>
      <c r="BA953" s="10"/>
    </row>
    <row r="954" spans="1:53" ht="15" x14ac:dyDescent="0.25">
      <c r="A954" s="70"/>
      <c r="B954" s="70"/>
      <c r="C954" s="71"/>
      <c r="D954" s="71"/>
      <c r="E954" s="71"/>
      <c r="F954" s="71"/>
      <c r="G954" s="71"/>
      <c r="H954" s="71"/>
      <c r="I954" s="71"/>
      <c r="J954" s="71"/>
      <c r="K954" s="71"/>
      <c r="L954" s="71"/>
      <c r="M954" s="71"/>
      <c r="N954" s="19"/>
      <c r="O954" s="13"/>
      <c r="P954" s="13"/>
      <c r="Q954" s="13"/>
      <c r="R954" s="13"/>
      <c r="S954" s="13"/>
      <c r="T954" s="13"/>
      <c r="U954" s="13"/>
      <c r="V954" s="13"/>
      <c r="W954" s="13"/>
      <c r="AY954" s="10"/>
      <c r="AZ954" s="10"/>
      <c r="BA954" s="10"/>
    </row>
    <row r="955" spans="1:53" ht="15" x14ac:dyDescent="0.25">
      <c r="A955" s="70"/>
      <c r="B955" s="70"/>
      <c r="C955" s="71"/>
      <c r="D955" s="71"/>
      <c r="E955" s="71"/>
      <c r="F955" s="71"/>
      <c r="G955" s="71"/>
      <c r="H955" s="71"/>
      <c r="I955" s="71"/>
      <c r="J955" s="71"/>
      <c r="K955" s="71"/>
      <c r="L955" s="71"/>
      <c r="M955" s="71"/>
      <c r="N955" s="19"/>
      <c r="O955" s="13"/>
      <c r="P955" s="13"/>
      <c r="Q955" s="13"/>
      <c r="R955" s="13"/>
      <c r="S955" s="13"/>
      <c r="T955" s="13"/>
      <c r="U955" s="13"/>
      <c r="V955" s="13"/>
      <c r="W955" s="13"/>
      <c r="AY955" s="10"/>
      <c r="AZ955" s="10"/>
      <c r="BA955" s="10"/>
    </row>
    <row r="956" spans="1:53" ht="15" x14ac:dyDescent="0.25">
      <c r="A956" s="70"/>
      <c r="B956" s="70"/>
      <c r="C956" s="71"/>
      <c r="D956" s="71"/>
      <c r="E956" s="71"/>
      <c r="F956" s="71"/>
      <c r="G956" s="71"/>
      <c r="H956" s="71"/>
      <c r="I956" s="71"/>
      <c r="J956" s="71"/>
      <c r="K956" s="71"/>
      <c r="L956" s="71"/>
      <c r="M956" s="71"/>
      <c r="N956" s="19"/>
      <c r="O956" s="13"/>
      <c r="P956" s="13"/>
      <c r="Q956" s="13"/>
      <c r="R956" s="13"/>
      <c r="S956" s="13"/>
      <c r="T956" s="13"/>
      <c r="U956" s="13"/>
      <c r="V956" s="13"/>
      <c r="W956" s="13"/>
      <c r="AY956" s="10"/>
      <c r="AZ956" s="10"/>
      <c r="BA956" s="10"/>
    </row>
    <row r="957" spans="1:53" ht="15" x14ac:dyDescent="0.25">
      <c r="A957" s="70"/>
      <c r="B957" s="70"/>
      <c r="C957" s="71"/>
      <c r="D957" s="71"/>
      <c r="E957" s="71"/>
      <c r="F957" s="71"/>
      <c r="G957" s="71"/>
      <c r="H957" s="71"/>
      <c r="I957" s="71"/>
      <c r="J957" s="71"/>
      <c r="K957" s="71"/>
      <c r="L957" s="71"/>
      <c r="M957" s="71"/>
      <c r="N957" s="19"/>
      <c r="O957" s="13"/>
      <c r="P957" s="13"/>
      <c r="Q957" s="13"/>
      <c r="R957" s="13"/>
      <c r="S957" s="13"/>
      <c r="T957" s="13"/>
      <c r="U957" s="13"/>
      <c r="V957" s="13"/>
      <c r="W957" s="13"/>
      <c r="AY957" s="10"/>
      <c r="AZ957" s="10"/>
      <c r="BA957" s="10"/>
    </row>
    <row r="958" spans="1:53" ht="15" x14ac:dyDescent="0.25">
      <c r="A958" s="70"/>
      <c r="B958" s="70"/>
      <c r="C958" s="71"/>
      <c r="D958" s="71"/>
      <c r="E958" s="71"/>
      <c r="F958" s="71"/>
      <c r="G958" s="71"/>
      <c r="H958" s="71"/>
      <c r="I958" s="71"/>
      <c r="J958" s="71"/>
      <c r="K958" s="71"/>
      <c r="L958" s="71"/>
      <c r="M958" s="71"/>
      <c r="N958" s="19"/>
      <c r="O958" s="13"/>
      <c r="P958" s="13"/>
      <c r="Q958" s="13"/>
      <c r="R958" s="13"/>
      <c r="S958" s="13"/>
      <c r="T958" s="13"/>
      <c r="U958" s="13"/>
      <c r="V958" s="13"/>
      <c r="W958" s="13"/>
      <c r="AY958" s="10"/>
      <c r="AZ958" s="10"/>
      <c r="BA958" s="10"/>
    </row>
    <row r="959" spans="1:53" ht="15" x14ac:dyDescent="0.25">
      <c r="A959" s="70"/>
      <c r="B959" s="70"/>
      <c r="C959" s="71"/>
      <c r="D959" s="71"/>
      <c r="E959" s="71"/>
      <c r="F959" s="71"/>
      <c r="G959" s="71"/>
      <c r="H959" s="71"/>
      <c r="I959" s="71"/>
      <c r="J959" s="71"/>
      <c r="K959" s="71"/>
      <c r="L959" s="71"/>
      <c r="M959" s="71"/>
      <c r="N959" s="19"/>
      <c r="O959" s="13"/>
      <c r="P959" s="13"/>
      <c r="Q959" s="13"/>
      <c r="R959" s="13"/>
      <c r="S959" s="13"/>
      <c r="T959" s="13"/>
      <c r="U959" s="13"/>
      <c r="V959" s="13"/>
      <c r="W959" s="13"/>
      <c r="AY959" s="10"/>
      <c r="AZ959" s="10"/>
      <c r="BA959" s="10"/>
    </row>
    <row r="960" spans="1:53" ht="15" x14ac:dyDescent="0.25">
      <c r="A960" s="70"/>
      <c r="B960" s="70"/>
      <c r="C960" s="71"/>
      <c r="D960" s="71"/>
      <c r="E960" s="71"/>
      <c r="F960" s="71"/>
      <c r="G960" s="71"/>
      <c r="H960" s="71"/>
      <c r="I960" s="71"/>
      <c r="J960" s="71"/>
      <c r="K960" s="71"/>
      <c r="L960" s="71"/>
      <c r="M960" s="71"/>
      <c r="N960" s="19"/>
      <c r="O960" s="13"/>
      <c r="P960" s="13"/>
      <c r="Q960" s="13"/>
      <c r="R960" s="13"/>
      <c r="S960" s="13"/>
      <c r="T960" s="13"/>
      <c r="U960" s="13"/>
      <c r="V960" s="13"/>
      <c r="W960" s="13"/>
      <c r="AY960" s="10"/>
      <c r="AZ960" s="10"/>
      <c r="BA960" s="10"/>
    </row>
    <row r="961" spans="1:53" ht="15" x14ac:dyDescent="0.25">
      <c r="A961" s="70"/>
      <c r="B961" s="70"/>
      <c r="C961" s="71"/>
      <c r="D961" s="71"/>
      <c r="E961" s="71"/>
      <c r="F961" s="71"/>
      <c r="G961" s="71"/>
      <c r="H961" s="71"/>
      <c r="I961" s="71"/>
      <c r="J961" s="71"/>
      <c r="K961" s="71"/>
      <c r="L961" s="71"/>
      <c r="M961" s="71"/>
      <c r="N961" s="19"/>
      <c r="O961" s="13"/>
      <c r="P961" s="13"/>
      <c r="Q961" s="13"/>
      <c r="R961" s="13"/>
      <c r="S961" s="13"/>
      <c r="T961" s="13"/>
      <c r="U961" s="13"/>
      <c r="V961" s="13"/>
      <c r="W961" s="13"/>
      <c r="AY961" s="10"/>
      <c r="AZ961" s="10"/>
      <c r="BA961" s="10"/>
    </row>
    <row r="962" spans="1:53" ht="15" x14ac:dyDescent="0.25">
      <c r="A962" s="70"/>
      <c r="B962" s="70"/>
      <c r="C962" s="71"/>
      <c r="D962" s="71"/>
      <c r="E962" s="71"/>
      <c r="F962" s="71"/>
      <c r="G962" s="71"/>
      <c r="H962" s="71"/>
      <c r="I962" s="71"/>
      <c r="J962" s="71"/>
      <c r="K962" s="71"/>
      <c r="L962" s="71"/>
      <c r="M962" s="71"/>
      <c r="N962" s="19"/>
      <c r="O962" s="13"/>
      <c r="P962" s="13"/>
      <c r="Q962" s="13"/>
      <c r="R962" s="13"/>
      <c r="S962" s="13"/>
      <c r="T962" s="13"/>
      <c r="U962" s="13"/>
      <c r="V962" s="13"/>
      <c r="W962" s="13"/>
      <c r="AY962" s="10"/>
      <c r="AZ962" s="10"/>
      <c r="BA962" s="10"/>
    </row>
    <row r="963" spans="1:53" ht="15" x14ac:dyDescent="0.25">
      <c r="A963" s="70"/>
      <c r="B963" s="70"/>
      <c r="C963" s="71"/>
      <c r="D963" s="71"/>
      <c r="E963" s="71"/>
      <c r="F963" s="71"/>
      <c r="G963" s="71"/>
      <c r="H963" s="71"/>
      <c r="I963" s="71"/>
      <c r="J963" s="71"/>
      <c r="K963" s="71"/>
      <c r="L963" s="71"/>
      <c r="M963" s="71"/>
      <c r="N963" s="19"/>
      <c r="O963" s="13"/>
      <c r="P963" s="13"/>
      <c r="Q963" s="13"/>
      <c r="R963" s="13"/>
      <c r="S963" s="13"/>
      <c r="T963" s="13"/>
      <c r="U963" s="13"/>
      <c r="V963" s="13"/>
      <c r="W963" s="13"/>
      <c r="AY963" s="10"/>
      <c r="AZ963" s="10"/>
      <c r="BA963" s="10"/>
    </row>
    <row r="964" spans="1:53" ht="15" x14ac:dyDescent="0.25">
      <c r="A964" s="70"/>
      <c r="B964" s="70"/>
      <c r="C964" s="71"/>
      <c r="D964" s="71"/>
      <c r="E964" s="71"/>
      <c r="F964" s="71"/>
      <c r="G964" s="71"/>
      <c r="H964" s="71"/>
      <c r="I964" s="71"/>
      <c r="J964" s="71"/>
      <c r="K964" s="71"/>
      <c r="L964" s="71"/>
      <c r="M964" s="71"/>
      <c r="N964" s="19"/>
      <c r="O964" s="13"/>
      <c r="P964" s="13"/>
      <c r="Q964" s="13"/>
      <c r="R964" s="13"/>
      <c r="S964" s="13"/>
      <c r="T964" s="13"/>
      <c r="U964" s="13"/>
      <c r="V964" s="13"/>
      <c r="W964" s="13"/>
      <c r="AY964" s="10"/>
      <c r="AZ964" s="10"/>
      <c r="BA964" s="10"/>
    </row>
    <row r="965" spans="1:53" ht="15" x14ac:dyDescent="0.25">
      <c r="A965" s="70"/>
      <c r="B965" s="70"/>
      <c r="C965" s="71"/>
      <c r="D965" s="71"/>
      <c r="E965" s="71"/>
      <c r="F965" s="71"/>
      <c r="G965" s="71"/>
      <c r="H965" s="71"/>
      <c r="I965" s="71"/>
      <c r="J965" s="71"/>
      <c r="K965" s="71"/>
      <c r="L965" s="71"/>
      <c r="M965" s="71"/>
      <c r="N965" s="19"/>
      <c r="O965" s="13"/>
      <c r="P965" s="13"/>
      <c r="Q965" s="13"/>
      <c r="R965" s="13"/>
      <c r="S965" s="13"/>
      <c r="T965" s="13"/>
      <c r="U965" s="13"/>
      <c r="V965" s="13"/>
      <c r="W965" s="13"/>
      <c r="AY965" s="10"/>
      <c r="AZ965" s="10"/>
      <c r="BA965" s="10"/>
    </row>
    <row r="966" spans="1:53" ht="15" x14ac:dyDescent="0.25">
      <c r="A966" s="70"/>
      <c r="B966" s="70"/>
      <c r="C966" s="71"/>
      <c r="D966" s="71"/>
      <c r="E966" s="71"/>
      <c r="F966" s="71"/>
      <c r="G966" s="71"/>
      <c r="H966" s="71"/>
      <c r="I966" s="71"/>
      <c r="J966" s="71"/>
      <c r="K966" s="71"/>
      <c r="L966" s="71"/>
      <c r="M966" s="71"/>
      <c r="N966" s="19"/>
      <c r="O966" s="13"/>
      <c r="P966" s="13"/>
      <c r="Q966" s="13"/>
      <c r="R966" s="13"/>
      <c r="S966" s="13"/>
      <c r="T966" s="13"/>
      <c r="U966" s="13"/>
      <c r="V966" s="13"/>
      <c r="W966" s="13"/>
      <c r="AY966" s="10"/>
      <c r="AZ966" s="10"/>
      <c r="BA966" s="10"/>
    </row>
    <row r="967" spans="1:53" ht="15" x14ac:dyDescent="0.25">
      <c r="A967" s="70"/>
      <c r="B967" s="70"/>
      <c r="C967" s="71"/>
      <c r="D967" s="71"/>
      <c r="E967" s="71"/>
      <c r="F967" s="71"/>
      <c r="G967" s="71"/>
      <c r="H967" s="71"/>
      <c r="I967" s="71"/>
      <c r="J967" s="71"/>
      <c r="K967" s="71"/>
      <c r="L967" s="71"/>
      <c r="M967" s="71"/>
      <c r="N967" s="19"/>
      <c r="O967" s="13"/>
      <c r="P967" s="13"/>
      <c r="Q967" s="13"/>
      <c r="R967" s="13"/>
      <c r="S967" s="13"/>
      <c r="T967" s="13"/>
      <c r="U967" s="13"/>
      <c r="V967" s="13"/>
      <c r="W967" s="13"/>
      <c r="AY967" s="10"/>
      <c r="AZ967" s="10"/>
      <c r="BA967" s="10"/>
    </row>
    <row r="968" spans="1:53" ht="15" x14ac:dyDescent="0.25">
      <c r="A968" s="70"/>
      <c r="B968" s="70"/>
      <c r="C968" s="71"/>
      <c r="D968" s="71"/>
      <c r="E968" s="71"/>
      <c r="F968" s="71"/>
      <c r="G968" s="71"/>
      <c r="H968" s="71"/>
      <c r="I968" s="71"/>
      <c r="J968" s="71"/>
      <c r="K968" s="71"/>
      <c r="L968" s="71"/>
      <c r="M968" s="71"/>
      <c r="N968" s="19"/>
      <c r="O968" s="13"/>
      <c r="P968" s="13"/>
      <c r="Q968" s="13"/>
      <c r="R968" s="13"/>
      <c r="S968" s="13"/>
      <c r="T968" s="13"/>
      <c r="U968" s="13"/>
      <c r="V968" s="13"/>
      <c r="W968" s="13"/>
      <c r="AY968" s="10"/>
      <c r="AZ968" s="10"/>
      <c r="BA968" s="10"/>
    </row>
    <row r="969" spans="1:53" ht="15" x14ac:dyDescent="0.25">
      <c r="A969" s="70"/>
      <c r="B969" s="70"/>
      <c r="C969" s="71"/>
      <c r="D969" s="71"/>
      <c r="E969" s="71"/>
      <c r="F969" s="71"/>
      <c r="G969" s="71"/>
      <c r="H969" s="71"/>
      <c r="I969" s="71"/>
      <c r="J969" s="71"/>
      <c r="K969" s="71"/>
      <c r="L969" s="71"/>
      <c r="M969" s="71"/>
      <c r="N969" s="19"/>
      <c r="O969" s="13"/>
      <c r="P969" s="13"/>
      <c r="Q969" s="13"/>
      <c r="R969" s="13"/>
      <c r="S969" s="13"/>
      <c r="T969" s="13"/>
      <c r="U969" s="13"/>
      <c r="V969" s="13"/>
      <c r="W969" s="13"/>
      <c r="AY969" s="10"/>
      <c r="AZ969" s="10"/>
      <c r="BA969" s="10"/>
    </row>
    <row r="970" spans="1:53" ht="15" x14ac:dyDescent="0.25">
      <c r="A970" s="70"/>
      <c r="B970" s="70"/>
      <c r="C970" s="71"/>
      <c r="D970" s="71"/>
      <c r="E970" s="71"/>
      <c r="F970" s="71"/>
      <c r="G970" s="71"/>
      <c r="H970" s="71"/>
      <c r="I970" s="71"/>
      <c r="J970" s="71"/>
      <c r="K970" s="71"/>
      <c r="L970" s="71"/>
      <c r="M970" s="71"/>
      <c r="N970" s="19"/>
      <c r="O970" s="13"/>
      <c r="P970" s="13"/>
      <c r="Q970" s="13"/>
      <c r="R970" s="13"/>
      <c r="S970" s="13"/>
      <c r="T970" s="13"/>
      <c r="U970" s="13"/>
      <c r="V970" s="13"/>
      <c r="W970" s="13"/>
      <c r="AY970" s="10"/>
      <c r="AZ970" s="10"/>
      <c r="BA970" s="10"/>
    </row>
    <row r="971" spans="1:53" ht="15" x14ac:dyDescent="0.25">
      <c r="A971" s="70"/>
      <c r="B971" s="70"/>
      <c r="C971" s="71"/>
      <c r="D971" s="71"/>
      <c r="E971" s="71"/>
      <c r="F971" s="71"/>
      <c r="G971" s="71"/>
      <c r="H971" s="71"/>
      <c r="I971" s="71"/>
      <c r="J971" s="71"/>
      <c r="K971" s="71"/>
      <c r="L971" s="71"/>
      <c r="M971" s="71"/>
      <c r="N971" s="19"/>
      <c r="O971" s="13"/>
      <c r="P971" s="13"/>
      <c r="Q971" s="13"/>
      <c r="R971" s="13"/>
      <c r="S971" s="13"/>
      <c r="T971" s="13"/>
      <c r="U971" s="13"/>
      <c r="V971" s="13"/>
      <c r="W971" s="13"/>
      <c r="AY971" s="10"/>
      <c r="AZ971" s="10"/>
      <c r="BA971" s="10"/>
    </row>
    <row r="972" spans="1:53" ht="15" x14ac:dyDescent="0.25">
      <c r="A972" s="70"/>
      <c r="B972" s="70"/>
      <c r="C972" s="71"/>
      <c r="D972" s="71"/>
      <c r="E972" s="71"/>
      <c r="F972" s="71"/>
      <c r="G972" s="71"/>
      <c r="H972" s="71"/>
      <c r="I972" s="71"/>
      <c r="J972" s="71"/>
      <c r="K972" s="71"/>
      <c r="L972" s="71"/>
      <c r="M972" s="71"/>
      <c r="N972" s="19"/>
      <c r="O972" s="13"/>
      <c r="P972" s="13"/>
      <c r="Q972" s="13"/>
      <c r="R972" s="13"/>
      <c r="S972" s="13"/>
      <c r="T972" s="13"/>
      <c r="U972" s="13"/>
      <c r="V972" s="13"/>
      <c r="W972" s="13"/>
      <c r="AY972" s="10"/>
      <c r="AZ972" s="10"/>
      <c r="BA972" s="10"/>
    </row>
    <row r="973" spans="1:53" ht="15" x14ac:dyDescent="0.25">
      <c r="A973" s="70"/>
      <c r="B973" s="70"/>
      <c r="C973" s="71"/>
      <c r="D973" s="71"/>
      <c r="E973" s="71"/>
      <c r="F973" s="71"/>
      <c r="G973" s="71"/>
      <c r="H973" s="71"/>
      <c r="I973" s="71"/>
      <c r="J973" s="71"/>
      <c r="K973" s="71"/>
      <c r="L973" s="71"/>
      <c r="M973" s="71"/>
      <c r="N973" s="19"/>
      <c r="O973" s="13"/>
      <c r="P973" s="13"/>
      <c r="Q973" s="13"/>
      <c r="R973" s="13"/>
      <c r="S973" s="13"/>
      <c r="T973" s="13"/>
      <c r="U973" s="13"/>
      <c r="V973" s="13"/>
      <c r="W973" s="13"/>
      <c r="AY973" s="10"/>
      <c r="AZ973" s="10"/>
      <c r="BA973" s="10"/>
    </row>
    <row r="974" spans="1:53" ht="15" x14ac:dyDescent="0.25">
      <c r="A974" s="70"/>
      <c r="B974" s="70"/>
      <c r="C974" s="71"/>
      <c r="D974" s="71"/>
      <c r="E974" s="71"/>
      <c r="F974" s="71"/>
      <c r="G974" s="71"/>
      <c r="H974" s="71"/>
      <c r="I974" s="71"/>
      <c r="J974" s="71"/>
      <c r="K974" s="71"/>
      <c r="L974" s="71"/>
      <c r="M974" s="71"/>
      <c r="N974" s="19"/>
      <c r="O974" s="13"/>
      <c r="P974" s="13"/>
      <c r="Q974" s="13"/>
      <c r="R974" s="13"/>
      <c r="S974" s="13"/>
      <c r="T974" s="13"/>
      <c r="U974" s="13"/>
      <c r="V974" s="13"/>
      <c r="W974" s="13"/>
      <c r="AY974" s="10"/>
      <c r="AZ974" s="10"/>
      <c r="BA974" s="10"/>
    </row>
    <row r="975" spans="1:53" ht="15" x14ac:dyDescent="0.25">
      <c r="A975" s="70"/>
      <c r="B975" s="70"/>
      <c r="C975" s="71"/>
      <c r="D975" s="71"/>
      <c r="E975" s="71"/>
      <c r="F975" s="71"/>
      <c r="G975" s="71"/>
      <c r="H975" s="71"/>
      <c r="I975" s="71"/>
      <c r="J975" s="71"/>
      <c r="K975" s="71"/>
      <c r="L975" s="71"/>
      <c r="M975" s="71"/>
      <c r="N975" s="19"/>
      <c r="O975" s="13"/>
      <c r="P975" s="13"/>
      <c r="Q975" s="13"/>
      <c r="R975" s="13"/>
      <c r="S975" s="13"/>
      <c r="T975" s="13"/>
      <c r="U975" s="13"/>
      <c r="V975" s="13"/>
      <c r="W975" s="13"/>
      <c r="AY975" s="10"/>
      <c r="AZ975" s="10"/>
      <c r="BA975" s="10"/>
    </row>
    <row r="976" spans="1:53" ht="15" x14ac:dyDescent="0.25">
      <c r="A976" s="70"/>
      <c r="B976" s="70"/>
      <c r="C976" s="71"/>
      <c r="D976" s="71"/>
      <c r="E976" s="71"/>
      <c r="F976" s="71"/>
      <c r="G976" s="71"/>
      <c r="H976" s="71"/>
      <c r="I976" s="71"/>
      <c r="J976" s="71"/>
      <c r="K976" s="71"/>
      <c r="L976" s="71"/>
      <c r="M976" s="71"/>
      <c r="N976" s="19"/>
      <c r="O976" s="13"/>
      <c r="P976" s="13"/>
      <c r="Q976" s="13"/>
      <c r="R976" s="13"/>
      <c r="S976" s="13"/>
      <c r="T976" s="13"/>
      <c r="U976" s="13"/>
      <c r="V976" s="13"/>
      <c r="W976" s="13"/>
      <c r="AY976" s="10"/>
      <c r="AZ976" s="10"/>
      <c r="BA976" s="10"/>
    </row>
    <row r="977" spans="1:53" ht="15" x14ac:dyDescent="0.25">
      <c r="A977" s="70"/>
      <c r="B977" s="70"/>
      <c r="C977" s="71"/>
      <c r="D977" s="71"/>
      <c r="E977" s="71"/>
      <c r="F977" s="71"/>
      <c r="G977" s="71"/>
      <c r="H977" s="71"/>
      <c r="I977" s="71"/>
      <c r="J977" s="71"/>
      <c r="K977" s="71"/>
      <c r="L977" s="71"/>
      <c r="M977" s="71"/>
      <c r="N977" s="19"/>
      <c r="O977" s="13"/>
      <c r="P977" s="13"/>
      <c r="Q977" s="13"/>
      <c r="R977" s="13"/>
      <c r="S977" s="13"/>
      <c r="T977" s="13"/>
      <c r="U977" s="13"/>
      <c r="V977" s="13"/>
      <c r="W977" s="13"/>
      <c r="AY977" s="10"/>
      <c r="AZ977" s="10"/>
      <c r="BA977" s="10"/>
    </row>
    <row r="978" spans="1:53" ht="15" x14ac:dyDescent="0.25">
      <c r="A978" s="70"/>
      <c r="B978" s="70"/>
      <c r="C978" s="71"/>
      <c r="D978" s="71"/>
      <c r="E978" s="71"/>
      <c r="F978" s="71"/>
      <c r="G978" s="71"/>
      <c r="H978" s="71"/>
      <c r="I978" s="71"/>
      <c r="J978" s="71"/>
      <c r="K978" s="71"/>
      <c r="L978" s="71"/>
      <c r="M978" s="71"/>
      <c r="N978" s="19"/>
      <c r="O978" s="13"/>
      <c r="P978" s="13"/>
      <c r="Q978" s="13"/>
      <c r="R978" s="13"/>
      <c r="S978" s="13"/>
      <c r="T978" s="13"/>
      <c r="U978" s="13"/>
      <c r="V978" s="13"/>
      <c r="W978" s="13"/>
      <c r="AY978" s="10"/>
      <c r="AZ978" s="10"/>
      <c r="BA978" s="10"/>
    </row>
    <row r="979" spans="1:53" ht="15" x14ac:dyDescent="0.25">
      <c r="A979" s="70"/>
      <c r="B979" s="70"/>
      <c r="C979" s="71"/>
      <c r="D979" s="71"/>
      <c r="E979" s="71"/>
      <c r="F979" s="71"/>
      <c r="G979" s="71"/>
      <c r="H979" s="71"/>
      <c r="I979" s="71"/>
      <c r="J979" s="71"/>
      <c r="K979" s="71"/>
      <c r="L979" s="71"/>
      <c r="M979" s="71"/>
      <c r="N979" s="19"/>
      <c r="O979" s="13"/>
      <c r="P979" s="13"/>
      <c r="Q979" s="13"/>
      <c r="R979" s="13"/>
      <c r="S979" s="13"/>
      <c r="T979" s="13"/>
      <c r="U979" s="13"/>
      <c r="V979" s="13"/>
      <c r="W979" s="13"/>
      <c r="AY979" s="10"/>
      <c r="AZ979" s="10"/>
      <c r="BA979" s="10"/>
    </row>
    <row r="980" spans="1:53" ht="15" x14ac:dyDescent="0.25">
      <c r="A980" s="70"/>
      <c r="B980" s="70"/>
      <c r="C980" s="71"/>
      <c r="D980" s="71"/>
      <c r="E980" s="71"/>
      <c r="F980" s="71"/>
      <c r="G980" s="71"/>
      <c r="H980" s="71"/>
      <c r="I980" s="71"/>
      <c r="J980" s="71"/>
      <c r="K980" s="71"/>
      <c r="L980" s="71"/>
      <c r="M980" s="71"/>
      <c r="N980" s="19"/>
      <c r="O980" s="13"/>
      <c r="P980" s="13"/>
      <c r="Q980" s="13"/>
      <c r="R980" s="13"/>
      <c r="S980" s="13"/>
      <c r="T980" s="13"/>
      <c r="U980" s="13"/>
      <c r="V980" s="13"/>
      <c r="W980" s="13"/>
      <c r="AY980" s="10"/>
      <c r="AZ980" s="10"/>
      <c r="BA980" s="10"/>
    </row>
    <row r="981" spans="1:53" ht="15" x14ac:dyDescent="0.25">
      <c r="A981" s="70"/>
      <c r="B981" s="70"/>
      <c r="C981" s="71"/>
      <c r="D981" s="71"/>
      <c r="E981" s="71"/>
      <c r="F981" s="71"/>
      <c r="G981" s="71"/>
      <c r="H981" s="71"/>
      <c r="I981" s="71"/>
      <c r="J981" s="71"/>
      <c r="K981" s="71"/>
      <c r="L981" s="71"/>
      <c r="M981" s="71"/>
      <c r="N981" s="19"/>
      <c r="O981" s="13"/>
      <c r="P981" s="13"/>
      <c r="Q981" s="13"/>
      <c r="R981" s="13"/>
      <c r="S981" s="13"/>
      <c r="T981" s="13"/>
      <c r="U981" s="13"/>
      <c r="V981" s="13"/>
      <c r="W981" s="13"/>
      <c r="AY981" s="10"/>
      <c r="AZ981" s="10"/>
      <c r="BA981" s="10"/>
    </row>
    <row r="982" spans="1:53" ht="15" x14ac:dyDescent="0.25">
      <c r="A982" s="70"/>
      <c r="B982" s="70"/>
      <c r="C982" s="71"/>
      <c r="D982" s="71"/>
      <c r="E982" s="71"/>
      <c r="F982" s="71"/>
      <c r="G982" s="71"/>
      <c r="H982" s="71"/>
      <c r="I982" s="71"/>
      <c r="J982" s="71"/>
      <c r="K982" s="71"/>
      <c r="L982" s="71"/>
      <c r="M982" s="71"/>
      <c r="N982" s="19"/>
      <c r="O982" s="13"/>
      <c r="P982" s="13"/>
      <c r="Q982" s="13"/>
      <c r="R982" s="13"/>
      <c r="S982" s="13"/>
      <c r="T982" s="13"/>
      <c r="U982" s="13"/>
      <c r="V982" s="13"/>
      <c r="W982" s="13"/>
      <c r="AY982" s="10"/>
      <c r="AZ982" s="10"/>
      <c r="BA982" s="10"/>
    </row>
    <row r="983" spans="1:53" ht="15" x14ac:dyDescent="0.25">
      <c r="A983" s="70"/>
      <c r="B983" s="70"/>
      <c r="C983" s="71"/>
      <c r="D983" s="71"/>
      <c r="E983" s="71"/>
      <c r="F983" s="71"/>
      <c r="G983" s="71"/>
      <c r="H983" s="71"/>
      <c r="I983" s="71"/>
      <c r="J983" s="71"/>
      <c r="K983" s="71"/>
      <c r="L983" s="71"/>
      <c r="M983" s="71"/>
      <c r="N983" s="19"/>
      <c r="O983" s="13"/>
      <c r="P983" s="13"/>
      <c r="Q983" s="13"/>
      <c r="R983" s="13"/>
      <c r="S983" s="13"/>
      <c r="T983" s="13"/>
      <c r="U983" s="13"/>
      <c r="V983" s="13"/>
      <c r="W983" s="13"/>
      <c r="AY983" s="10"/>
      <c r="AZ983" s="10"/>
      <c r="BA983" s="10"/>
    </row>
    <row r="984" spans="1:53" ht="15" x14ac:dyDescent="0.25">
      <c r="A984" s="70"/>
      <c r="B984" s="70"/>
      <c r="C984" s="71"/>
      <c r="D984" s="71"/>
      <c r="E984" s="71"/>
      <c r="F984" s="71"/>
      <c r="G984" s="71"/>
      <c r="H984" s="71"/>
      <c r="I984" s="71"/>
      <c r="J984" s="71"/>
      <c r="K984" s="71"/>
      <c r="L984" s="71"/>
      <c r="M984" s="71"/>
      <c r="N984" s="19"/>
      <c r="O984" s="13"/>
      <c r="P984" s="13"/>
      <c r="Q984" s="13"/>
      <c r="R984" s="13"/>
      <c r="S984" s="13"/>
      <c r="T984" s="13"/>
      <c r="U984" s="13"/>
      <c r="V984" s="13"/>
      <c r="W984" s="13"/>
      <c r="AY984" s="10"/>
      <c r="AZ984" s="10"/>
      <c r="BA984" s="10"/>
    </row>
    <row r="985" spans="1:53" ht="15" x14ac:dyDescent="0.25">
      <c r="A985" s="70"/>
      <c r="B985" s="70"/>
      <c r="C985" s="71"/>
      <c r="D985" s="71"/>
      <c r="E985" s="71"/>
      <c r="F985" s="71"/>
      <c r="G985" s="71"/>
      <c r="H985" s="71"/>
      <c r="I985" s="71"/>
      <c r="J985" s="71"/>
      <c r="K985" s="71"/>
      <c r="L985" s="71"/>
      <c r="M985" s="71"/>
      <c r="N985" s="19"/>
      <c r="O985" s="13"/>
      <c r="P985" s="13"/>
      <c r="Q985" s="13"/>
      <c r="R985" s="13"/>
      <c r="S985" s="13"/>
      <c r="T985" s="13"/>
      <c r="U985" s="13"/>
      <c r="V985" s="13"/>
      <c r="W985" s="13"/>
      <c r="AY985" s="10"/>
      <c r="AZ985" s="10"/>
      <c r="BA985" s="10"/>
    </row>
    <row r="986" spans="1:53" ht="15" x14ac:dyDescent="0.25">
      <c r="A986" s="70"/>
      <c r="B986" s="70"/>
      <c r="C986" s="71"/>
      <c r="D986" s="71"/>
      <c r="E986" s="71"/>
      <c r="F986" s="71"/>
      <c r="G986" s="71"/>
      <c r="H986" s="71"/>
      <c r="I986" s="71"/>
      <c r="J986" s="71"/>
      <c r="K986" s="71"/>
      <c r="L986" s="71"/>
      <c r="M986" s="71"/>
      <c r="N986" s="19"/>
      <c r="O986" s="13"/>
      <c r="P986" s="13"/>
      <c r="Q986" s="13"/>
      <c r="R986" s="13"/>
      <c r="S986" s="13"/>
      <c r="T986" s="13"/>
      <c r="U986" s="13"/>
      <c r="V986" s="13"/>
      <c r="W986" s="13"/>
      <c r="AY986" s="10"/>
      <c r="AZ986" s="10"/>
      <c r="BA986" s="10"/>
    </row>
    <row r="987" spans="1:53" ht="15" x14ac:dyDescent="0.25">
      <c r="A987" s="70"/>
      <c r="B987" s="70"/>
      <c r="C987" s="71"/>
      <c r="D987" s="71"/>
      <c r="E987" s="71"/>
      <c r="F987" s="71"/>
      <c r="G987" s="71"/>
      <c r="H987" s="71"/>
      <c r="I987" s="71"/>
      <c r="J987" s="71"/>
      <c r="K987" s="71"/>
      <c r="L987" s="71"/>
      <c r="M987" s="71"/>
      <c r="N987" s="19"/>
      <c r="O987" s="13"/>
      <c r="P987" s="13"/>
      <c r="Q987" s="13"/>
      <c r="R987" s="13"/>
      <c r="S987" s="13"/>
      <c r="T987" s="13"/>
      <c r="U987" s="13"/>
      <c r="V987" s="13"/>
      <c r="W987" s="13"/>
      <c r="AY987" s="10"/>
      <c r="AZ987" s="10"/>
      <c r="BA987" s="10"/>
    </row>
    <row r="988" spans="1:53" ht="15" x14ac:dyDescent="0.25">
      <c r="A988" s="70"/>
      <c r="B988" s="70"/>
      <c r="C988" s="71"/>
      <c r="D988" s="71"/>
      <c r="E988" s="71"/>
      <c r="F988" s="71"/>
      <c r="G988" s="71"/>
      <c r="H988" s="71"/>
      <c r="I988" s="71"/>
      <c r="J988" s="71"/>
      <c r="K988" s="71"/>
      <c r="L988" s="71"/>
      <c r="M988" s="71"/>
      <c r="N988" s="19"/>
      <c r="O988" s="13"/>
      <c r="P988" s="13"/>
      <c r="Q988" s="13"/>
      <c r="R988" s="13"/>
      <c r="S988" s="13"/>
      <c r="T988" s="13"/>
      <c r="U988" s="13"/>
      <c r="V988" s="13"/>
      <c r="W988" s="13"/>
      <c r="AY988" s="10"/>
      <c r="AZ988" s="10"/>
      <c r="BA988" s="10"/>
    </row>
    <row r="989" spans="1:53" ht="15" x14ac:dyDescent="0.25">
      <c r="A989" s="70"/>
      <c r="B989" s="70"/>
      <c r="C989" s="71"/>
      <c r="D989" s="71"/>
      <c r="E989" s="71"/>
      <c r="F989" s="71"/>
      <c r="G989" s="71"/>
      <c r="H989" s="71"/>
      <c r="I989" s="71"/>
      <c r="J989" s="71"/>
      <c r="K989" s="71"/>
      <c r="L989" s="71"/>
      <c r="M989" s="71"/>
      <c r="N989" s="19"/>
      <c r="O989" s="13"/>
      <c r="P989" s="13"/>
      <c r="Q989" s="13"/>
      <c r="R989" s="13"/>
      <c r="S989" s="13"/>
      <c r="T989" s="13"/>
      <c r="U989" s="13"/>
      <c r="V989" s="13"/>
      <c r="W989" s="13"/>
      <c r="AY989" s="10"/>
      <c r="AZ989" s="10"/>
      <c r="BA989" s="10"/>
    </row>
    <row r="990" spans="1:53" ht="15" x14ac:dyDescent="0.25">
      <c r="A990" s="70"/>
      <c r="B990" s="70"/>
      <c r="C990" s="71"/>
      <c r="D990" s="71"/>
      <c r="E990" s="71"/>
      <c r="F990" s="71"/>
      <c r="G990" s="71"/>
      <c r="H990" s="71"/>
      <c r="I990" s="71"/>
      <c r="J990" s="71"/>
      <c r="K990" s="71"/>
      <c r="L990" s="71"/>
      <c r="M990" s="71"/>
      <c r="N990" s="19"/>
      <c r="O990" s="13"/>
      <c r="P990" s="13"/>
      <c r="Q990" s="13"/>
      <c r="R990" s="13"/>
      <c r="S990" s="13"/>
      <c r="T990" s="13"/>
      <c r="U990" s="13"/>
      <c r="V990" s="13"/>
      <c r="W990" s="13"/>
      <c r="AY990" s="10"/>
      <c r="AZ990" s="10"/>
      <c r="BA990" s="10"/>
    </row>
    <row r="991" spans="1:53" ht="15" x14ac:dyDescent="0.25">
      <c r="A991" s="70"/>
      <c r="B991" s="70"/>
      <c r="C991" s="71"/>
      <c r="D991" s="71"/>
      <c r="E991" s="71"/>
      <c r="F991" s="71"/>
      <c r="G991" s="71"/>
      <c r="H991" s="71"/>
      <c r="I991" s="71"/>
      <c r="J991" s="71"/>
      <c r="K991" s="71"/>
      <c r="L991" s="71"/>
      <c r="M991" s="71"/>
      <c r="N991" s="19"/>
      <c r="O991" s="13"/>
      <c r="P991" s="13"/>
      <c r="Q991" s="13"/>
      <c r="R991" s="13"/>
      <c r="S991" s="13"/>
      <c r="T991" s="13"/>
      <c r="U991" s="13"/>
      <c r="V991" s="13"/>
      <c r="W991" s="13"/>
      <c r="AY991" s="10"/>
      <c r="AZ991" s="10"/>
      <c r="BA991" s="10"/>
    </row>
    <row r="992" spans="1:53" ht="15" x14ac:dyDescent="0.25">
      <c r="A992" s="70"/>
      <c r="B992" s="70"/>
      <c r="C992" s="71"/>
      <c r="D992" s="71"/>
      <c r="E992" s="71"/>
      <c r="F992" s="71"/>
      <c r="G992" s="71"/>
      <c r="H992" s="71"/>
      <c r="I992" s="71"/>
      <c r="J992" s="71"/>
      <c r="K992" s="71"/>
      <c r="L992" s="71"/>
      <c r="M992" s="71"/>
      <c r="N992" s="19"/>
      <c r="O992" s="13"/>
      <c r="P992" s="13"/>
      <c r="Q992" s="13"/>
      <c r="R992" s="13"/>
      <c r="S992" s="13"/>
      <c r="T992" s="13"/>
      <c r="U992" s="13"/>
      <c r="V992" s="13"/>
      <c r="W992" s="13"/>
      <c r="AY992" s="10"/>
      <c r="AZ992" s="10"/>
      <c r="BA992" s="10"/>
    </row>
    <row r="993" spans="1:53" ht="15" x14ac:dyDescent="0.25">
      <c r="A993" s="70"/>
      <c r="B993" s="70"/>
      <c r="C993" s="71"/>
      <c r="D993" s="71"/>
      <c r="E993" s="71"/>
      <c r="F993" s="71"/>
      <c r="G993" s="71"/>
      <c r="H993" s="71"/>
      <c r="I993" s="71"/>
      <c r="J993" s="71"/>
      <c r="K993" s="71"/>
      <c r="L993" s="71"/>
      <c r="M993" s="71"/>
      <c r="N993" s="19"/>
      <c r="O993" s="13"/>
      <c r="P993" s="13"/>
      <c r="Q993" s="13"/>
      <c r="R993" s="13"/>
      <c r="S993" s="13"/>
      <c r="T993" s="13"/>
      <c r="U993" s="13"/>
      <c r="V993" s="13"/>
      <c r="W993" s="13"/>
      <c r="AY993" s="10"/>
      <c r="AZ993" s="10"/>
      <c r="BA993" s="10"/>
    </row>
    <row r="994" spans="1:53" ht="15" x14ac:dyDescent="0.25">
      <c r="A994" s="70"/>
      <c r="B994" s="70"/>
      <c r="C994" s="71"/>
      <c r="D994" s="71"/>
      <c r="E994" s="71"/>
      <c r="F994" s="71"/>
      <c r="G994" s="71"/>
      <c r="H994" s="71"/>
      <c r="I994" s="71"/>
      <c r="J994" s="71"/>
      <c r="K994" s="71"/>
      <c r="L994" s="71"/>
      <c r="M994" s="71"/>
      <c r="N994" s="19"/>
      <c r="O994" s="13"/>
      <c r="P994" s="13"/>
      <c r="Q994" s="13"/>
      <c r="R994" s="13"/>
      <c r="S994" s="13"/>
      <c r="T994" s="13"/>
      <c r="U994" s="13"/>
      <c r="V994" s="13"/>
      <c r="W994" s="13"/>
      <c r="AY994" s="10"/>
      <c r="AZ994" s="10"/>
      <c r="BA994" s="10"/>
    </row>
    <row r="995" spans="1:53" ht="15" x14ac:dyDescent="0.25">
      <c r="A995" s="70"/>
      <c r="B995" s="70"/>
      <c r="C995" s="71"/>
      <c r="D995" s="71"/>
      <c r="E995" s="71"/>
      <c r="F995" s="71"/>
      <c r="G995" s="71"/>
      <c r="H995" s="71"/>
      <c r="I995" s="71"/>
      <c r="J995" s="71"/>
      <c r="K995" s="71"/>
      <c r="L995" s="71"/>
      <c r="M995" s="71"/>
      <c r="N995" s="19"/>
      <c r="O995" s="13"/>
      <c r="P995" s="13"/>
      <c r="Q995" s="13"/>
      <c r="R995" s="13"/>
      <c r="S995" s="13"/>
      <c r="T995" s="13"/>
      <c r="U995" s="13"/>
      <c r="V995" s="13"/>
      <c r="W995" s="13"/>
      <c r="AY995" s="10"/>
      <c r="AZ995" s="10"/>
      <c r="BA995" s="10"/>
    </row>
    <row r="996" spans="1:53" ht="15" x14ac:dyDescent="0.25">
      <c r="A996" s="70"/>
      <c r="B996" s="70"/>
      <c r="C996" s="71"/>
      <c r="D996" s="71"/>
      <c r="E996" s="71"/>
      <c r="F996" s="71"/>
      <c r="G996" s="71"/>
      <c r="H996" s="71"/>
      <c r="I996" s="71"/>
      <c r="J996" s="71"/>
      <c r="K996" s="71"/>
      <c r="L996" s="71"/>
      <c r="M996" s="71"/>
      <c r="N996" s="19"/>
      <c r="O996" s="13"/>
      <c r="P996" s="13"/>
      <c r="Q996" s="13"/>
      <c r="R996" s="13"/>
      <c r="S996" s="13"/>
      <c r="T996" s="13"/>
      <c r="U996" s="13"/>
      <c r="V996" s="13"/>
      <c r="W996" s="13"/>
      <c r="AY996" s="10"/>
      <c r="AZ996" s="10"/>
      <c r="BA996" s="10"/>
    </row>
    <row r="997" spans="1:53" ht="15" x14ac:dyDescent="0.25">
      <c r="A997" s="70"/>
      <c r="B997" s="70"/>
      <c r="C997" s="71"/>
      <c r="D997" s="71"/>
      <c r="E997" s="71"/>
      <c r="F997" s="71"/>
      <c r="G997" s="71"/>
      <c r="H997" s="71"/>
      <c r="I997" s="71"/>
      <c r="J997" s="71"/>
      <c r="K997" s="71"/>
      <c r="L997" s="71"/>
      <c r="M997" s="71"/>
      <c r="N997" s="19"/>
      <c r="O997" s="13"/>
      <c r="P997" s="13"/>
      <c r="Q997" s="13"/>
      <c r="R997" s="13"/>
      <c r="S997" s="13"/>
      <c r="T997" s="13"/>
      <c r="U997" s="13"/>
      <c r="V997" s="13"/>
      <c r="W997" s="13"/>
      <c r="AY997" s="10"/>
      <c r="AZ997" s="10"/>
      <c r="BA997" s="10"/>
    </row>
    <row r="998" spans="1:53" ht="15" x14ac:dyDescent="0.25">
      <c r="A998" s="70"/>
      <c r="B998" s="70"/>
      <c r="C998" s="71"/>
      <c r="D998" s="71"/>
      <c r="E998" s="71"/>
      <c r="F998" s="71"/>
      <c r="G998" s="71"/>
      <c r="H998" s="71"/>
      <c r="I998" s="71"/>
      <c r="J998" s="71"/>
      <c r="K998" s="71"/>
      <c r="L998" s="71"/>
      <c r="M998" s="71"/>
      <c r="N998" s="19"/>
      <c r="O998" s="13"/>
      <c r="P998" s="13"/>
      <c r="Q998" s="13"/>
      <c r="R998" s="13"/>
      <c r="S998" s="13"/>
      <c r="T998" s="13"/>
      <c r="U998" s="13"/>
      <c r="V998" s="13"/>
      <c r="W998" s="13"/>
      <c r="AY998" s="10"/>
      <c r="AZ998" s="10"/>
      <c r="BA998" s="10"/>
    </row>
    <row r="999" spans="1:53" ht="15" x14ac:dyDescent="0.25">
      <c r="A999" s="70"/>
      <c r="B999" s="70"/>
      <c r="C999" s="71"/>
      <c r="D999" s="71"/>
      <c r="E999" s="71"/>
      <c r="F999" s="71"/>
      <c r="G999" s="71"/>
      <c r="H999" s="71"/>
      <c r="I999" s="71"/>
      <c r="J999" s="71"/>
      <c r="K999" s="71"/>
      <c r="L999" s="71"/>
      <c r="M999" s="71"/>
      <c r="N999" s="19"/>
      <c r="O999" s="13"/>
      <c r="P999" s="13"/>
      <c r="Q999" s="13"/>
      <c r="R999" s="13"/>
      <c r="S999" s="13"/>
      <c r="T999" s="13"/>
      <c r="U999" s="13"/>
      <c r="V999" s="13"/>
      <c r="W999" s="13"/>
      <c r="AY999" s="10"/>
      <c r="AZ999" s="10"/>
      <c r="BA999" s="10"/>
    </row>
    <row r="1000" spans="1:53" ht="15" x14ac:dyDescent="0.25">
      <c r="A1000" s="70"/>
      <c r="B1000" s="70"/>
      <c r="C1000" s="71"/>
      <c r="D1000" s="71"/>
      <c r="E1000" s="71"/>
      <c r="F1000" s="71"/>
      <c r="G1000" s="71"/>
      <c r="H1000" s="71"/>
      <c r="I1000" s="71"/>
      <c r="J1000" s="71"/>
      <c r="K1000" s="71"/>
      <c r="L1000" s="71"/>
      <c r="M1000" s="71"/>
      <c r="N1000" s="19"/>
      <c r="O1000" s="13"/>
      <c r="P1000" s="13"/>
      <c r="Q1000" s="13"/>
      <c r="R1000" s="13"/>
      <c r="S1000" s="13"/>
      <c r="T1000" s="13"/>
      <c r="U1000" s="13"/>
      <c r="V1000" s="13"/>
      <c r="W1000" s="13"/>
      <c r="AY1000" s="10"/>
      <c r="AZ1000" s="10"/>
      <c r="BA1000" s="10"/>
    </row>
    <row r="1001" spans="1:53" ht="15" x14ac:dyDescent="0.25">
      <c r="A1001" s="70"/>
      <c r="B1001" s="70"/>
      <c r="C1001" s="71"/>
      <c r="D1001" s="71"/>
      <c r="E1001" s="71"/>
      <c r="F1001" s="71"/>
      <c r="G1001" s="71"/>
      <c r="H1001" s="71"/>
      <c r="I1001" s="71"/>
      <c r="J1001" s="71"/>
      <c r="K1001" s="71"/>
      <c r="L1001" s="71"/>
      <c r="M1001" s="71"/>
      <c r="N1001" s="19"/>
      <c r="O1001" s="13"/>
      <c r="P1001" s="13"/>
      <c r="Q1001" s="13"/>
      <c r="R1001" s="13"/>
      <c r="S1001" s="13"/>
      <c r="T1001" s="13"/>
      <c r="U1001" s="13"/>
      <c r="V1001" s="13"/>
      <c r="W1001" s="13"/>
      <c r="AY1001" s="10"/>
      <c r="AZ1001" s="10"/>
      <c r="BA1001" s="10"/>
    </row>
    <row r="1002" spans="1:53" ht="15" x14ac:dyDescent="0.25">
      <c r="A1002" s="70"/>
      <c r="B1002" s="70"/>
      <c r="C1002" s="71"/>
      <c r="D1002" s="71"/>
      <c r="E1002" s="71"/>
      <c r="F1002" s="71"/>
      <c r="G1002" s="71"/>
      <c r="H1002" s="71"/>
      <c r="I1002" s="71"/>
      <c r="J1002" s="71"/>
      <c r="K1002" s="71"/>
      <c r="L1002" s="71"/>
      <c r="M1002" s="71"/>
      <c r="N1002" s="19"/>
      <c r="O1002" s="13"/>
      <c r="P1002" s="13"/>
      <c r="Q1002" s="13"/>
      <c r="R1002" s="13"/>
      <c r="S1002" s="13"/>
      <c r="T1002" s="13"/>
      <c r="U1002" s="13"/>
      <c r="V1002" s="13"/>
      <c r="W1002" s="13"/>
      <c r="AY1002" s="10"/>
      <c r="AZ1002" s="10"/>
      <c r="BA1002" s="10"/>
    </row>
    <row r="1003" spans="1:53" ht="15" x14ac:dyDescent="0.25">
      <c r="A1003" s="70"/>
      <c r="B1003" s="70"/>
      <c r="C1003" s="71"/>
      <c r="D1003" s="71"/>
      <c r="E1003" s="71"/>
      <c r="F1003" s="71"/>
      <c r="G1003" s="71"/>
      <c r="H1003" s="71"/>
      <c r="I1003" s="71"/>
      <c r="J1003" s="71"/>
      <c r="K1003" s="71"/>
      <c r="L1003" s="71"/>
      <c r="M1003" s="71"/>
      <c r="N1003" s="19"/>
      <c r="O1003" s="13"/>
      <c r="P1003" s="13"/>
      <c r="Q1003" s="13"/>
      <c r="R1003" s="13"/>
      <c r="S1003" s="13"/>
      <c r="T1003" s="13"/>
      <c r="U1003" s="13"/>
      <c r="V1003" s="13"/>
      <c r="W1003" s="13"/>
      <c r="AY1003" s="10"/>
      <c r="AZ1003" s="10"/>
      <c r="BA1003" s="10"/>
    </row>
    <row r="1004" spans="1:53" ht="15" x14ac:dyDescent="0.25">
      <c r="A1004" s="70"/>
      <c r="B1004" s="70"/>
      <c r="C1004" s="71"/>
      <c r="D1004" s="71"/>
      <c r="E1004" s="71"/>
      <c r="F1004" s="71"/>
      <c r="G1004" s="71"/>
      <c r="H1004" s="71"/>
      <c r="I1004" s="71"/>
      <c r="J1004" s="71"/>
      <c r="K1004" s="71"/>
      <c r="L1004" s="71"/>
      <c r="M1004" s="71"/>
      <c r="N1004" s="19"/>
      <c r="O1004" s="13"/>
      <c r="P1004" s="13"/>
      <c r="Q1004" s="13"/>
      <c r="R1004" s="13"/>
      <c r="S1004" s="13"/>
      <c r="T1004" s="13"/>
      <c r="U1004" s="13"/>
      <c r="V1004" s="13"/>
      <c r="W1004" s="13"/>
      <c r="AY1004" s="10"/>
      <c r="AZ1004" s="10"/>
      <c r="BA1004" s="10"/>
    </row>
    <row r="1005" spans="1:53" ht="15" x14ac:dyDescent="0.25">
      <c r="A1005" s="70"/>
      <c r="B1005" s="70"/>
      <c r="C1005" s="71"/>
      <c r="D1005" s="71"/>
      <c r="E1005" s="71"/>
      <c r="F1005" s="71"/>
      <c r="G1005" s="71"/>
      <c r="H1005" s="71"/>
      <c r="I1005" s="71"/>
      <c r="J1005" s="71"/>
      <c r="K1005" s="71"/>
      <c r="L1005" s="71"/>
      <c r="M1005" s="71"/>
      <c r="N1005" s="19"/>
      <c r="O1005" s="13"/>
      <c r="P1005" s="13"/>
      <c r="Q1005" s="13"/>
      <c r="R1005" s="13"/>
      <c r="S1005" s="13"/>
      <c r="T1005" s="13"/>
      <c r="U1005" s="13"/>
      <c r="V1005" s="13"/>
      <c r="W1005" s="13"/>
      <c r="AY1005" s="10"/>
      <c r="AZ1005" s="10"/>
      <c r="BA1005" s="10"/>
    </row>
    <row r="1006" spans="1:53" ht="15" x14ac:dyDescent="0.25">
      <c r="A1006" s="70"/>
      <c r="B1006" s="70"/>
      <c r="C1006" s="71"/>
      <c r="D1006" s="71"/>
      <c r="E1006" s="71"/>
      <c r="F1006" s="71"/>
      <c r="G1006" s="71"/>
      <c r="H1006" s="71"/>
      <c r="I1006" s="71"/>
      <c r="J1006" s="71"/>
      <c r="K1006" s="71"/>
      <c r="L1006" s="71"/>
      <c r="M1006" s="71"/>
      <c r="N1006" s="19"/>
      <c r="O1006" s="13"/>
      <c r="P1006" s="13"/>
      <c r="Q1006" s="13"/>
      <c r="R1006" s="13"/>
      <c r="S1006" s="13"/>
      <c r="T1006" s="13"/>
      <c r="U1006" s="13"/>
      <c r="V1006" s="13"/>
      <c r="W1006" s="13"/>
      <c r="AY1006" s="10"/>
      <c r="AZ1006" s="10"/>
      <c r="BA1006" s="10"/>
    </row>
    <row r="1007" spans="1:53" ht="15" x14ac:dyDescent="0.25">
      <c r="A1007" s="70"/>
      <c r="B1007" s="70"/>
      <c r="C1007" s="71"/>
      <c r="D1007" s="71"/>
      <c r="E1007" s="71"/>
      <c r="F1007" s="71"/>
      <c r="G1007" s="71"/>
      <c r="H1007" s="71"/>
      <c r="I1007" s="71"/>
      <c r="J1007" s="71"/>
      <c r="K1007" s="71"/>
      <c r="L1007" s="71"/>
      <c r="M1007" s="71"/>
      <c r="N1007" s="19"/>
      <c r="O1007" s="13"/>
      <c r="P1007" s="13"/>
      <c r="Q1007" s="13"/>
      <c r="R1007" s="13"/>
      <c r="S1007" s="13"/>
      <c r="T1007" s="13"/>
      <c r="U1007" s="13"/>
      <c r="V1007" s="13"/>
      <c r="W1007" s="13"/>
      <c r="AY1007" s="10"/>
      <c r="AZ1007" s="10"/>
      <c r="BA1007" s="10"/>
    </row>
    <row r="1008" spans="1:53" ht="15" x14ac:dyDescent="0.25">
      <c r="A1008" s="70"/>
      <c r="B1008" s="70"/>
      <c r="C1008" s="71"/>
      <c r="D1008" s="71"/>
      <c r="E1008" s="71"/>
      <c r="F1008" s="71"/>
      <c r="G1008" s="71"/>
      <c r="H1008" s="71"/>
      <c r="I1008" s="71"/>
      <c r="J1008" s="71"/>
      <c r="K1008" s="71"/>
      <c r="L1008" s="71"/>
      <c r="M1008" s="71"/>
      <c r="N1008" s="19"/>
      <c r="O1008" s="13"/>
      <c r="P1008" s="13"/>
      <c r="Q1008" s="13"/>
      <c r="R1008" s="13"/>
      <c r="S1008" s="13"/>
      <c r="T1008" s="13"/>
      <c r="U1008" s="13"/>
      <c r="V1008" s="13"/>
      <c r="W1008" s="13"/>
      <c r="AY1008" s="10"/>
      <c r="AZ1008" s="10"/>
      <c r="BA1008" s="10"/>
    </row>
    <row r="1009" spans="1:53" ht="15" x14ac:dyDescent="0.25">
      <c r="A1009" s="70"/>
      <c r="B1009" s="70"/>
      <c r="C1009" s="71"/>
      <c r="D1009" s="71"/>
      <c r="E1009" s="71"/>
      <c r="F1009" s="71"/>
      <c r="G1009" s="71"/>
      <c r="H1009" s="71"/>
      <c r="I1009" s="71"/>
      <c r="J1009" s="71"/>
      <c r="K1009" s="71"/>
      <c r="L1009" s="71"/>
      <c r="M1009" s="71"/>
      <c r="N1009" s="19"/>
      <c r="O1009" s="13"/>
      <c r="P1009" s="13"/>
      <c r="Q1009" s="13"/>
      <c r="R1009" s="13"/>
      <c r="S1009" s="13"/>
      <c r="T1009" s="13"/>
      <c r="U1009" s="13"/>
      <c r="V1009" s="13"/>
      <c r="W1009" s="13"/>
      <c r="AY1009" s="10"/>
      <c r="AZ1009" s="10"/>
      <c r="BA1009" s="10"/>
    </row>
    <row r="1010" spans="1:53" ht="15" x14ac:dyDescent="0.25">
      <c r="A1010" s="70"/>
      <c r="B1010" s="70"/>
      <c r="C1010" s="71"/>
      <c r="D1010" s="71"/>
      <c r="E1010" s="71"/>
      <c r="F1010" s="71"/>
      <c r="G1010" s="71"/>
      <c r="H1010" s="71"/>
      <c r="I1010" s="71"/>
      <c r="J1010" s="71"/>
      <c r="K1010" s="71"/>
      <c r="L1010" s="71"/>
      <c r="M1010" s="71"/>
      <c r="N1010" s="19"/>
      <c r="O1010" s="13"/>
      <c r="P1010" s="13"/>
      <c r="Q1010" s="13"/>
      <c r="R1010" s="13"/>
      <c r="S1010" s="13"/>
      <c r="T1010" s="13"/>
      <c r="U1010" s="13"/>
      <c r="V1010" s="13"/>
      <c r="W1010" s="13"/>
      <c r="AY1010" s="10"/>
      <c r="AZ1010" s="10"/>
      <c r="BA1010" s="10"/>
    </row>
    <row r="1011" spans="1:53" ht="15" x14ac:dyDescent="0.25">
      <c r="A1011" s="70"/>
      <c r="B1011" s="70"/>
      <c r="C1011" s="71"/>
      <c r="D1011" s="71"/>
      <c r="E1011" s="71"/>
      <c r="F1011" s="71"/>
      <c r="G1011" s="71"/>
      <c r="H1011" s="71"/>
      <c r="I1011" s="71"/>
      <c r="J1011" s="71"/>
      <c r="K1011" s="71"/>
      <c r="L1011" s="71"/>
      <c r="M1011" s="71"/>
      <c r="N1011" s="19"/>
      <c r="O1011" s="13"/>
      <c r="P1011" s="13"/>
      <c r="Q1011" s="13"/>
      <c r="R1011" s="13"/>
      <c r="S1011" s="13"/>
      <c r="T1011" s="13"/>
      <c r="U1011" s="13"/>
      <c r="V1011" s="13"/>
      <c r="W1011" s="13"/>
      <c r="AY1011" s="10"/>
      <c r="AZ1011" s="10"/>
      <c r="BA1011" s="10"/>
    </row>
    <row r="1012" spans="1:53" ht="15" x14ac:dyDescent="0.25">
      <c r="A1012" s="70"/>
      <c r="B1012" s="70"/>
      <c r="C1012" s="71"/>
      <c r="D1012" s="71"/>
      <c r="E1012" s="71"/>
      <c r="F1012" s="71"/>
      <c r="G1012" s="71"/>
      <c r="H1012" s="71"/>
      <c r="I1012" s="71"/>
      <c r="J1012" s="71"/>
      <c r="K1012" s="71"/>
      <c r="L1012" s="71"/>
      <c r="M1012" s="71"/>
      <c r="N1012" s="19"/>
      <c r="O1012" s="13"/>
      <c r="P1012" s="13"/>
      <c r="Q1012" s="13"/>
      <c r="R1012" s="13"/>
      <c r="S1012" s="13"/>
      <c r="T1012" s="13"/>
      <c r="U1012" s="13"/>
      <c r="V1012" s="13"/>
      <c r="W1012" s="13"/>
      <c r="AY1012" s="10"/>
      <c r="AZ1012" s="10"/>
      <c r="BA1012" s="10"/>
    </row>
    <row r="1013" spans="1:53" ht="15" x14ac:dyDescent="0.25">
      <c r="A1013" s="70"/>
      <c r="B1013" s="70"/>
      <c r="C1013" s="71"/>
      <c r="D1013" s="71"/>
      <c r="E1013" s="71"/>
      <c r="F1013" s="71"/>
      <c r="G1013" s="71"/>
      <c r="H1013" s="71"/>
      <c r="I1013" s="71"/>
      <c r="J1013" s="71"/>
      <c r="K1013" s="71"/>
      <c r="L1013" s="71"/>
      <c r="M1013" s="71"/>
      <c r="N1013" s="19"/>
      <c r="O1013" s="13"/>
      <c r="P1013" s="13"/>
      <c r="Q1013" s="13"/>
      <c r="R1013" s="13"/>
      <c r="S1013" s="13"/>
      <c r="T1013" s="13"/>
      <c r="U1013" s="13"/>
      <c r="V1013" s="13"/>
      <c r="W1013" s="13"/>
      <c r="AY1013" s="10"/>
      <c r="AZ1013" s="10"/>
      <c r="BA1013" s="10"/>
    </row>
    <row r="1014" spans="1:53" ht="15" x14ac:dyDescent="0.25">
      <c r="A1014" s="70"/>
      <c r="B1014" s="70"/>
      <c r="C1014" s="71"/>
      <c r="D1014" s="71"/>
      <c r="E1014" s="71"/>
      <c r="F1014" s="71"/>
      <c r="G1014" s="71"/>
      <c r="H1014" s="71"/>
      <c r="I1014" s="71"/>
      <c r="J1014" s="71"/>
      <c r="K1014" s="71"/>
      <c r="L1014" s="71"/>
      <c r="M1014" s="71"/>
      <c r="N1014" s="19"/>
      <c r="O1014" s="13"/>
      <c r="P1014" s="13"/>
      <c r="Q1014" s="13"/>
      <c r="R1014" s="13"/>
      <c r="S1014" s="13"/>
      <c r="T1014" s="13"/>
      <c r="U1014" s="13"/>
      <c r="V1014" s="13"/>
      <c r="W1014" s="13"/>
      <c r="AY1014" s="10"/>
      <c r="AZ1014" s="10"/>
      <c r="BA1014" s="10"/>
    </row>
    <row r="1015" spans="1:53" ht="15" x14ac:dyDescent="0.25">
      <c r="A1015" s="70"/>
      <c r="B1015" s="70"/>
      <c r="C1015" s="71"/>
      <c r="D1015" s="71"/>
      <c r="E1015" s="71"/>
      <c r="F1015" s="71"/>
      <c r="G1015" s="71"/>
      <c r="H1015" s="71"/>
      <c r="I1015" s="71"/>
      <c r="J1015" s="71"/>
      <c r="K1015" s="71"/>
      <c r="L1015" s="71"/>
      <c r="M1015" s="71"/>
      <c r="N1015" s="19"/>
      <c r="O1015" s="13"/>
      <c r="P1015" s="13"/>
      <c r="Q1015" s="13"/>
      <c r="R1015" s="13"/>
      <c r="S1015" s="13"/>
      <c r="T1015" s="13"/>
      <c r="U1015" s="13"/>
      <c r="V1015" s="13"/>
      <c r="W1015" s="13"/>
      <c r="AY1015" s="10"/>
      <c r="AZ1015" s="10"/>
      <c r="BA1015" s="10"/>
    </row>
    <row r="1016" spans="1:53" ht="15" x14ac:dyDescent="0.25">
      <c r="A1016" s="70"/>
      <c r="B1016" s="70"/>
      <c r="C1016" s="71"/>
      <c r="D1016" s="71"/>
      <c r="E1016" s="71"/>
      <c r="F1016" s="71"/>
      <c r="G1016" s="71"/>
      <c r="H1016" s="71"/>
      <c r="I1016" s="71"/>
      <c r="J1016" s="71"/>
      <c r="K1016" s="71"/>
      <c r="L1016" s="71"/>
      <c r="M1016" s="71"/>
      <c r="N1016" s="19"/>
      <c r="O1016" s="13"/>
      <c r="P1016" s="13"/>
      <c r="Q1016" s="13"/>
      <c r="R1016" s="13"/>
      <c r="S1016" s="13"/>
      <c r="T1016" s="13"/>
      <c r="U1016" s="13"/>
      <c r="V1016" s="13"/>
      <c r="W1016" s="13"/>
      <c r="AY1016" s="10"/>
      <c r="AZ1016" s="10"/>
      <c r="BA1016" s="10"/>
    </row>
    <row r="1017" spans="1:53" ht="15" x14ac:dyDescent="0.25">
      <c r="A1017" s="70"/>
      <c r="B1017" s="70"/>
      <c r="C1017" s="71"/>
      <c r="D1017" s="71"/>
      <c r="E1017" s="71"/>
      <c r="F1017" s="71"/>
      <c r="G1017" s="71"/>
      <c r="H1017" s="71"/>
      <c r="I1017" s="71"/>
      <c r="J1017" s="71"/>
      <c r="K1017" s="71"/>
      <c r="L1017" s="71"/>
      <c r="M1017" s="71"/>
      <c r="N1017" s="19"/>
      <c r="O1017" s="13"/>
      <c r="P1017" s="13"/>
      <c r="Q1017" s="13"/>
      <c r="R1017" s="13"/>
      <c r="S1017" s="13"/>
      <c r="T1017" s="13"/>
      <c r="U1017" s="13"/>
      <c r="V1017" s="13"/>
      <c r="W1017" s="13"/>
      <c r="AY1017" s="10"/>
      <c r="AZ1017" s="10"/>
      <c r="BA1017" s="10"/>
    </row>
    <row r="1018" spans="1:53" ht="15" x14ac:dyDescent="0.25">
      <c r="A1018" s="70"/>
      <c r="B1018" s="70"/>
      <c r="C1018" s="71"/>
      <c r="D1018" s="71"/>
      <c r="E1018" s="71"/>
      <c r="F1018" s="71"/>
      <c r="G1018" s="71"/>
      <c r="H1018" s="71"/>
      <c r="I1018" s="71"/>
      <c r="J1018" s="71"/>
      <c r="K1018" s="71"/>
      <c r="L1018" s="71"/>
      <c r="M1018" s="71"/>
      <c r="N1018" s="19"/>
      <c r="O1018" s="13"/>
      <c r="P1018" s="13"/>
      <c r="Q1018" s="13"/>
      <c r="R1018" s="13"/>
      <c r="S1018" s="13"/>
      <c r="T1018" s="13"/>
      <c r="U1018" s="13"/>
      <c r="V1018" s="13"/>
      <c r="W1018" s="13"/>
      <c r="AY1018" s="10"/>
      <c r="AZ1018" s="10"/>
      <c r="BA1018" s="10"/>
    </row>
    <row r="1019" spans="1:53" ht="15" x14ac:dyDescent="0.25">
      <c r="A1019" s="70"/>
      <c r="B1019" s="70"/>
      <c r="C1019" s="71"/>
      <c r="D1019" s="71"/>
      <c r="E1019" s="71"/>
      <c r="F1019" s="71"/>
      <c r="G1019" s="71"/>
      <c r="H1019" s="71"/>
      <c r="I1019" s="71"/>
      <c r="J1019" s="71"/>
      <c r="K1019" s="71"/>
      <c r="L1019" s="71"/>
      <c r="M1019" s="71"/>
      <c r="N1019" s="19"/>
      <c r="O1019" s="13"/>
      <c r="P1019" s="13"/>
      <c r="Q1019" s="13"/>
      <c r="R1019" s="13"/>
      <c r="S1019" s="13"/>
      <c r="T1019" s="13"/>
      <c r="U1019" s="13"/>
      <c r="V1019" s="13"/>
      <c r="W1019" s="13"/>
      <c r="AY1019" s="10"/>
      <c r="AZ1019" s="10"/>
      <c r="BA1019" s="10"/>
    </row>
    <row r="1020" spans="1:53" ht="15" x14ac:dyDescent="0.25">
      <c r="A1020" s="70"/>
      <c r="B1020" s="70"/>
      <c r="C1020" s="71"/>
      <c r="D1020" s="71"/>
      <c r="E1020" s="71"/>
      <c r="F1020" s="71"/>
      <c r="G1020" s="71"/>
      <c r="H1020" s="71"/>
      <c r="I1020" s="71"/>
      <c r="J1020" s="71"/>
      <c r="K1020" s="71"/>
      <c r="L1020" s="71"/>
      <c r="M1020" s="71"/>
      <c r="N1020" s="19"/>
      <c r="O1020" s="13"/>
      <c r="P1020" s="13"/>
      <c r="Q1020" s="13"/>
      <c r="R1020" s="13"/>
      <c r="S1020" s="13"/>
      <c r="T1020" s="13"/>
      <c r="U1020" s="13"/>
      <c r="V1020" s="13"/>
      <c r="W1020" s="13"/>
      <c r="AY1020" s="10"/>
      <c r="AZ1020" s="10"/>
      <c r="BA1020" s="10"/>
    </row>
    <row r="1021" spans="1:53" ht="15" x14ac:dyDescent="0.25">
      <c r="A1021" s="70"/>
      <c r="B1021" s="70"/>
      <c r="C1021" s="71"/>
      <c r="D1021" s="71"/>
      <c r="E1021" s="71"/>
      <c r="F1021" s="71"/>
      <c r="G1021" s="71"/>
      <c r="H1021" s="71"/>
      <c r="I1021" s="71"/>
      <c r="J1021" s="71"/>
      <c r="K1021" s="71"/>
      <c r="L1021" s="71"/>
      <c r="M1021" s="71"/>
      <c r="N1021" s="19"/>
      <c r="O1021" s="13"/>
      <c r="P1021" s="13"/>
      <c r="Q1021" s="13"/>
      <c r="R1021" s="13"/>
      <c r="S1021" s="13"/>
      <c r="T1021" s="13"/>
      <c r="U1021" s="13"/>
      <c r="V1021" s="13"/>
      <c r="W1021" s="13"/>
      <c r="AY1021" s="10"/>
      <c r="AZ1021" s="10"/>
      <c r="BA1021" s="10"/>
    </row>
    <row r="1022" spans="1:53" ht="15" x14ac:dyDescent="0.25">
      <c r="A1022" s="70"/>
      <c r="B1022" s="70"/>
      <c r="C1022" s="71"/>
      <c r="D1022" s="71"/>
      <c r="E1022" s="71"/>
      <c r="F1022" s="71"/>
      <c r="G1022" s="71"/>
      <c r="H1022" s="71"/>
      <c r="I1022" s="71"/>
      <c r="J1022" s="71"/>
      <c r="K1022" s="71"/>
      <c r="L1022" s="71"/>
      <c r="M1022" s="71"/>
      <c r="N1022" s="19"/>
      <c r="O1022" s="13"/>
      <c r="P1022" s="13"/>
      <c r="Q1022" s="13"/>
      <c r="R1022" s="13"/>
      <c r="S1022" s="13"/>
      <c r="T1022" s="13"/>
      <c r="U1022" s="13"/>
      <c r="V1022" s="13"/>
      <c r="W1022" s="13"/>
      <c r="AY1022" s="10"/>
      <c r="AZ1022" s="10"/>
      <c r="BA1022" s="10"/>
    </row>
    <row r="1023" spans="1:53" ht="15" x14ac:dyDescent="0.25">
      <c r="A1023" s="70"/>
      <c r="B1023" s="70"/>
      <c r="C1023" s="71"/>
      <c r="D1023" s="71"/>
      <c r="E1023" s="71"/>
      <c r="F1023" s="71"/>
      <c r="G1023" s="71"/>
      <c r="H1023" s="71"/>
      <c r="I1023" s="71"/>
      <c r="J1023" s="71"/>
      <c r="K1023" s="71"/>
      <c r="L1023" s="71"/>
      <c r="M1023" s="71"/>
      <c r="N1023" s="19"/>
      <c r="O1023" s="13"/>
      <c r="P1023" s="13"/>
      <c r="Q1023" s="13"/>
      <c r="R1023" s="13"/>
      <c r="S1023" s="13"/>
      <c r="T1023" s="13"/>
      <c r="U1023" s="13"/>
      <c r="V1023" s="13"/>
      <c r="W1023" s="13"/>
      <c r="AY1023" s="10"/>
      <c r="AZ1023" s="10"/>
      <c r="BA1023" s="10"/>
    </row>
    <row r="1024" spans="1:53" ht="15" x14ac:dyDescent="0.25">
      <c r="A1024" s="70"/>
      <c r="B1024" s="70"/>
      <c r="C1024" s="71"/>
      <c r="D1024" s="71"/>
      <c r="E1024" s="71"/>
      <c r="F1024" s="71"/>
      <c r="G1024" s="71"/>
      <c r="H1024" s="71"/>
      <c r="I1024" s="71"/>
      <c r="J1024" s="71"/>
      <c r="K1024" s="71"/>
      <c r="L1024" s="71"/>
      <c r="M1024" s="71"/>
      <c r="N1024" s="19"/>
      <c r="O1024" s="13"/>
      <c r="P1024" s="13"/>
      <c r="Q1024" s="13"/>
      <c r="R1024" s="13"/>
      <c r="S1024" s="13"/>
      <c r="T1024" s="13"/>
      <c r="U1024" s="13"/>
      <c r="V1024" s="13"/>
      <c r="W1024" s="13"/>
      <c r="AY1024" s="10"/>
      <c r="AZ1024" s="10"/>
      <c r="BA1024" s="10"/>
    </row>
    <row r="1025" spans="1:53" ht="15" x14ac:dyDescent="0.25">
      <c r="A1025" s="70"/>
      <c r="B1025" s="70"/>
      <c r="C1025" s="71"/>
      <c r="D1025" s="71"/>
      <c r="E1025" s="71"/>
      <c r="F1025" s="71"/>
      <c r="G1025" s="71"/>
      <c r="H1025" s="71"/>
      <c r="I1025" s="71"/>
      <c r="J1025" s="71"/>
      <c r="K1025" s="71"/>
      <c r="L1025" s="71"/>
      <c r="M1025" s="71"/>
      <c r="N1025" s="19"/>
      <c r="O1025" s="13"/>
      <c r="P1025" s="13"/>
      <c r="Q1025" s="13"/>
      <c r="R1025" s="13"/>
      <c r="S1025" s="13"/>
      <c r="T1025" s="13"/>
      <c r="U1025" s="13"/>
      <c r="V1025" s="13"/>
      <c r="W1025" s="13"/>
      <c r="AY1025" s="10"/>
      <c r="AZ1025" s="10"/>
      <c r="BA1025" s="10"/>
    </row>
    <row r="1026" spans="1:53" ht="15" x14ac:dyDescent="0.25">
      <c r="A1026" s="70"/>
      <c r="B1026" s="70"/>
      <c r="C1026" s="71"/>
      <c r="D1026" s="71"/>
      <c r="E1026" s="71"/>
      <c r="F1026" s="71"/>
      <c r="G1026" s="71"/>
      <c r="H1026" s="71"/>
      <c r="I1026" s="71"/>
      <c r="J1026" s="71"/>
      <c r="K1026" s="71"/>
      <c r="L1026" s="71"/>
      <c r="M1026" s="71"/>
      <c r="N1026" s="19"/>
      <c r="O1026" s="13"/>
      <c r="P1026" s="13"/>
      <c r="Q1026" s="13"/>
      <c r="R1026" s="13"/>
      <c r="S1026" s="13"/>
      <c r="T1026" s="13"/>
      <c r="U1026" s="13"/>
      <c r="V1026" s="13"/>
      <c r="W1026" s="13"/>
      <c r="AY1026" s="10"/>
      <c r="AZ1026" s="10"/>
      <c r="BA1026" s="10"/>
    </row>
    <row r="1027" spans="1:53" ht="15" x14ac:dyDescent="0.25">
      <c r="A1027" s="70"/>
      <c r="B1027" s="70"/>
      <c r="C1027" s="71"/>
      <c r="D1027" s="71"/>
      <c r="E1027" s="71"/>
      <c r="F1027" s="71"/>
      <c r="G1027" s="71"/>
      <c r="H1027" s="71"/>
      <c r="I1027" s="71"/>
      <c r="J1027" s="71"/>
      <c r="K1027" s="71"/>
      <c r="L1027" s="71"/>
      <c r="M1027" s="71"/>
      <c r="N1027" s="19"/>
      <c r="O1027" s="13"/>
      <c r="P1027" s="13"/>
      <c r="Q1027" s="13"/>
      <c r="R1027" s="13"/>
      <c r="S1027" s="13"/>
      <c r="T1027" s="13"/>
      <c r="U1027" s="13"/>
      <c r="V1027" s="13"/>
      <c r="W1027" s="13"/>
      <c r="AY1027" s="10"/>
      <c r="AZ1027" s="10"/>
      <c r="BA1027" s="10"/>
    </row>
    <row r="1028" spans="1:53" ht="15" x14ac:dyDescent="0.25">
      <c r="A1028" s="70"/>
      <c r="B1028" s="70"/>
      <c r="C1028" s="71"/>
      <c r="D1028" s="71"/>
      <c r="E1028" s="71"/>
      <c r="F1028" s="71"/>
      <c r="G1028" s="71"/>
      <c r="H1028" s="71"/>
      <c r="I1028" s="71"/>
      <c r="J1028" s="71"/>
      <c r="K1028" s="71"/>
      <c r="L1028" s="71"/>
      <c r="M1028" s="71"/>
      <c r="N1028" s="19"/>
      <c r="O1028" s="13"/>
      <c r="P1028" s="13"/>
      <c r="Q1028" s="13"/>
      <c r="R1028" s="13"/>
      <c r="S1028" s="13"/>
      <c r="T1028" s="13"/>
      <c r="U1028" s="13"/>
      <c r="V1028" s="13"/>
      <c r="W1028" s="13"/>
      <c r="AY1028" s="10"/>
      <c r="AZ1028" s="10"/>
      <c r="BA1028" s="10"/>
    </row>
    <row r="1029" spans="1:53" ht="15" x14ac:dyDescent="0.25">
      <c r="A1029" s="70"/>
      <c r="B1029" s="70"/>
      <c r="C1029" s="71"/>
      <c r="D1029" s="71"/>
      <c r="E1029" s="71"/>
      <c r="F1029" s="71"/>
      <c r="G1029" s="71"/>
      <c r="H1029" s="71"/>
      <c r="I1029" s="71"/>
      <c r="J1029" s="71"/>
      <c r="K1029" s="71"/>
      <c r="L1029" s="71"/>
      <c r="M1029" s="71"/>
      <c r="N1029" s="19"/>
      <c r="O1029" s="13"/>
      <c r="P1029" s="13"/>
      <c r="Q1029" s="13"/>
      <c r="R1029" s="13"/>
      <c r="S1029" s="13"/>
      <c r="T1029" s="13"/>
      <c r="U1029" s="13"/>
      <c r="V1029" s="13"/>
      <c r="W1029" s="13"/>
      <c r="AY1029" s="10"/>
      <c r="AZ1029" s="10"/>
      <c r="BA1029" s="10"/>
    </row>
    <row r="1030" spans="1:53" ht="15" x14ac:dyDescent="0.25">
      <c r="A1030" s="70"/>
      <c r="B1030" s="70"/>
      <c r="C1030" s="71"/>
      <c r="D1030" s="71"/>
      <c r="E1030" s="71"/>
      <c r="F1030" s="71"/>
      <c r="G1030" s="71"/>
      <c r="H1030" s="71"/>
      <c r="I1030" s="71"/>
      <c r="J1030" s="71"/>
      <c r="K1030" s="71"/>
      <c r="L1030" s="71"/>
      <c r="M1030" s="71"/>
      <c r="N1030" s="19"/>
      <c r="O1030" s="13"/>
      <c r="P1030" s="13"/>
      <c r="Q1030" s="13"/>
      <c r="R1030" s="13"/>
      <c r="S1030" s="13"/>
      <c r="T1030" s="13"/>
      <c r="U1030" s="13"/>
      <c r="V1030" s="13"/>
      <c r="W1030" s="13"/>
      <c r="AY1030" s="10"/>
      <c r="AZ1030" s="10"/>
      <c r="BA1030" s="10"/>
    </row>
    <row r="1031" spans="1:53" ht="15" x14ac:dyDescent="0.25">
      <c r="A1031" s="70"/>
      <c r="B1031" s="70"/>
      <c r="C1031" s="71"/>
      <c r="D1031" s="71"/>
      <c r="E1031" s="71"/>
      <c r="F1031" s="71"/>
      <c r="G1031" s="71"/>
      <c r="H1031" s="71"/>
      <c r="I1031" s="71"/>
      <c r="J1031" s="71"/>
      <c r="K1031" s="71"/>
      <c r="L1031" s="71"/>
      <c r="M1031" s="71"/>
      <c r="N1031" s="19"/>
      <c r="O1031" s="13"/>
      <c r="P1031" s="13"/>
      <c r="Q1031" s="13"/>
      <c r="R1031" s="13"/>
      <c r="S1031" s="13"/>
      <c r="T1031" s="13"/>
      <c r="U1031" s="13"/>
      <c r="V1031" s="13"/>
      <c r="W1031" s="13"/>
      <c r="AY1031" s="10"/>
      <c r="AZ1031" s="10"/>
      <c r="BA1031" s="10"/>
    </row>
    <row r="1032" spans="1:53" ht="15" x14ac:dyDescent="0.25">
      <c r="A1032" s="70"/>
      <c r="B1032" s="70"/>
      <c r="C1032" s="71"/>
      <c r="D1032" s="71"/>
      <c r="E1032" s="71"/>
      <c r="F1032" s="71"/>
      <c r="G1032" s="71"/>
      <c r="H1032" s="71"/>
      <c r="I1032" s="71"/>
      <c r="J1032" s="71"/>
      <c r="K1032" s="71"/>
      <c r="L1032" s="71"/>
      <c r="M1032" s="71"/>
      <c r="N1032" s="19"/>
      <c r="O1032" s="13"/>
      <c r="P1032" s="13"/>
      <c r="Q1032" s="13"/>
      <c r="R1032" s="13"/>
      <c r="S1032" s="13"/>
      <c r="T1032" s="13"/>
      <c r="U1032" s="13"/>
      <c r="V1032" s="13"/>
      <c r="W1032" s="13"/>
      <c r="AY1032" s="10"/>
      <c r="AZ1032" s="10"/>
      <c r="BA1032" s="10"/>
    </row>
    <row r="1033" spans="1:53" ht="15" x14ac:dyDescent="0.25">
      <c r="A1033" s="70"/>
      <c r="B1033" s="70"/>
      <c r="C1033" s="71"/>
      <c r="D1033" s="71"/>
      <c r="E1033" s="71"/>
      <c r="F1033" s="71"/>
      <c r="G1033" s="71"/>
      <c r="H1033" s="71"/>
      <c r="I1033" s="71"/>
      <c r="J1033" s="71"/>
      <c r="K1033" s="71"/>
      <c r="L1033" s="71"/>
      <c r="M1033" s="71"/>
      <c r="N1033" s="19"/>
      <c r="O1033" s="13"/>
      <c r="P1033" s="13"/>
      <c r="Q1033" s="13"/>
      <c r="R1033" s="13"/>
      <c r="S1033" s="13"/>
      <c r="T1033" s="13"/>
      <c r="U1033" s="13"/>
      <c r="V1033" s="13"/>
      <c r="W1033" s="13"/>
      <c r="AY1033" s="10"/>
      <c r="AZ1033" s="10"/>
      <c r="BA1033" s="10"/>
    </row>
    <row r="1034" spans="1:53" ht="15" x14ac:dyDescent="0.25">
      <c r="A1034" s="70"/>
      <c r="B1034" s="70"/>
      <c r="C1034" s="71"/>
      <c r="D1034" s="71"/>
      <c r="E1034" s="71"/>
      <c r="F1034" s="71"/>
      <c r="G1034" s="71"/>
      <c r="H1034" s="71"/>
      <c r="I1034" s="71"/>
      <c r="J1034" s="71"/>
      <c r="K1034" s="71"/>
      <c r="L1034" s="71"/>
      <c r="M1034" s="71"/>
      <c r="N1034" s="19"/>
      <c r="O1034" s="13"/>
      <c r="P1034" s="13"/>
      <c r="Q1034" s="13"/>
      <c r="R1034" s="13"/>
      <c r="S1034" s="13"/>
      <c r="T1034" s="13"/>
      <c r="U1034" s="13"/>
      <c r="V1034" s="13"/>
      <c r="W1034" s="13"/>
      <c r="AY1034" s="10"/>
      <c r="AZ1034" s="10"/>
      <c r="BA1034" s="10"/>
    </row>
    <row r="1035" spans="1:53" ht="15" x14ac:dyDescent="0.25">
      <c r="A1035" s="70"/>
      <c r="B1035" s="70"/>
      <c r="C1035" s="71"/>
      <c r="D1035" s="71"/>
      <c r="E1035" s="71"/>
      <c r="F1035" s="71"/>
      <c r="G1035" s="71"/>
      <c r="H1035" s="71"/>
      <c r="I1035" s="71"/>
      <c r="J1035" s="71"/>
      <c r="K1035" s="71"/>
      <c r="L1035" s="71"/>
      <c r="M1035" s="71"/>
      <c r="N1035" s="19"/>
      <c r="O1035" s="13"/>
      <c r="P1035" s="13"/>
      <c r="Q1035" s="13"/>
      <c r="R1035" s="13"/>
      <c r="S1035" s="13"/>
      <c r="T1035" s="13"/>
      <c r="U1035" s="13"/>
      <c r="V1035" s="13"/>
      <c r="W1035" s="13"/>
      <c r="AY1035" s="10"/>
      <c r="AZ1035" s="10"/>
      <c r="BA1035" s="10"/>
    </row>
    <row r="1036" spans="1:53" ht="15" x14ac:dyDescent="0.25">
      <c r="A1036" s="70"/>
      <c r="B1036" s="70"/>
      <c r="C1036" s="71"/>
      <c r="D1036" s="71"/>
      <c r="E1036" s="71"/>
      <c r="F1036" s="71"/>
      <c r="G1036" s="71"/>
      <c r="H1036" s="71"/>
      <c r="I1036" s="71"/>
      <c r="J1036" s="71"/>
      <c r="K1036" s="71"/>
      <c r="L1036" s="71"/>
      <c r="M1036" s="71"/>
      <c r="N1036" s="19"/>
      <c r="O1036" s="13"/>
      <c r="P1036" s="13"/>
      <c r="Q1036" s="13"/>
      <c r="R1036" s="13"/>
      <c r="S1036" s="13"/>
      <c r="T1036" s="13"/>
      <c r="U1036" s="13"/>
      <c r="V1036" s="13"/>
      <c r="W1036" s="13"/>
      <c r="AY1036" s="10"/>
      <c r="AZ1036" s="10"/>
      <c r="BA1036" s="10"/>
    </row>
    <row r="1037" spans="1:53" ht="15" x14ac:dyDescent="0.25">
      <c r="A1037" s="70"/>
      <c r="B1037" s="70"/>
      <c r="C1037" s="71"/>
      <c r="D1037" s="71"/>
      <c r="E1037" s="71"/>
      <c r="F1037" s="71"/>
      <c r="G1037" s="71"/>
      <c r="H1037" s="71"/>
      <c r="I1037" s="71"/>
      <c r="J1037" s="71"/>
      <c r="K1037" s="71"/>
      <c r="L1037" s="71"/>
      <c r="M1037" s="71"/>
      <c r="N1037" s="19"/>
      <c r="O1037" s="13"/>
      <c r="P1037" s="13"/>
      <c r="Q1037" s="13"/>
      <c r="R1037" s="13"/>
      <c r="S1037" s="13"/>
      <c r="T1037" s="13"/>
      <c r="U1037" s="13"/>
      <c r="V1037" s="13"/>
      <c r="W1037" s="13"/>
      <c r="AY1037" s="10"/>
      <c r="AZ1037" s="10"/>
      <c r="BA1037" s="10"/>
    </row>
    <row r="1038" spans="1:53" ht="15" x14ac:dyDescent="0.25">
      <c r="A1038" s="70"/>
      <c r="B1038" s="70"/>
      <c r="C1038" s="71"/>
      <c r="D1038" s="71"/>
      <c r="E1038" s="71"/>
      <c r="F1038" s="71"/>
      <c r="G1038" s="71"/>
      <c r="H1038" s="71"/>
      <c r="I1038" s="71"/>
      <c r="J1038" s="71"/>
      <c r="K1038" s="71"/>
      <c r="L1038" s="71"/>
      <c r="M1038" s="71"/>
      <c r="N1038" s="19"/>
      <c r="O1038" s="13"/>
      <c r="P1038" s="13"/>
      <c r="Q1038" s="13"/>
      <c r="R1038" s="13"/>
      <c r="S1038" s="13"/>
      <c r="T1038" s="13"/>
      <c r="U1038" s="13"/>
      <c r="V1038" s="13"/>
      <c r="W1038" s="13"/>
      <c r="AY1038" s="10"/>
      <c r="AZ1038" s="10"/>
      <c r="BA1038" s="10"/>
    </row>
    <row r="1039" spans="1:53" ht="15" x14ac:dyDescent="0.25">
      <c r="A1039" s="70"/>
      <c r="B1039" s="70"/>
      <c r="C1039" s="71"/>
      <c r="D1039" s="71"/>
      <c r="E1039" s="71"/>
      <c r="F1039" s="71"/>
      <c r="G1039" s="71"/>
      <c r="H1039" s="71"/>
      <c r="I1039" s="71"/>
      <c r="J1039" s="71"/>
      <c r="K1039" s="71"/>
      <c r="L1039" s="71"/>
      <c r="M1039" s="71"/>
      <c r="N1039" s="19"/>
      <c r="O1039" s="13"/>
      <c r="P1039" s="13"/>
      <c r="Q1039" s="13"/>
      <c r="R1039" s="13"/>
      <c r="S1039" s="13"/>
      <c r="T1039" s="13"/>
      <c r="U1039" s="13"/>
      <c r="V1039" s="13"/>
      <c r="W1039" s="13"/>
      <c r="AY1039" s="10"/>
      <c r="AZ1039" s="10"/>
      <c r="BA1039" s="10"/>
    </row>
    <row r="1040" spans="1:53" ht="15" x14ac:dyDescent="0.25">
      <c r="A1040" s="70"/>
      <c r="B1040" s="70"/>
      <c r="C1040" s="71"/>
      <c r="D1040" s="71"/>
      <c r="E1040" s="71"/>
      <c r="F1040" s="71"/>
      <c r="G1040" s="71"/>
      <c r="H1040" s="71"/>
      <c r="I1040" s="71"/>
      <c r="J1040" s="71"/>
      <c r="K1040" s="71"/>
      <c r="L1040" s="71"/>
      <c r="M1040" s="71"/>
      <c r="N1040" s="19"/>
      <c r="O1040" s="13"/>
      <c r="P1040" s="13"/>
      <c r="Q1040" s="13"/>
      <c r="R1040" s="13"/>
      <c r="S1040" s="13"/>
      <c r="T1040" s="13"/>
      <c r="U1040" s="13"/>
      <c r="V1040" s="13"/>
      <c r="W1040" s="13"/>
      <c r="AY1040" s="10"/>
      <c r="AZ1040" s="10"/>
      <c r="BA1040" s="10"/>
    </row>
    <row r="1041" spans="1:53" ht="15" x14ac:dyDescent="0.25">
      <c r="A1041" s="70"/>
      <c r="B1041" s="70"/>
      <c r="C1041" s="71"/>
      <c r="D1041" s="71"/>
      <c r="E1041" s="71"/>
      <c r="F1041" s="71"/>
      <c r="G1041" s="71"/>
      <c r="H1041" s="71"/>
      <c r="I1041" s="71"/>
      <c r="J1041" s="71"/>
      <c r="K1041" s="71"/>
      <c r="L1041" s="71"/>
      <c r="M1041" s="71"/>
      <c r="N1041" s="19"/>
      <c r="O1041" s="13"/>
      <c r="P1041" s="13"/>
      <c r="Q1041" s="13"/>
      <c r="R1041" s="13"/>
      <c r="S1041" s="13"/>
      <c r="T1041" s="13"/>
      <c r="U1041" s="13"/>
      <c r="V1041" s="13"/>
      <c r="W1041" s="13"/>
      <c r="AY1041" s="10"/>
      <c r="AZ1041" s="10"/>
      <c r="BA1041" s="10"/>
    </row>
    <row r="1042" spans="1:53" ht="15" x14ac:dyDescent="0.25">
      <c r="A1042" s="70"/>
      <c r="B1042" s="70"/>
      <c r="C1042" s="71"/>
      <c r="D1042" s="71"/>
      <c r="E1042" s="71"/>
      <c r="F1042" s="71"/>
      <c r="G1042" s="71"/>
      <c r="H1042" s="71"/>
      <c r="I1042" s="71"/>
      <c r="J1042" s="71"/>
      <c r="K1042" s="71"/>
      <c r="L1042" s="71"/>
      <c r="M1042" s="71"/>
      <c r="N1042" s="19"/>
      <c r="O1042" s="13"/>
      <c r="P1042" s="13"/>
      <c r="Q1042" s="13"/>
      <c r="R1042" s="13"/>
      <c r="S1042" s="13"/>
      <c r="T1042" s="13"/>
      <c r="U1042" s="13"/>
      <c r="V1042" s="13"/>
      <c r="W1042" s="13"/>
      <c r="AY1042" s="10"/>
      <c r="AZ1042" s="10"/>
      <c r="BA1042" s="10"/>
    </row>
    <row r="1043" spans="1:53" ht="15" x14ac:dyDescent="0.25">
      <c r="A1043" s="70"/>
      <c r="B1043" s="70"/>
      <c r="C1043" s="71"/>
      <c r="D1043" s="71"/>
      <c r="E1043" s="71"/>
      <c r="F1043" s="71"/>
      <c r="G1043" s="71"/>
      <c r="H1043" s="71"/>
      <c r="I1043" s="71"/>
      <c r="J1043" s="71"/>
      <c r="K1043" s="71"/>
      <c r="L1043" s="71"/>
      <c r="M1043" s="71"/>
      <c r="N1043" s="19"/>
      <c r="O1043" s="13"/>
      <c r="P1043" s="13"/>
      <c r="Q1043" s="13"/>
      <c r="R1043" s="13"/>
      <c r="S1043" s="13"/>
      <c r="T1043" s="13"/>
      <c r="U1043" s="13"/>
      <c r="V1043" s="13"/>
      <c r="W1043" s="13"/>
      <c r="AY1043" s="10"/>
      <c r="AZ1043" s="10"/>
      <c r="BA1043" s="10"/>
    </row>
    <row r="1044" spans="1:53" ht="15" x14ac:dyDescent="0.25">
      <c r="A1044" s="70"/>
      <c r="B1044" s="70"/>
      <c r="C1044" s="71"/>
      <c r="D1044" s="71"/>
      <c r="E1044" s="71"/>
      <c r="F1044" s="71"/>
      <c r="G1044" s="71"/>
      <c r="H1044" s="71"/>
      <c r="I1044" s="71"/>
      <c r="J1044" s="71"/>
      <c r="K1044" s="71"/>
      <c r="L1044" s="71"/>
      <c r="M1044" s="71"/>
      <c r="N1044" s="19"/>
      <c r="O1044" s="13"/>
      <c r="P1044" s="13"/>
      <c r="Q1044" s="13"/>
      <c r="R1044" s="13"/>
      <c r="S1044" s="13"/>
      <c r="T1044" s="13"/>
      <c r="U1044" s="13"/>
      <c r="V1044" s="13"/>
      <c r="W1044" s="13"/>
      <c r="AY1044" s="10"/>
      <c r="AZ1044" s="10"/>
      <c r="BA1044" s="10"/>
    </row>
    <row r="1045" spans="1:53" ht="15" x14ac:dyDescent="0.25">
      <c r="A1045" s="70"/>
      <c r="B1045" s="70"/>
      <c r="C1045" s="71"/>
      <c r="D1045" s="71"/>
      <c r="E1045" s="71"/>
      <c r="F1045" s="71"/>
      <c r="G1045" s="71"/>
      <c r="H1045" s="71"/>
      <c r="I1045" s="71"/>
      <c r="J1045" s="71"/>
      <c r="K1045" s="71"/>
      <c r="L1045" s="71"/>
      <c r="M1045" s="71"/>
      <c r="N1045" s="19"/>
      <c r="O1045" s="13"/>
      <c r="P1045" s="13"/>
      <c r="Q1045" s="13"/>
      <c r="R1045" s="13"/>
      <c r="S1045" s="13"/>
      <c r="T1045" s="13"/>
      <c r="U1045" s="13"/>
      <c r="V1045" s="13"/>
      <c r="W1045" s="13"/>
      <c r="AY1045" s="10"/>
      <c r="AZ1045" s="10"/>
      <c r="BA1045" s="10"/>
    </row>
    <row r="1046" spans="1:53" ht="15" x14ac:dyDescent="0.25">
      <c r="A1046" s="70"/>
      <c r="B1046" s="70"/>
      <c r="C1046" s="71"/>
      <c r="D1046" s="71"/>
      <c r="E1046" s="71"/>
      <c r="F1046" s="71"/>
      <c r="G1046" s="71"/>
      <c r="H1046" s="71"/>
      <c r="I1046" s="71"/>
      <c r="J1046" s="71"/>
      <c r="K1046" s="71"/>
      <c r="L1046" s="71"/>
      <c r="M1046" s="71"/>
      <c r="N1046" s="19"/>
      <c r="O1046" s="13"/>
      <c r="P1046" s="13"/>
      <c r="Q1046" s="13"/>
      <c r="R1046" s="13"/>
      <c r="S1046" s="13"/>
      <c r="T1046" s="13"/>
      <c r="U1046" s="13"/>
      <c r="V1046" s="13"/>
      <c r="W1046" s="13"/>
      <c r="AY1046" s="10"/>
      <c r="AZ1046" s="10"/>
      <c r="BA1046" s="10"/>
    </row>
    <row r="1047" spans="1:53" ht="15" x14ac:dyDescent="0.25">
      <c r="A1047" s="70"/>
      <c r="B1047" s="70"/>
      <c r="C1047" s="71"/>
      <c r="D1047" s="71"/>
      <c r="E1047" s="71"/>
      <c r="F1047" s="71"/>
      <c r="G1047" s="71"/>
      <c r="H1047" s="71"/>
      <c r="I1047" s="71"/>
      <c r="J1047" s="71"/>
      <c r="K1047" s="71"/>
      <c r="L1047" s="71"/>
      <c r="M1047" s="71"/>
      <c r="N1047" s="19"/>
      <c r="O1047" s="13"/>
      <c r="P1047" s="13"/>
      <c r="Q1047" s="13"/>
      <c r="R1047" s="13"/>
      <c r="S1047" s="13"/>
      <c r="T1047" s="13"/>
      <c r="U1047" s="13"/>
      <c r="V1047" s="13"/>
      <c r="W1047" s="13"/>
      <c r="AY1047" s="10"/>
      <c r="AZ1047" s="10"/>
      <c r="BA1047" s="10"/>
    </row>
    <row r="1048" spans="1:53" ht="15" x14ac:dyDescent="0.25">
      <c r="A1048" s="70"/>
      <c r="B1048" s="70"/>
      <c r="C1048" s="71"/>
      <c r="D1048" s="71"/>
      <c r="E1048" s="71"/>
      <c r="F1048" s="71"/>
      <c r="G1048" s="71"/>
      <c r="H1048" s="71"/>
      <c r="I1048" s="71"/>
      <c r="J1048" s="71"/>
      <c r="K1048" s="71"/>
      <c r="L1048" s="71"/>
      <c r="M1048" s="71"/>
      <c r="N1048" s="19"/>
      <c r="O1048" s="13"/>
      <c r="P1048" s="13"/>
      <c r="Q1048" s="13"/>
      <c r="R1048" s="13"/>
      <c r="S1048" s="13"/>
      <c r="T1048" s="13"/>
      <c r="U1048" s="13"/>
      <c r="V1048" s="13"/>
      <c r="W1048" s="13"/>
      <c r="AY1048" s="10"/>
      <c r="AZ1048" s="10"/>
      <c r="BA1048" s="10"/>
    </row>
    <row r="1049" spans="1:53" ht="15" x14ac:dyDescent="0.25">
      <c r="A1049" s="70"/>
      <c r="B1049" s="70"/>
      <c r="C1049" s="71"/>
      <c r="D1049" s="71"/>
      <c r="E1049" s="71"/>
      <c r="F1049" s="71"/>
      <c r="G1049" s="71"/>
      <c r="H1049" s="71"/>
      <c r="I1049" s="71"/>
      <c r="J1049" s="71"/>
      <c r="K1049" s="71"/>
      <c r="L1049" s="71"/>
      <c r="M1049" s="71"/>
      <c r="N1049" s="19"/>
      <c r="O1049" s="13"/>
      <c r="P1049" s="13"/>
      <c r="Q1049" s="13"/>
      <c r="R1049" s="13"/>
      <c r="S1049" s="13"/>
      <c r="T1049" s="13"/>
      <c r="U1049" s="13"/>
      <c r="V1049" s="13"/>
      <c r="W1049" s="13"/>
      <c r="AY1049" s="10"/>
      <c r="AZ1049" s="10"/>
      <c r="BA1049" s="10"/>
    </row>
    <row r="1050" spans="1:53" ht="15" x14ac:dyDescent="0.25">
      <c r="A1050" s="70"/>
      <c r="B1050" s="70"/>
      <c r="C1050" s="71"/>
      <c r="D1050" s="71"/>
      <c r="E1050" s="71"/>
      <c r="F1050" s="71"/>
      <c r="G1050" s="71"/>
      <c r="H1050" s="71"/>
      <c r="I1050" s="71"/>
      <c r="J1050" s="71"/>
      <c r="K1050" s="71"/>
      <c r="L1050" s="71"/>
      <c r="M1050" s="71"/>
      <c r="N1050" s="19"/>
      <c r="O1050" s="13"/>
      <c r="P1050" s="13"/>
      <c r="Q1050" s="13"/>
      <c r="R1050" s="13"/>
      <c r="S1050" s="13"/>
      <c r="T1050" s="13"/>
      <c r="U1050" s="13"/>
      <c r="V1050" s="13"/>
      <c r="W1050" s="13"/>
      <c r="AY1050" s="10"/>
      <c r="AZ1050" s="10"/>
      <c r="BA1050" s="10"/>
    </row>
    <row r="1051" spans="1:53" ht="15" x14ac:dyDescent="0.25">
      <c r="A1051" s="70"/>
      <c r="B1051" s="70"/>
      <c r="C1051" s="71"/>
      <c r="D1051" s="71"/>
      <c r="E1051" s="71"/>
      <c r="F1051" s="71"/>
      <c r="G1051" s="71"/>
      <c r="H1051" s="71"/>
      <c r="I1051" s="71"/>
      <c r="J1051" s="71"/>
      <c r="K1051" s="71"/>
      <c r="L1051" s="71"/>
      <c r="M1051" s="71"/>
      <c r="N1051" s="19"/>
      <c r="O1051" s="13"/>
      <c r="P1051" s="13"/>
      <c r="Q1051" s="13"/>
      <c r="R1051" s="13"/>
      <c r="S1051" s="13"/>
      <c r="T1051" s="13"/>
      <c r="U1051" s="13"/>
      <c r="V1051" s="13"/>
      <c r="W1051" s="13"/>
      <c r="AY1051" s="10"/>
      <c r="AZ1051" s="10"/>
      <c r="BA1051" s="10"/>
    </row>
    <row r="1052" spans="1:53" ht="15" x14ac:dyDescent="0.25">
      <c r="A1052" s="70"/>
      <c r="B1052" s="70"/>
      <c r="C1052" s="71"/>
      <c r="D1052" s="71"/>
      <c r="E1052" s="71"/>
      <c r="F1052" s="71"/>
      <c r="G1052" s="71"/>
      <c r="H1052" s="71"/>
      <c r="I1052" s="71"/>
      <c r="J1052" s="71"/>
      <c r="K1052" s="71"/>
      <c r="L1052" s="71"/>
      <c r="M1052" s="71"/>
      <c r="N1052" s="19"/>
      <c r="O1052" s="13"/>
      <c r="P1052" s="13"/>
      <c r="Q1052" s="13"/>
      <c r="R1052" s="13"/>
      <c r="S1052" s="13"/>
      <c r="T1052" s="13"/>
      <c r="U1052" s="13"/>
      <c r="V1052" s="13"/>
      <c r="W1052" s="13"/>
      <c r="AY1052" s="10"/>
      <c r="AZ1052" s="10"/>
      <c r="BA1052" s="10"/>
    </row>
    <row r="1053" spans="1:53" ht="15" x14ac:dyDescent="0.25">
      <c r="A1053" s="70"/>
      <c r="B1053" s="70"/>
      <c r="C1053" s="71"/>
      <c r="D1053" s="71"/>
      <c r="E1053" s="71"/>
      <c r="F1053" s="71"/>
      <c r="G1053" s="71"/>
      <c r="H1053" s="71"/>
      <c r="I1053" s="71"/>
      <c r="J1053" s="71"/>
      <c r="K1053" s="71"/>
      <c r="L1053" s="71"/>
      <c r="M1053" s="71"/>
      <c r="N1053" s="19"/>
      <c r="O1053" s="13"/>
      <c r="P1053" s="13"/>
      <c r="Q1053" s="13"/>
      <c r="R1053" s="13"/>
      <c r="S1053" s="13"/>
      <c r="T1053" s="13"/>
      <c r="U1053" s="13"/>
      <c r="V1053" s="13"/>
      <c r="W1053" s="13"/>
      <c r="AY1053" s="10"/>
      <c r="AZ1053" s="10"/>
      <c r="BA1053" s="10"/>
    </row>
    <row r="1054" spans="1:53" ht="15" x14ac:dyDescent="0.25">
      <c r="A1054" s="70"/>
      <c r="B1054" s="70"/>
      <c r="C1054" s="71"/>
      <c r="D1054" s="71"/>
      <c r="E1054" s="71"/>
      <c r="F1054" s="71"/>
      <c r="G1054" s="71"/>
      <c r="H1054" s="71"/>
      <c r="I1054" s="71"/>
      <c r="J1054" s="71"/>
      <c r="K1054" s="71"/>
      <c r="L1054" s="71"/>
      <c r="M1054" s="71"/>
      <c r="N1054" s="19"/>
      <c r="O1054" s="13"/>
      <c r="P1054" s="13"/>
      <c r="Q1054" s="13"/>
      <c r="R1054" s="13"/>
      <c r="S1054" s="13"/>
      <c r="T1054" s="13"/>
      <c r="U1054" s="13"/>
      <c r="V1054" s="13"/>
      <c r="W1054" s="13"/>
      <c r="AY1054" s="10"/>
      <c r="AZ1054" s="10"/>
      <c r="BA1054" s="10"/>
    </row>
    <row r="1055" spans="1:53" ht="15" x14ac:dyDescent="0.25">
      <c r="A1055" s="70"/>
      <c r="B1055" s="70"/>
      <c r="C1055" s="71"/>
      <c r="D1055" s="71"/>
      <c r="E1055" s="71"/>
      <c r="F1055" s="71"/>
      <c r="G1055" s="71"/>
      <c r="H1055" s="71"/>
      <c r="I1055" s="71"/>
      <c r="J1055" s="71"/>
      <c r="K1055" s="71"/>
      <c r="L1055" s="71"/>
      <c r="M1055" s="71"/>
      <c r="N1055" s="19"/>
      <c r="O1055" s="13"/>
      <c r="P1055" s="13"/>
      <c r="Q1055" s="13"/>
      <c r="R1055" s="13"/>
      <c r="S1055" s="13"/>
      <c r="T1055" s="13"/>
      <c r="U1055" s="13"/>
      <c r="V1055" s="13"/>
      <c r="W1055" s="13"/>
      <c r="AY1055" s="10"/>
      <c r="AZ1055" s="10"/>
      <c r="BA1055" s="10"/>
    </row>
    <row r="1056" spans="1:53" ht="15" x14ac:dyDescent="0.25">
      <c r="A1056" s="70"/>
      <c r="B1056" s="70"/>
      <c r="C1056" s="71"/>
      <c r="D1056" s="71"/>
      <c r="E1056" s="71"/>
      <c r="F1056" s="71"/>
      <c r="G1056" s="71"/>
      <c r="H1056" s="71"/>
      <c r="I1056" s="71"/>
      <c r="J1056" s="71"/>
      <c r="K1056" s="71"/>
      <c r="L1056" s="71"/>
      <c r="M1056" s="71"/>
      <c r="N1056" s="19"/>
      <c r="O1056" s="13"/>
      <c r="P1056" s="13"/>
      <c r="Q1056" s="13"/>
      <c r="R1056" s="13"/>
      <c r="S1056" s="13"/>
      <c r="T1056" s="13"/>
      <c r="U1056" s="13"/>
      <c r="V1056" s="13"/>
      <c r="W1056" s="13"/>
      <c r="AY1056" s="10"/>
      <c r="AZ1056" s="10"/>
      <c r="BA1056" s="10"/>
    </row>
    <row r="1057" spans="1:53" ht="15" x14ac:dyDescent="0.25">
      <c r="A1057" s="70"/>
      <c r="B1057" s="70"/>
      <c r="C1057" s="71"/>
      <c r="D1057" s="71"/>
      <c r="E1057" s="71"/>
      <c r="F1057" s="71"/>
      <c r="G1057" s="71"/>
      <c r="H1057" s="71"/>
      <c r="I1057" s="71"/>
      <c r="J1057" s="71"/>
      <c r="K1057" s="71"/>
      <c r="L1057" s="71"/>
      <c r="M1057" s="71"/>
      <c r="N1057" s="19"/>
      <c r="O1057" s="13"/>
      <c r="P1057" s="13"/>
      <c r="Q1057" s="13"/>
      <c r="R1057" s="13"/>
      <c r="S1057" s="13"/>
      <c r="T1057" s="13"/>
      <c r="U1057" s="13"/>
      <c r="V1057" s="13"/>
      <c r="W1057" s="13"/>
      <c r="AY1057" s="10"/>
      <c r="AZ1057" s="10"/>
      <c r="BA1057" s="10"/>
    </row>
    <row r="1058" spans="1:53" ht="15" x14ac:dyDescent="0.25">
      <c r="A1058" s="70"/>
      <c r="B1058" s="70"/>
      <c r="C1058" s="71"/>
      <c r="D1058" s="71"/>
      <c r="E1058" s="71"/>
      <c r="F1058" s="71"/>
      <c r="G1058" s="71"/>
      <c r="H1058" s="71"/>
      <c r="I1058" s="71"/>
      <c r="J1058" s="71"/>
      <c r="K1058" s="71"/>
      <c r="L1058" s="71"/>
      <c r="M1058" s="71"/>
      <c r="N1058" s="19"/>
      <c r="O1058" s="13"/>
      <c r="P1058" s="13"/>
      <c r="Q1058" s="13"/>
      <c r="R1058" s="13"/>
      <c r="S1058" s="13"/>
      <c r="T1058" s="13"/>
      <c r="U1058" s="13"/>
      <c r="V1058" s="13"/>
      <c r="W1058" s="13"/>
      <c r="AY1058" s="10"/>
      <c r="AZ1058" s="10"/>
      <c r="BA1058" s="10"/>
    </row>
    <row r="1059" spans="1:53" ht="15" x14ac:dyDescent="0.25">
      <c r="A1059" s="70"/>
      <c r="B1059" s="70"/>
      <c r="C1059" s="71"/>
      <c r="D1059" s="71"/>
      <c r="E1059" s="71"/>
      <c r="F1059" s="71"/>
      <c r="G1059" s="71"/>
      <c r="H1059" s="71"/>
      <c r="I1059" s="71"/>
      <c r="J1059" s="71"/>
      <c r="K1059" s="71"/>
      <c r="L1059" s="71"/>
      <c r="M1059" s="71"/>
      <c r="N1059" s="19"/>
      <c r="O1059" s="13"/>
      <c r="P1059" s="13"/>
      <c r="Q1059" s="13"/>
      <c r="R1059" s="13"/>
      <c r="S1059" s="13"/>
      <c r="T1059" s="13"/>
      <c r="U1059" s="13"/>
      <c r="V1059" s="13"/>
      <c r="W1059" s="13"/>
      <c r="AY1059" s="10"/>
      <c r="AZ1059" s="10"/>
      <c r="BA1059" s="10"/>
    </row>
    <row r="1060" spans="1:53" ht="15" x14ac:dyDescent="0.25">
      <c r="A1060" s="70"/>
      <c r="B1060" s="70"/>
      <c r="C1060" s="71"/>
      <c r="D1060" s="71"/>
      <c r="E1060" s="71"/>
      <c r="F1060" s="71"/>
      <c r="G1060" s="71"/>
      <c r="H1060" s="71"/>
      <c r="I1060" s="71"/>
      <c r="J1060" s="71"/>
      <c r="K1060" s="71"/>
      <c r="L1060" s="71"/>
      <c r="M1060" s="71"/>
      <c r="N1060" s="19"/>
      <c r="O1060" s="13"/>
      <c r="P1060" s="13"/>
      <c r="Q1060" s="13"/>
      <c r="R1060" s="13"/>
      <c r="S1060" s="13"/>
      <c r="T1060" s="13"/>
      <c r="U1060" s="13"/>
      <c r="V1060" s="13"/>
      <c r="W1060" s="13"/>
      <c r="AY1060" s="10"/>
      <c r="AZ1060" s="10"/>
      <c r="BA1060" s="10"/>
    </row>
    <row r="1061" spans="1:53" ht="15" x14ac:dyDescent="0.25">
      <c r="A1061" s="70"/>
      <c r="B1061" s="70"/>
      <c r="C1061" s="71"/>
      <c r="D1061" s="71"/>
      <c r="E1061" s="71"/>
      <c r="F1061" s="71"/>
      <c r="G1061" s="71"/>
      <c r="H1061" s="71"/>
      <c r="I1061" s="71"/>
      <c r="J1061" s="71"/>
      <c r="K1061" s="71"/>
      <c r="L1061" s="71"/>
      <c r="M1061" s="71"/>
      <c r="N1061" s="19"/>
      <c r="O1061" s="13"/>
      <c r="P1061" s="13"/>
      <c r="Q1061" s="13"/>
      <c r="R1061" s="13"/>
      <c r="S1061" s="13"/>
      <c r="T1061" s="13"/>
      <c r="U1061" s="13"/>
      <c r="V1061" s="13"/>
      <c r="W1061" s="13"/>
      <c r="AY1061" s="10"/>
      <c r="AZ1061" s="10"/>
      <c r="BA1061" s="10"/>
    </row>
    <row r="1062" spans="1:53" ht="15" x14ac:dyDescent="0.25">
      <c r="A1062" s="70"/>
      <c r="B1062" s="70"/>
      <c r="C1062" s="71"/>
      <c r="D1062" s="71"/>
      <c r="E1062" s="71"/>
      <c r="F1062" s="71"/>
      <c r="G1062" s="71"/>
      <c r="H1062" s="71"/>
      <c r="I1062" s="71"/>
      <c r="J1062" s="71"/>
      <c r="K1062" s="71"/>
      <c r="L1062" s="71"/>
      <c r="M1062" s="71"/>
      <c r="N1062" s="19"/>
      <c r="O1062" s="13"/>
      <c r="P1062" s="13"/>
      <c r="Q1062" s="13"/>
      <c r="R1062" s="13"/>
      <c r="S1062" s="13"/>
      <c r="T1062" s="13"/>
      <c r="U1062" s="13"/>
      <c r="V1062" s="13"/>
      <c r="W1062" s="13"/>
      <c r="AY1062" s="10"/>
      <c r="AZ1062" s="10"/>
      <c r="BA1062" s="10"/>
    </row>
    <row r="1063" spans="1:53" ht="15" x14ac:dyDescent="0.25">
      <c r="A1063" s="70"/>
      <c r="B1063" s="70"/>
      <c r="C1063" s="71"/>
      <c r="D1063" s="71"/>
      <c r="E1063" s="71"/>
      <c r="F1063" s="71"/>
      <c r="G1063" s="71"/>
      <c r="H1063" s="71"/>
      <c r="I1063" s="71"/>
      <c r="J1063" s="71"/>
      <c r="K1063" s="71"/>
      <c r="L1063" s="71"/>
      <c r="M1063" s="71"/>
      <c r="N1063" s="19"/>
      <c r="O1063" s="13"/>
      <c r="P1063" s="13"/>
      <c r="Q1063" s="13"/>
      <c r="R1063" s="13"/>
      <c r="S1063" s="13"/>
      <c r="T1063" s="13"/>
      <c r="U1063" s="13"/>
      <c r="V1063" s="13"/>
      <c r="W1063" s="13"/>
      <c r="AY1063" s="10"/>
      <c r="AZ1063" s="10"/>
      <c r="BA1063" s="10"/>
    </row>
    <row r="1064" spans="1:53" ht="15" x14ac:dyDescent="0.25">
      <c r="A1064" s="70"/>
      <c r="B1064" s="70"/>
      <c r="C1064" s="71"/>
      <c r="D1064" s="71"/>
      <c r="E1064" s="71"/>
      <c r="F1064" s="71"/>
      <c r="G1064" s="71"/>
      <c r="H1064" s="71"/>
      <c r="I1064" s="71"/>
      <c r="J1064" s="71"/>
      <c r="K1064" s="71"/>
      <c r="L1064" s="71"/>
      <c r="M1064" s="71"/>
      <c r="N1064" s="19"/>
      <c r="O1064" s="13"/>
      <c r="P1064" s="13"/>
      <c r="Q1064" s="13"/>
      <c r="R1064" s="13"/>
      <c r="S1064" s="13"/>
      <c r="T1064" s="13"/>
      <c r="U1064" s="13"/>
      <c r="V1064" s="13"/>
      <c r="W1064" s="13"/>
      <c r="AY1064" s="10"/>
      <c r="AZ1064" s="10"/>
      <c r="BA1064" s="10"/>
    </row>
    <row r="1065" spans="1:53" ht="15" x14ac:dyDescent="0.25">
      <c r="A1065" s="70"/>
      <c r="B1065" s="70"/>
      <c r="C1065" s="71"/>
      <c r="D1065" s="71"/>
      <c r="E1065" s="71"/>
      <c r="F1065" s="71"/>
      <c r="G1065" s="71"/>
      <c r="H1065" s="71"/>
      <c r="I1065" s="71"/>
      <c r="J1065" s="71"/>
      <c r="K1065" s="71"/>
      <c r="L1065" s="71"/>
      <c r="M1065" s="71"/>
      <c r="N1065" s="19"/>
      <c r="O1065" s="13"/>
      <c r="P1065" s="13"/>
      <c r="Q1065" s="13"/>
      <c r="R1065" s="13"/>
      <c r="S1065" s="13"/>
      <c r="T1065" s="13"/>
      <c r="U1065" s="13"/>
      <c r="V1065" s="13"/>
      <c r="W1065" s="13"/>
      <c r="AY1065" s="10"/>
      <c r="AZ1065" s="10"/>
      <c r="BA1065" s="10"/>
    </row>
    <row r="1066" spans="1:53" ht="15" x14ac:dyDescent="0.25">
      <c r="A1066" s="70"/>
      <c r="B1066" s="70"/>
      <c r="C1066" s="71"/>
      <c r="D1066" s="71"/>
      <c r="E1066" s="71"/>
      <c r="F1066" s="71"/>
      <c r="G1066" s="71"/>
      <c r="H1066" s="71"/>
      <c r="I1066" s="71"/>
      <c r="J1066" s="71"/>
      <c r="K1066" s="71"/>
      <c r="L1066" s="71"/>
      <c r="M1066" s="71"/>
      <c r="N1066" s="19"/>
      <c r="O1066" s="13"/>
      <c r="P1066" s="13"/>
      <c r="Q1066" s="13"/>
      <c r="R1066" s="13"/>
      <c r="S1066" s="13"/>
      <c r="T1066" s="13"/>
      <c r="U1066" s="13"/>
      <c r="V1066" s="13"/>
      <c r="W1066" s="13"/>
      <c r="AY1066" s="10"/>
      <c r="AZ1066" s="10"/>
      <c r="BA1066" s="10"/>
    </row>
    <row r="1067" spans="1:53" ht="15" x14ac:dyDescent="0.25">
      <c r="A1067" s="70"/>
      <c r="B1067" s="70"/>
      <c r="C1067" s="71"/>
      <c r="D1067" s="71"/>
      <c r="E1067" s="71"/>
      <c r="F1067" s="71"/>
      <c r="G1067" s="71"/>
      <c r="H1067" s="71"/>
      <c r="I1067" s="71"/>
      <c r="J1067" s="71"/>
      <c r="K1067" s="71"/>
      <c r="L1067" s="71"/>
      <c r="M1067" s="71"/>
      <c r="N1067" s="19"/>
      <c r="O1067" s="13"/>
      <c r="P1067" s="13"/>
      <c r="Q1067" s="13"/>
      <c r="R1067" s="13"/>
      <c r="S1067" s="13"/>
      <c r="T1067" s="13"/>
      <c r="U1067" s="13"/>
      <c r="V1067" s="13"/>
      <c r="W1067" s="13"/>
      <c r="AY1067" s="10"/>
      <c r="AZ1067" s="10"/>
      <c r="BA1067" s="10"/>
    </row>
    <row r="1068" spans="1:53" ht="15" x14ac:dyDescent="0.25">
      <c r="A1068" s="70"/>
      <c r="B1068" s="70"/>
      <c r="C1068" s="71"/>
      <c r="D1068" s="71"/>
      <c r="E1068" s="71"/>
      <c r="F1068" s="71"/>
      <c r="G1068" s="71"/>
      <c r="H1068" s="71"/>
      <c r="I1068" s="71"/>
      <c r="J1068" s="71"/>
      <c r="K1068" s="71"/>
      <c r="L1068" s="71"/>
      <c r="M1068" s="71"/>
      <c r="N1068" s="19"/>
      <c r="O1068" s="13"/>
      <c r="P1068" s="13"/>
      <c r="Q1068" s="13"/>
      <c r="R1068" s="13"/>
      <c r="S1068" s="13"/>
      <c r="T1068" s="13"/>
      <c r="U1068" s="13"/>
      <c r="V1068" s="13"/>
      <c r="W1068" s="13"/>
      <c r="AY1068" s="10"/>
      <c r="AZ1068" s="10"/>
      <c r="BA1068" s="10"/>
    </row>
    <row r="1069" spans="1:53" ht="15" x14ac:dyDescent="0.25">
      <c r="A1069" s="70"/>
      <c r="B1069" s="70"/>
      <c r="C1069" s="71"/>
      <c r="D1069" s="71"/>
      <c r="E1069" s="71"/>
      <c r="F1069" s="71"/>
      <c r="G1069" s="71"/>
      <c r="H1069" s="71"/>
      <c r="I1069" s="71"/>
      <c r="J1069" s="71"/>
      <c r="K1069" s="71"/>
      <c r="L1069" s="71"/>
      <c r="M1069" s="71"/>
      <c r="N1069" s="19"/>
      <c r="O1069" s="13"/>
      <c r="P1069" s="13"/>
      <c r="Q1069" s="13"/>
      <c r="R1069" s="13"/>
      <c r="S1069" s="13"/>
      <c r="T1069" s="13"/>
      <c r="U1069" s="13"/>
      <c r="V1069" s="13"/>
      <c r="W1069" s="13"/>
      <c r="AY1069" s="10"/>
      <c r="AZ1069" s="10"/>
      <c r="BA1069" s="10"/>
    </row>
    <row r="1070" spans="1:53" ht="15" x14ac:dyDescent="0.25">
      <c r="A1070" s="70"/>
      <c r="B1070" s="70"/>
      <c r="C1070" s="71"/>
      <c r="D1070" s="71"/>
      <c r="E1070" s="71"/>
      <c r="F1070" s="71"/>
      <c r="G1070" s="71"/>
      <c r="H1070" s="71"/>
      <c r="I1070" s="71"/>
      <c r="J1070" s="71"/>
      <c r="K1070" s="71"/>
      <c r="L1070" s="71"/>
      <c r="M1070" s="71"/>
      <c r="N1070" s="19"/>
      <c r="O1070" s="13"/>
      <c r="P1070" s="13"/>
      <c r="Q1070" s="13"/>
      <c r="R1070" s="13"/>
      <c r="S1070" s="13"/>
      <c r="T1070" s="13"/>
      <c r="U1070" s="13"/>
      <c r="V1070" s="13"/>
      <c r="W1070" s="13"/>
      <c r="AY1070" s="10"/>
      <c r="AZ1070" s="10"/>
      <c r="BA1070" s="10"/>
    </row>
    <row r="1071" spans="1:53" ht="15" x14ac:dyDescent="0.25">
      <c r="A1071" s="70"/>
      <c r="B1071" s="70"/>
      <c r="C1071" s="71"/>
      <c r="D1071" s="71"/>
      <c r="E1071" s="71"/>
      <c r="F1071" s="71"/>
      <c r="G1071" s="71"/>
      <c r="H1071" s="71"/>
      <c r="I1071" s="71"/>
      <c r="J1071" s="71"/>
      <c r="K1071" s="71"/>
      <c r="L1071" s="71"/>
      <c r="M1071" s="71"/>
      <c r="N1071" s="19"/>
      <c r="O1071" s="13"/>
      <c r="P1071" s="13"/>
      <c r="Q1071" s="13"/>
      <c r="R1071" s="13"/>
      <c r="S1071" s="13"/>
      <c r="T1071" s="13"/>
      <c r="U1071" s="13"/>
      <c r="V1071" s="13"/>
      <c r="W1071" s="13"/>
      <c r="AY1071" s="10"/>
      <c r="AZ1071" s="10"/>
      <c r="BA1071" s="10"/>
    </row>
    <row r="1072" spans="1:53" ht="15" x14ac:dyDescent="0.25">
      <c r="A1072" s="70"/>
      <c r="B1072" s="70"/>
      <c r="C1072" s="71"/>
      <c r="D1072" s="71"/>
      <c r="E1072" s="71"/>
      <c r="F1072" s="71"/>
      <c r="G1072" s="71"/>
      <c r="H1072" s="71"/>
      <c r="I1072" s="71"/>
      <c r="J1072" s="71"/>
      <c r="K1072" s="71"/>
      <c r="L1072" s="71"/>
      <c r="M1072" s="71"/>
      <c r="N1072" s="19"/>
      <c r="O1072" s="13"/>
      <c r="P1072" s="13"/>
      <c r="Q1072" s="13"/>
      <c r="R1072" s="13"/>
      <c r="S1072" s="13"/>
      <c r="T1072" s="13"/>
      <c r="U1072" s="13"/>
      <c r="V1072" s="13"/>
      <c r="W1072" s="13"/>
      <c r="AY1072" s="10"/>
      <c r="AZ1072" s="10"/>
      <c r="BA1072" s="10"/>
    </row>
    <row r="1073" spans="1:53" ht="15" x14ac:dyDescent="0.25">
      <c r="A1073" s="70"/>
      <c r="B1073" s="70"/>
      <c r="C1073" s="71"/>
      <c r="D1073" s="71"/>
      <c r="E1073" s="71"/>
      <c r="F1073" s="71"/>
      <c r="G1073" s="71"/>
      <c r="H1073" s="71"/>
      <c r="I1073" s="71"/>
      <c r="J1073" s="71"/>
      <c r="K1073" s="71"/>
      <c r="L1073" s="71"/>
      <c r="M1073" s="71"/>
      <c r="N1073" s="19"/>
      <c r="O1073" s="13"/>
      <c r="P1073" s="13"/>
      <c r="Q1073" s="13"/>
      <c r="R1073" s="13"/>
      <c r="S1073" s="13"/>
      <c r="T1073" s="13"/>
      <c r="U1073" s="13"/>
      <c r="V1073" s="13"/>
      <c r="W1073" s="13"/>
      <c r="AY1073" s="10"/>
      <c r="AZ1073" s="10"/>
      <c r="BA1073" s="10"/>
    </row>
    <row r="1074" spans="1:53" ht="15" x14ac:dyDescent="0.25">
      <c r="A1074" s="70"/>
      <c r="B1074" s="70"/>
      <c r="C1074" s="71"/>
      <c r="D1074" s="71"/>
      <c r="E1074" s="71"/>
      <c r="F1074" s="71"/>
      <c r="G1074" s="71"/>
      <c r="H1074" s="71"/>
      <c r="I1074" s="71"/>
      <c r="J1074" s="71"/>
      <c r="K1074" s="71"/>
      <c r="L1074" s="71"/>
      <c r="M1074" s="71"/>
      <c r="N1074" s="19"/>
      <c r="O1074" s="13"/>
      <c r="P1074" s="13"/>
      <c r="Q1074" s="13"/>
      <c r="R1074" s="13"/>
      <c r="S1074" s="13"/>
      <c r="T1074" s="13"/>
      <c r="U1074" s="13"/>
      <c r="V1074" s="13"/>
      <c r="W1074" s="13"/>
      <c r="AY1074" s="10"/>
      <c r="AZ1074" s="10"/>
      <c r="BA1074" s="10"/>
    </row>
    <row r="1075" spans="1:53" ht="15" x14ac:dyDescent="0.25">
      <c r="A1075" s="70"/>
      <c r="B1075" s="70"/>
      <c r="C1075" s="71"/>
      <c r="D1075" s="71"/>
      <c r="E1075" s="71"/>
      <c r="F1075" s="71"/>
      <c r="G1075" s="71"/>
      <c r="H1075" s="71"/>
      <c r="I1075" s="71"/>
      <c r="J1075" s="71"/>
      <c r="K1075" s="71"/>
      <c r="L1075" s="71"/>
      <c r="M1075" s="71"/>
      <c r="N1075" s="19"/>
      <c r="O1075" s="13"/>
      <c r="P1075" s="13"/>
      <c r="Q1075" s="13"/>
      <c r="R1075" s="13"/>
      <c r="S1075" s="13"/>
      <c r="T1075" s="13"/>
      <c r="U1075" s="13"/>
      <c r="V1075" s="13"/>
      <c r="W1075" s="13"/>
      <c r="AY1075" s="10"/>
      <c r="AZ1075" s="10"/>
      <c r="BA1075" s="10"/>
    </row>
    <row r="1076" spans="1:53" ht="15" x14ac:dyDescent="0.25">
      <c r="A1076" s="70"/>
      <c r="B1076" s="70"/>
      <c r="C1076" s="71"/>
      <c r="D1076" s="71"/>
      <c r="E1076" s="71"/>
      <c r="F1076" s="71"/>
      <c r="G1076" s="71"/>
      <c r="H1076" s="71"/>
      <c r="I1076" s="71"/>
      <c r="J1076" s="71"/>
      <c r="K1076" s="71"/>
      <c r="L1076" s="71"/>
      <c r="M1076" s="71"/>
      <c r="N1076" s="19"/>
      <c r="O1076" s="13"/>
      <c r="P1076" s="13"/>
      <c r="Q1076" s="13"/>
      <c r="R1076" s="13"/>
      <c r="S1076" s="13"/>
      <c r="T1076" s="13"/>
      <c r="U1076" s="13"/>
      <c r="V1076" s="13"/>
      <c r="W1076" s="13"/>
      <c r="AY1076" s="10"/>
      <c r="AZ1076" s="10"/>
      <c r="BA1076" s="10"/>
    </row>
    <row r="1077" spans="1:53" ht="15" x14ac:dyDescent="0.25">
      <c r="A1077" s="70"/>
      <c r="B1077" s="70"/>
      <c r="C1077" s="71"/>
      <c r="D1077" s="71"/>
      <c r="E1077" s="71"/>
      <c r="F1077" s="71"/>
      <c r="G1077" s="71"/>
      <c r="H1077" s="71"/>
      <c r="I1077" s="71"/>
      <c r="J1077" s="71"/>
      <c r="K1077" s="71"/>
      <c r="L1077" s="71"/>
      <c r="M1077" s="71"/>
      <c r="N1077" s="19"/>
      <c r="O1077" s="13"/>
      <c r="P1077" s="13"/>
      <c r="Q1077" s="13"/>
      <c r="R1077" s="13"/>
      <c r="S1077" s="13"/>
      <c r="T1077" s="13"/>
      <c r="U1077" s="13"/>
      <c r="V1077" s="13"/>
      <c r="W1077" s="13"/>
      <c r="AY1077" s="10"/>
      <c r="AZ1077" s="10"/>
      <c r="BA1077" s="10"/>
    </row>
    <row r="1078" spans="1:53" ht="15" x14ac:dyDescent="0.25">
      <c r="A1078" s="70"/>
      <c r="B1078" s="70"/>
      <c r="C1078" s="71"/>
      <c r="D1078" s="71"/>
      <c r="E1078" s="71"/>
      <c r="F1078" s="71"/>
      <c r="G1078" s="71"/>
      <c r="H1078" s="71"/>
      <c r="I1078" s="71"/>
      <c r="J1078" s="71"/>
      <c r="K1078" s="71"/>
      <c r="L1078" s="71"/>
      <c r="M1078" s="71"/>
      <c r="N1078" s="19"/>
      <c r="O1078" s="13"/>
      <c r="P1078" s="13"/>
      <c r="Q1078" s="13"/>
      <c r="R1078" s="13"/>
      <c r="S1078" s="13"/>
      <c r="T1078" s="13"/>
      <c r="U1078" s="13"/>
      <c r="V1078" s="13"/>
      <c r="W1078" s="13"/>
      <c r="AY1078" s="10"/>
      <c r="AZ1078" s="10"/>
      <c r="BA1078" s="10"/>
    </row>
    <row r="1079" spans="1:53" ht="15" x14ac:dyDescent="0.25">
      <c r="A1079" s="70"/>
      <c r="B1079" s="70"/>
      <c r="C1079" s="71"/>
      <c r="D1079" s="71"/>
      <c r="E1079" s="71"/>
      <c r="F1079" s="71"/>
      <c r="G1079" s="71"/>
      <c r="H1079" s="71"/>
      <c r="I1079" s="71"/>
      <c r="J1079" s="71"/>
      <c r="K1079" s="71"/>
      <c r="L1079" s="71"/>
      <c r="M1079" s="71"/>
      <c r="N1079" s="19"/>
      <c r="O1079" s="13"/>
      <c r="P1079" s="13"/>
      <c r="Q1079" s="13"/>
      <c r="R1079" s="13"/>
      <c r="S1079" s="13"/>
      <c r="T1079" s="13"/>
      <c r="U1079" s="13"/>
      <c r="V1079" s="13"/>
      <c r="W1079" s="13"/>
      <c r="AY1079" s="10"/>
      <c r="AZ1079" s="10"/>
      <c r="BA1079" s="10"/>
    </row>
    <row r="1080" spans="1:53" ht="15" x14ac:dyDescent="0.25">
      <c r="A1080" s="70"/>
      <c r="B1080" s="70"/>
      <c r="C1080" s="71"/>
      <c r="D1080" s="71"/>
      <c r="E1080" s="71"/>
      <c r="F1080" s="71"/>
      <c r="G1080" s="71"/>
      <c r="H1080" s="71"/>
      <c r="I1080" s="71"/>
      <c r="J1080" s="71"/>
      <c r="K1080" s="71"/>
      <c r="L1080" s="71"/>
      <c r="M1080" s="71"/>
      <c r="N1080" s="19"/>
      <c r="O1080" s="13"/>
      <c r="P1080" s="13"/>
      <c r="Q1080" s="13"/>
      <c r="R1080" s="13"/>
      <c r="S1080" s="13"/>
      <c r="T1080" s="13"/>
      <c r="U1080" s="13"/>
      <c r="V1080" s="13"/>
      <c r="W1080" s="13"/>
      <c r="AY1080" s="10"/>
      <c r="AZ1080" s="10"/>
      <c r="BA1080" s="10"/>
    </row>
    <row r="1081" spans="1:53" ht="15" x14ac:dyDescent="0.25">
      <c r="A1081" s="70"/>
      <c r="B1081" s="70"/>
      <c r="C1081" s="71"/>
      <c r="D1081" s="71"/>
      <c r="E1081" s="71"/>
      <c r="F1081" s="71"/>
      <c r="G1081" s="71"/>
      <c r="H1081" s="71"/>
      <c r="I1081" s="71"/>
      <c r="J1081" s="71"/>
      <c r="K1081" s="71"/>
      <c r="L1081" s="71"/>
      <c r="M1081" s="71"/>
      <c r="N1081" s="19"/>
      <c r="O1081" s="13"/>
      <c r="P1081" s="13"/>
      <c r="Q1081" s="13"/>
      <c r="R1081" s="13"/>
      <c r="S1081" s="13"/>
      <c r="T1081" s="13"/>
      <c r="U1081" s="13"/>
      <c r="V1081" s="13"/>
      <c r="W1081" s="13"/>
      <c r="AY1081" s="10"/>
      <c r="AZ1081" s="10"/>
      <c r="BA1081" s="10"/>
    </row>
    <row r="1082" spans="1:53" ht="15" x14ac:dyDescent="0.25">
      <c r="A1082" s="70"/>
      <c r="B1082" s="70"/>
      <c r="C1082" s="71"/>
      <c r="D1082" s="71"/>
      <c r="E1082" s="71"/>
      <c r="F1082" s="71"/>
      <c r="G1082" s="71"/>
      <c r="H1082" s="71"/>
      <c r="I1082" s="71"/>
      <c r="J1082" s="71"/>
      <c r="K1082" s="71"/>
      <c r="L1082" s="71"/>
      <c r="M1082" s="71"/>
      <c r="N1082" s="19"/>
      <c r="O1082" s="13"/>
      <c r="P1082" s="13"/>
      <c r="Q1082" s="13"/>
      <c r="R1082" s="13"/>
      <c r="S1082" s="13"/>
      <c r="T1082" s="13"/>
      <c r="U1082" s="13"/>
      <c r="V1082" s="13"/>
      <c r="W1082" s="13"/>
      <c r="AY1082" s="10"/>
      <c r="AZ1082" s="10"/>
      <c r="BA1082" s="10"/>
    </row>
    <row r="1083" spans="1:53" ht="15" x14ac:dyDescent="0.25">
      <c r="A1083" s="70"/>
      <c r="B1083" s="70"/>
      <c r="C1083" s="71"/>
      <c r="D1083" s="71"/>
      <c r="E1083" s="71"/>
      <c r="F1083" s="71"/>
      <c r="G1083" s="71"/>
      <c r="H1083" s="71"/>
      <c r="I1083" s="71"/>
      <c r="J1083" s="71"/>
      <c r="K1083" s="71"/>
      <c r="L1083" s="71"/>
      <c r="M1083" s="71"/>
      <c r="N1083" s="19"/>
      <c r="O1083" s="13"/>
      <c r="P1083" s="13"/>
      <c r="Q1083" s="13"/>
      <c r="R1083" s="13"/>
      <c r="S1083" s="13"/>
      <c r="T1083" s="13"/>
      <c r="U1083" s="13"/>
      <c r="V1083" s="13"/>
      <c r="W1083" s="13"/>
      <c r="AY1083" s="10"/>
      <c r="AZ1083" s="10"/>
      <c r="BA1083" s="10"/>
    </row>
    <row r="1084" spans="1:53" ht="15" x14ac:dyDescent="0.25">
      <c r="A1084" s="70"/>
      <c r="B1084" s="70"/>
      <c r="C1084" s="71"/>
      <c r="D1084" s="71"/>
      <c r="E1084" s="71"/>
      <c r="F1084" s="71"/>
      <c r="G1084" s="71"/>
      <c r="H1084" s="71"/>
      <c r="I1084" s="71"/>
      <c r="J1084" s="71"/>
      <c r="K1084" s="71"/>
      <c r="L1084" s="71"/>
      <c r="M1084" s="71"/>
      <c r="N1084" s="19"/>
      <c r="O1084" s="13"/>
      <c r="P1084" s="13"/>
      <c r="Q1084" s="13"/>
      <c r="R1084" s="13"/>
      <c r="S1084" s="13"/>
      <c r="T1084" s="13"/>
      <c r="U1084" s="13"/>
      <c r="V1084" s="13"/>
      <c r="W1084" s="13"/>
      <c r="AY1084" s="10"/>
      <c r="AZ1084" s="10"/>
      <c r="BA1084" s="10"/>
    </row>
    <row r="1085" spans="1:53" ht="15" x14ac:dyDescent="0.25">
      <c r="A1085" s="70"/>
      <c r="B1085" s="70"/>
      <c r="C1085" s="71"/>
      <c r="D1085" s="71"/>
      <c r="E1085" s="71"/>
      <c r="F1085" s="71"/>
      <c r="G1085" s="71"/>
      <c r="H1085" s="71"/>
      <c r="I1085" s="71"/>
      <c r="J1085" s="71"/>
      <c r="K1085" s="71"/>
      <c r="L1085" s="71"/>
      <c r="M1085" s="71"/>
      <c r="N1085" s="19"/>
      <c r="O1085" s="13"/>
      <c r="P1085" s="13"/>
      <c r="Q1085" s="13"/>
      <c r="R1085" s="13"/>
      <c r="S1085" s="13"/>
      <c r="T1085" s="13"/>
      <c r="U1085" s="13"/>
      <c r="V1085" s="13"/>
      <c r="W1085" s="13"/>
      <c r="AY1085" s="10"/>
      <c r="AZ1085" s="10"/>
      <c r="BA1085" s="10"/>
    </row>
    <row r="1086" spans="1:53" ht="15" x14ac:dyDescent="0.25">
      <c r="A1086" s="70"/>
      <c r="B1086" s="70"/>
      <c r="C1086" s="71"/>
      <c r="D1086" s="71"/>
      <c r="E1086" s="71"/>
      <c r="F1086" s="71"/>
      <c r="G1086" s="71"/>
      <c r="H1086" s="71"/>
      <c r="I1086" s="71"/>
      <c r="J1086" s="71"/>
      <c r="K1086" s="71"/>
      <c r="L1086" s="71"/>
      <c r="M1086" s="71"/>
      <c r="N1086" s="19"/>
      <c r="O1086" s="13"/>
      <c r="P1086" s="13"/>
      <c r="Q1086" s="13"/>
      <c r="R1086" s="13"/>
      <c r="S1086" s="13"/>
      <c r="T1086" s="13"/>
      <c r="U1086" s="13"/>
      <c r="V1086" s="13"/>
      <c r="W1086" s="13"/>
      <c r="AY1086" s="10"/>
      <c r="AZ1086" s="10"/>
      <c r="BA1086" s="10"/>
    </row>
    <row r="1087" spans="1:53" ht="15" x14ac:dyDescent="0.25">
      <c r="A1087" s="70"/>
      <c r="B1087" s="70"/>
      <c r="C1087" s="71"/>
      <c r="D1087" s="71"/>
      <c r="E1087" s="71"/>
      <c r="F1087" s="71"/>
      <c r="G1087" s="71"/>
      <c r="H1087" s="71"/>
      <c r="I1087" s="71"/>
      <c r="J1087" s="71"/>
      <c r="K1087" s="71"/>
      <c r="L1087" s="71"/>
      <c r="M1087" s="71"/>
      <c r="N1087" s="19"/>
      <c r="O1087" s="13"/>
      <c r="P1087" s="13"/>
      <c r="Q1087" s="13"/>
      <c r="R1087" s="13"/>
      <c r="S1087" s="13"/>
      <c r="T1087" s="13"/>
      <c r="U1087" s="13"/>
      <c r="V1087" s="13"/>
      <c r="W1087" s="13"/>
      <c r="AY1087" s="10"/>
      <c r="AZ1087" s="10"/>
      <c r="BA1087" s="10"/>
    </row>
    <row r="1088" spans="1:53" ht="15" x14ac:dyDescent="0.25">
      <c r="A1088" s="70"/>
      <c r="B1088" s="70"/>
      <c r="C1088" s="71"/>
      <c r="D1088" s="71"/>
      <c r="E1088" s="71"/>
      <c r="F1088" s="71"/>
      <c r="G1088" s="71"/>
      <c r="H1088" s="71"/>
      <c r="I1088" s="71"/>
      <c r="J1088" s="71"/>
      <c r="K1088" s="71"/>
      <c r="L1088" s="71"/>
      <c r="M1088" s="71"/>
      <c r="N1088" s="19"/>
      <c r="O1088" s="13"/>
      <c r="P1088" s="13"/>
      <c r="Q1088" s="13"/>
      <c r="R1088" s="13"/>
      <c r="S1088" s="13"/>
      <c r="T1088" s="13"/>
      <c r="U1088" s="13"/>
      <c r="V1088" s="13"/>
      <c r="W1088" s="13"/>
      <c r="AY1088" s="10"/>
      <c r="AZ1088" s="10"/>
      <c r="BA1088" s="10"/>
    </row>
    <row r="1089" spans="1:53" ht="15" x14ac:dyDescent="0.25">
      <c r="A1089" s="70"/>
      <c r="B1089" s="70"/>
      <c r="C1089" s="71"/>
      <c r="D1089" s="71"/>
      <c r="E1089" s="71"/>
      <c r="F1089" s="71"/>
      <c r="G1089" s="71"/>
      <c r="H1089" s="71"/>
      <c r="I1089" s="71"/>
      <c r="J1089" s="71"/>
      <c r="K1089" s="71"/>
      <c r="L1089" s="71"/>
      <c r="M1089" s="71"/>
      <c r="N1089" s="19"/>
      <c r="O1089" s="13"/>
      <c r="P1089" s="13"/>
      <c r="Q1089" s="13"/>
      <c r="R1089" s="13"/>
      <c r="S1089" s="13"/>
      <c r="T1089" s="13"/>
      <c r="U1089" s="13"/>
      <c r="V1089" s="13"/>
      <c r="W1089" s="13"/>
      <c r="AY1089" s="10"/>
      <c r="AZ1089" s="10"/>
      <c r="BA1089" s="10"/>
    </row>
    <row r="1090" spans="1:53" ht="15" x14ac:dyDescent="0.25">
      <c r="A1090" s="70"/>
      <c r="B1090" s="70"/>
      <c r="C1090" s="71"/>
      <c r="D1090" s="71"/>
      <c r="E1090" s="71"/>
      <c r="F1090" s="71"/>
      <c r="G1090" s="71"/>
      <c r="H1090" s="71"/>
      <c r="I1090" s="71"/>
      <c r="J1090" s="71"/>
      <c r="K1090" s="71"/>
      <c r="L1090" s="71"/>
      <c r="M1090" s="71"/>
      <c r="N1090" s="19"/>
      <c r="O1090" s="13"/>
      <c r="P1090" s="13"/>
      <c r="Q1090" s="13"/>
      <c r="R1090" s="13"/>
      <c r="S1090" s="13"/>
      <c r="T1090" s="13"/>
      <c r="U1090" s="13"/>
      <c r="V1090" s="13"/>
      <c r="W1090" s="13"/>
      <c r="AY1090" s="10"/>
      <c r="AZ1090" s="10"/>
      <c r="BA1090" s="10"/>
    </row>
    <row r="1091" spans="1:53" ht="15" x14ac:dyDescent="0.25">
      <c r="A1091" s="70"/>
      <c r="B1091" s="70"/>
      <c r="C1091" s="71"/>
      <c r="D1091" s="71"/>
      <c r="E1091" s="71"/>
      <c r="F1091" s="71"/>
      <c r="G1091" s="71"/>
      <c r="H1091" s="71"/>
      <c r="I1091" s="71"/>
      <c r="J1091" s="71"/>
      <c r="K1091" s="71"/>
      <c r="L1091" s="71"/>
      <c r="M1091" s="71"/>
      <c r="N1091" s="19"/>
      <c r="O1091" s="13"/>
      <c r="P1091" s="13"/>
      <c r="Q1091" s="13"/>
      <c r="R1091" s="13"/>
      <c r="S1091" s="13"/>
      <c r="T1091" s="13"/>
      <c r="U1091" s="13"/>
      <c r="V1091" s="13"/>
      <c r="W1091" s="13"/>
      <c r="AY1091" s="10"/>
      <c r="AZ1091" s="10"/>
      <c r="BA1091" s="10"/>
    </row>
    <row r="1092" spans="1:53" ht="15" x14ac:dyDescent="0.25">
      <c r="A1092" s="70"/>
      <c r="B1092" s="70"/>
      <c r="C1092" s="71"/>
      <c r="D1092" s="71"/>
      <c r="E1092" s="71"/>
      <c r="F1092" s="71"/>
      <c r="G1092" s="71"/>
      <c r="H1092" s="71"/>
      <c r="I1092" s="71"/>
      <c r="J1092" s="71"/>
      <c r="K1092" s="71"/>
      <c r="L1092" s="71"/>
      <c r="M1092" s="71"/>
      <c r="N1092" s="19"/>
      <c r="O1092" s="13"/>
      <c r="P1092" s="13"/>
      <c r="Q1092" s="13"/>
      <c r="R1092" s="13"/>
      <c r="S1092" s="13"/>
      <c r="T1092" s="13"/>
      <c r="U1092" s="13"/>
      <c r="V1092" s="13"/>
      <c r="W1092" s="13"/>
      <c r="AY1092" s="10"/>
      <c r="AZ1092" s="10"/>
      <c r="BA1092" s="10"/>
    </row>
    <row r="1093" spans="1:53" ht="15" x14ac:dyDescent="0.25">
      <c r="A1093" s="70"/>
      <c r="B1093" s="70"/>
      <c r="C1093" s="71"/>
      <c r="D1093" s="71"/>
      <c r="E1093" s="71"/>
      <c r="F1093" s="71"/>
      <c r="G1093" s="71"/>
      <c r="H1093" s="71"/>
      <c r="I1093" s="71"/>
      <c r="J1093" s="71"/>
      <c r="K1093" s="71"/>
      <c r="L1093" s="71"/>
      <c r="M1093" s="71"/>
      <c r="N1093" s="19"/>
      <c r="O1093" s="13"/>
      <c r="P1093" s="13"/>
      <c r="Q1093" s="13"/>
      <c r="R1093" s="13"/>
      <c r="S1093" s="13"/>
      <c r="T1093" s="13"/>
      <c r="U1093" s="13"/>
      <c r="V1093" s="13"/>
      <c r="W1093" s="13"/>
      <c r="AY1093" s="10"/>
      <c r="AZ1093" s="10"/>
      <c r="BA1093" s="10"/>
    </row>
    <row r="1094" spans="1:53" ht="15" x14ac:dyDescent="0.25">
      <c r="A1094" s="70"/>
      <c r="B1094" s="70"/>
      <c r="C1094" s="71"/>
      <c r="D1094" s="71"/>
      <c r="E1094" s="71"/>
      <c r="F1094" s="71"/>
      <c r="G1094" s="71"/>
      <c r="H1094" s="71"/>
      <c r="I1094" s="71"/>
      <c r="J1094" s="71"/>
      <c r="K1094" s="71"/>
      <c r="L1094" s="71"/>
      <c r="M1094" s="71"/>
      <c r="N1094" s="19"/>
      <c r="O1094" s="13"/>
      <c r="P1094" s="13"/>
      <c r="Q1094" s="13"/>
      <c r="R1094" s="13"/>
      <c r="S1094" s="13"/>
      <c r="T1094" s="13"/>
      <c r="U1094" s="13"/>
      <c r="V1094" s="13"/>
      <c r="W1094" s="13"/>
      <c r="AY1094" s="10"/>
      <c r="AZ1094" s="10"/>
      <c r="BA1094" s="10"/>
    </row>
    <row r="1095" spans="1:53" ht="15" x14ac:dyDescent="0.25">
      <c r="A1095" s="70"/>
      <c r="B1095" s="70"/>
      <c r="C1095" s="71"/>
      <c r="D1095" s="71"/>
      <c r="E1095" s="71"/>
      <c r="F1095" s="71"/>
      <c r="G1095" s="71"/>
      <c r="H1095" s="71"/>
      <c r="I1095" s="71"/>
      <c r="J1095" s="71"/>
      <c r="K1095" s="71"/>
      <c r="L1095" s="71"/>
      <c r="M1095" s="71"/>
      <c r="N1095" s="19"/>
      <c r="O1095" s="13"/>
      <c r="P1095" s="13"/>
      <c r="Q1095" s="13"/>
      <c r="R1095" s="13"/>
      <c r="S1095" s="13"/>
      <c r="T1095" s="13"/>
      <c r="U1095" s="13"/>
      <c r="V1095" s="13"/>
      <c r="W1095" s="13"/>
      <c r="AY1095" s="10"/>
      <c r="AZ1095" s="10"/>
      <c r="BA1095" s="10"/>
    </row>
    <row r="1096" spans="1:53" ht="15" x14ac:dyDescent="0.25">
      <c r="A1096" s="70"/>
      <c r="B1096" s="70"/>
      <c r="C1096" s="71"/>
      <c r="D1096" s="71"/>
      <c r="E1096" s="71"/>
      <c r="F1096" s="71"/>
      <c r="G1096" s="71"/>
      <c r="H1096" s="71"/>
      <c r="I1096" s="71"/>
      <c r="J1096" s="71"/>
      <c r="K1096" s="71"/>
      <c r="L1096" s="71"/>
      <c r="M1096" s="71"/>
      <c r="N1096" s="19"/>
      <c r="O1096" s="13"/>
      <c r="P1096" s="13"/>
      <c r="Q1096" s="13"/>
      <c r="R1096" s="13"/>
      <c r="S1096" s="13"/>
      <c r="T1096" s="13"/>
      <c r="U1096" s="13"/>
      <c r="V1096" s="13"/>
      <c r="W1096" s="13"/>
      <c r="AY1096" s="10"/>
      <c r="AZ1096" s="10"/>
      <c r="BA1096" s="10"/>
    </row>
    <row r="1097" spans="1:53" ht="15" x14ac:dyDescent="0.25">
      <c r="A1097" s="70"/>
      <c r="B1097" s="70"/>
      <c r="C1097" s="71"/>
      <c r="D1097" s="71"/>
      <c r="E1097" s="71"/>
      <c r="F1097" s="71"/>
      <c r="G1097" s="71"/>
      <c r="H1097" s="71"/>
      <c r="I1097" s="71"/>
      <c r="J1097" s="71"/>
      <c r="K1097" s="71"/>
      <c r="L1097" s="71"/>
      <c r="M1097" s="71"/>
      <c r="N1097" s="19"/>
      <c r="O1097" s="13"/>
      <c r="P1097" s="13"/>
      <c r="Q1097" s="13"/>
      <c r="R1097" s="13"/>
      <c r="S1097" s="13"/>
      <c r="T1097" s="13"/>
      <c r="U1097" s="13"/>
      <c r="V1097" s="13"/>
      <c r="W1097" s="13"/>
      <c r="AY1097" s="10"/>
      <c r="AZ1097" s="10"/>
      <c r="BA1097" s="10"/>
    </row>
    <row r="1098" spans="1:53" ht="15" x14ac:dyDescent="0.25">
      <c r="A1098" s="70"/>
      <c r="B1098" s="70"/>
      <c r="C1098" s="71"/>
      <c r="D1098" s="71"/>
      <c r="E1098" s="71"/>
      <c r="F1098" s="71"/>
      <c r="G1098" s="71"/>
      <c r="H1098" s="71"/>
      <c r="I1098" s="71"/>
      <c r="J1098" s="71"/>
      <c r="K1098" s="71"/>
      <c r="L1098" s="71"/>
      <c r="M1098" s="71"/>
      <c r="N1098" s="19"/>
      <c r="O1098" s="13"/>
      <c r="P1098" s="13"/>
      <c r="Q1098" s="13"/>
      <c r="R1098" s="13"/>
      <c r="S1098" s="13"/>
      <c r="T1098" s="13"/>
      <c r="U1098" s="13"/>
      <c r="V1098" s="13"/>
      <c r="W1098" s="13"/>
      <c r="AY1098" s="10"/>
      <c r="AZ1098" s="10"/>
      <c r="BA1098" s="10"/>
    </row>
    <row r="1099" spans="1:53" ht="15" x14ac:dyDescent="0.25">
      <c r="A1099" s="70"/>
      <c r="B1099" s="70"/>
      <c r="C1099" s="71"/>
      <c r="D1099" s="71"/>
      <c r="E1099" s="71"/>
      <c r="F1099" s="71"/>
      <c r="G1099" s="71"/>
      <c r="H1099" s="71"/>
      <c r="I1099" s="71"/>
      <c r="J1099" s="71"/>
      <c r="K1099" s="71"/>
      <c r="L1099" s="71"/>
      <c r="M1099" s="71"/>
      <c r="N1099" s="19"/>
      <c r="O1099" s="13"/>
      <c r="P1099" s="13"/>
      <c r="Q1099" s="13"/>
      <c r="R1099" s="13"/>
      <c r="S1099" s="13"/>
      <c r="T1099" s="13"/>
      <c r="U1099" s="13"/>
      <c r="V1099" s="13"/>
      <c r="W1099" s="13"/>
      <c r="AY1099" s="10"/>
      <c r="AZ1099" s="10"/>
      <c r="BA1099" s="10"/>
    </row>
    <row r="1100" spans="1:53" ht="15" x14ac:dyDescent="0.25">
      <c r="A1100" s="70"/>
      <c r="B1100" s="70"/>
      <c r="C1100" s="71"/>
      <c r="D1100" s="71"/>
      <c r="E1100" s="71"/>
      <c r="F1100" s="71"/>
      <c r="G1100" s="71"/>
      <c r="H1100" s="71"/>
      <c r="I1100" s="71"/>
      <c r="J1100" s="71"/>
      <c r="K1100" s="71"/>
      <c r="L1100" s="71"/>
      <c r="M1100" s="71"/>
      <c r="N1100" s="19"/>
      <c r="O1100" s="13"/>
      <c r="P1100" s="13"/>
      <c r="Q1100" s="13"/>
      <c r="R1100" s="13"/>
      <c r="S1100" s="13"/>
      <c r="T1100" s="13"/>
      <c r="U1100" s="13"/>
      <c r="V1100" s="13"/>
      <c r="W1100" s="13"/>
      <c r="AY1100" s="10"/>
      <c r="AZ1100" s="10"/>
      <c r="BA1100" s="10"/>
    </row>
    <row r="1101" spans="1:53" ht="15" x14ac:dyDescent="0.25">
      <c r="A1101" s="70"/>
      <c r="B1101" s="70"/>
      <c r="C1101" s="71"/>
      <c r="D1101" s="71"/>
      <c r="E1101" s="71"/>
      <c r="F1101" s="71"/>
      <c r="G1101" s="71"/>
      <c r="H1101" s="71"/>
      <c r="I1101" s="71"/>
      <c r="J1101" s="71"/>
      <c r="K1101" s="71"/>
      <c r="L1101" s="71"/>
      <c r="M1101" s="71"/>
      <c r="N1101" s="19"/>
      <c r="O1101" s="13"/>
      <c r="P1101" s="13"/>
      <c r="Q1101" s="13"/>
      <c r="R1101" s="13"/>
      <c r="S1101" s="13"/>
      <c r="T1101" s="13"/>
      <c r="U1101" s="13"/>
      <c r="V1101" s="13"/>
      <c r="W1101" s="13"/>
      <c r="AY1101" s="10"/>
      <c r="AZ1101" s="10"/>
      <c r="BA1101" s="10"/>
    </row>
    <row r="1102" spans="1:53" ht="15" x14ac:dyDescent="0.25">
      <c r="A1102" s="70"/>
      <c r="B1102" s="70"/>
      <c r="C1102" s="71"/>
      <c r="D1102" s="71"/>
      <c r="E1102" s="71"/>
      <c r="F1102" s="71"/>
      <c r="G1102" s="71"/>
      <c r="H1102" s="71"/>
      <c r="I1102" s="71"/>
      <c r="J1102" s="71"/>
      <c r="K1102" s="71"/>
      <c r="L1102" s="71"/>
      <c r="M1102" s="71"/>
      <c r="N1102" s="19"/>
      <c r="O1102" s="13"/>
      <c r="P1102" s="13"/>
      <c r="Q1102" s="13"/>
      <c r="R1102" s="13"/>
      <c r="S1102" s="13"/>
      <c r="T1102" s="13"/>
      <c r="U1102" s="13"/>
      <c r="V1102" s="13"/>
      <c r="W1102" s="13"/>
      <c r="AY1102" s="10"/>
      <c r="AZ1102" s="10"/>
      <c r="BA1102" s="10"/>
    </row>
    <row r="1103" spans="1:53" ht="15" x14ac:dyDescent="0.25">
      <c r="A1103" s="70"/>
      <c r="B1103" s="70"/>
      <c r="C1103" s="71"/>
      <c r="D1103" s="71"/>
      <c r="E1103" s="71"/>
      <c r="F1103" s="71"/>
      <c r="G1103" s="71"/>
      <c r="H1103" s="71"/>
      <c r="I1103" s="71"/>
      <c r="J1103" s="71"/>
      <c r="K1103" s="71"/>
      <c r="L1103" s="71"/>
      <c r="M1103" s="71"/>
      <c r="N1103" s="19"/>
      <c r="O1103" s="13"/>
      <c r="P1103" s="13"/>
      <c r="Q1103" s="13"/>
      <c r="R1103" s="13"/>
      <c r="S1103" s="13"/>
      <c r="T1103" s="13"/>
      <c r="U1103" s="13"/>
      <c r="V1103" s="13"/>
      <c r="W1103" s="13"/>
      <c r="AY1103" s="10"/>
      <c r="AZ1103" s="10"/>
      <c r="BA1103" s="10"/>
    </row>
    <row r="1104" spans="1:53" ht="15" x14ac:dyDescent="0.25">
      <c r="A1104" s="70"/>
      <c r="B1104" s="70"/>
      <c r="C1104" s="71"/>
      <c r="D1104" s="71"/>
      <c r="E1104" s="71"/>
      <c r="F1104" s="71"/>
      <c r="G1104" s="71"/>
      <c r="H1104" s="71"/>
      <c r="I1104" s="71"/>
      <c r="J1104" s="71"/>
      <c r="K1104" s="71"/>
      <c r="L1104" s="71"/>
      <c r="M1104" s="71"/>
      <c r="N1104" s="19"/>
      <c r="O1104" s="13"/>
      <c r="P1104" s="13"/>
      <c r="Q1104" s="13"/>
      <c r="R1104" s="13"/>
      <c r="S1104" s="13"/>
      <c r="T1104" s="13"/>
      <c r="U1104" s="13"/>
      <c r="V1104" s="13"/>
      <c r="W1104" s="13"/>
      <c r="AY1104" s="10"/>
      <c r="AZ1104" s="10"/>
      <c r="BA1104" s="10"/>
    </row>
    <row r="1105" spans="1:65" ht="15" x14ac:dyDescent="0.25">
      <c r="A1105" s="70"/>
      <c r="B1105" s="70"/>
      <c r="C1105" s="71"/>
      <c r="D1105" s="71"/>
      <c r="E1105" s="71"/>
      <c r="F1105" s="71"/>
      <c r="G1105" s="71"/>
      <c r="H1105" s="71"/>
      <c r="I1105" s="71"/>
      <c r="J1105" s="71"/>
      <c r="K1105" s="71"/>
      <c r="L1105" s="71"/>
      <c r="M1105" s="71"/>
      <c r="N1105" s="19"/>
      <c r="O1105" s="13"/>
      <c r="P1105" s="13"/>
      <c r="Q1105" s="13"/>
      <c r="R1105" s="13"/>
      <c r="S1105" s="13"/>
      <c r="T1105" s="13"/>
      <c r="U1105" s="13"/>
      <c r="V1105" s="13"/>
      <c r="W1105" s="13"/>
      <c r="AY1105" s="10"/>
      <c r="AZ1105" s="10"/>
      <c r="BA1105" s="10"/>
    </row>
    <row r="1106" spans="1:65" ht="15" x14ac:dyDescent="0.25">
      <c r="A1106" s="70"/>
      <c r="B1106" s="70"/>
      <c r="C1106" s="71"/>
      <c r="D1106" s="71"/>
      <c r="E1106" s="71"/>
      <c r="F1106" s="71"/>
      <c r="G1106" s="71"/>
      <c r="H1106" s="71"/>
      <c r="I1106" s="71"/>
      <c r="J1106" s="71"/>
      <c r="K1106" s="71"/>
      <c r="L1106" s="71"/>
      <c r="M1106" s="71"/>
      <c r="N1106" s="19"/>
      <c r="O1106" s="13"/>
      <c r="P1106" s="13"/>
      <c r="Q1106" s="13"/>
      <c r="R1106" s="13"/>
      <c r="S1106" s="13"/>
      <c r="T1106" s="13"/>
      <c r="U1106" s="13"/>
      <c r="V1106" s="13"/>
      <c r="W1106" s="13"/>
      <c r="AY1106" s="10"/>
      <c r="AZ1106" s="10"/>
      <c r="BA1106" s="10"/>
    </row>
    <row r="1107" spans="1:65" ht="15" x14ac:dyDescent="0.25">
      <c r="A1107" s="70"/>
      <c r="B1107" s="70"/>
      <c r="C1107" s="71"/>
      <c r="D1107" s="71"/>
      <c r="E1107" s="71"/>
      <c r="F1107" s="71"/>
      <c r="G1107" s="71"/>
      <c r="H1107" s="71"/>
      <c r="I1107" s="71"/>
      <c r="J1107" s="71"/>
      <c r="K1107" s="71"/>
      <c r="L1107" s="71"/>
      <c r="M1107" s="71"/>
      <c r="N1107" s="19"/>
      <c r="O1107" s="13"/>
      <c r="P1107" s="13"/>
      <c r="Q1107" s="13"/>
      <c r="R1107" s="13"/>
      <c r="S1107" s="13"/>
      <c r="T1107" s="13"/>
      <c r="U1107" s="13"/>
      <c r="V1107" s="13"/>
      <c r="W1107" s="13"/>
      <c r="AY1107" s="10"/>
      <c r="AZ1107" s="10"/>
      <c r="BA1107" s="10"/>
    </row>
    <row r="1108" spans="1:65" ht="15" x14ac:dyDescent="0.25">
      <c r="A1108" s="70"/>
      <c r="B1108" s="70"/>
      <c r="C1108" s="71"/>
      <c r="D1108" s="71"/>
      <c r="E1108" s="71"/>
      <c r="F1108" s="71"/>
      <c r="G1108" s="71"/>
      <c r="H1108" s="71"/>
      <c r="I1108" s="71"/>
      <c r="J1108" s="71"/>
      <c r="K1108" s="71"/>
      <c r="L1108" s="71"/>
      <c r="M1108" s="71"/>
      <c r="N1108" s="19"/>
      <c r="O1108" s="13"/>
      <c r="P1108" s="13"/>
      <c r="Q1108" s="13"/>
      <c r="R1108" s="13"/>
      <c r="S1108" s="13"/>
      <c r="T1108" s="13"/>
      <c r="U1108" s="13"/>
      <c r="V1108" s="13"/>
      <c r="W1108" s="13"/>
      <c r="AY1108" s="10"/>
      <c r="AZ1108" s="10"/>
    </row>
    <row r="1109" spans="1:65" ht="15" x14ac:dyDescent="0.25">
      <c r="A1109" s="70"/>
      <c r="B1109" s="70"/>
      <c r="C1109" s="71"/>
      <c r="D1109" s="71"/>
      <c r="E1109" s="71"/>
      <c r="F1109" s="71"/>
      <c r="G1109" s="71"/>
      <c r="H1109" s="71"/>
      <c r="I1109" s="71"/>
      <c r="J1109" s="71"/>
      <c r="K1109" s="71"/>
      <c r="L1109" s="71"/>
      <c r="M1109" s="71"/>
      <c r="N1109" s="19"/>
      <c r="O1109" s="13"/>
      <c r="P1109" s="13"/>
      <c r="Q1109" s="13"/>
      <c r="R1109" s="13"/>
      <c r="S1109" s="13"/>
      <c r="T1109" s="13"/>
      <c r="U1109" s="13"/>
      <c r="V1109" s="13"/>
      <c r="W1109" s="13"/>
      <c r="AY1109" s="10"/>
      <c r="AZ1109" s="10"/>
      <c r="BK1109" s="10"/>
      <c r="BM1109" s="20"/>
    </row>
    <row r="1110" spans="1:65" ht="15" x14ac:dyDescent="0.25">
      <c r="A1110" s="70"/>
      <c r="B1110" s="70"/>
      <c r="C1110" s="71"/>
      <c r="D1110" s="71"/>
      <c r="E1110" s="71"/>
      <c r="F1110" s="71"/>
      <c r="G1110" s="71"/>
      <c r="H1110" s="71"/>
      <c r="I1110" s="71"/>
      <c r="J1110" s="71"/>
      <c r="K1110" s="71"/>
      <c r="L1110" s="71"/>
      <c r="M1110" s="71"/>
      <c r="N1110" s="19"/>
      <c r="O1110" s="13"/>
      <c r="P1110" s="13"/>
      <c r="Q1110" s="13"/>
      <c r="R1110" s="13"/>
      <c r="S1110" s="13"/>
      <c r="T1110" s="13"/>
      <c r="U1110" s="13"/>
      <c r="V1110" s="13"/>
      <c r="W1110" s="13"/>
      <c r="AY1110" s="10"/>
      <c r="AZ1110" s="10"/>
      <c r="BK1110" s="10"/>
      <c r="BM1110" s="20"/>
    </row>
    <row r="1111" spans="1:65" ht="15" x14ac:dyDescent="0.25">
      <c r="A1111" s="70"/>
      <c r="B1111" s="70"/>
      <c r="C1111" s="71"/>
      <c r="D1111" s="71"/>
      <c r="E1111" s="71"/>
      <c r="F1111" s="71"/>
      <c r="G1111" s="71"/>
      <c r="H1111" s="71"/>
      <c r="I1111" s="71"/>
      <c r="J1111" s="71"/>
      <c r="K1111" s="71"/>
      <c r="L1111" s="71"/>
      <c r="M1111" s="71"/>
      <c r="N1111" s="19"/>
      <c r="O1111" s="13"/>
      <c r="P1111" s="13"/>
      <c r="Q1111" s="13"/>
      <c r="R1111" s="13"/>
      <c r="S1111" s="13"/>
      <c r="T1111" s="13"/>
      <c r="U1111" s="13"/>
      <c r="V1111" s="13"/>
      <c r="W1111" s="13"/>
      <c r="AY1111" s="10"/>
      <c r="AZ1111" s="10"/>
      <c r="BK1111" s="10"/>
      <c r="BM1111" s="20"/>
    </row>
    <row r="1112" spans="1:65" ht="15" x14ac:dyDescent="0.25">
      <c r="A1112" s="70"/>
      <c r="B1112" s="70"/>
      <c r="C1112" s="71"/>
      <c r="D1112" s="71"/>
      <c r="E1112" s="71"/>
      <c r="F1112" s="71"/>
      <c r="G1112" s="71"/>
      <c r="H1112" s="71"/>
      <c r="I1112" s="71"/>
      <c r="J1112" s="71"/>
      <c r="K1112" s="71"/>
      <c r="L1112" s="71"/>
      <c r="M1112" s="71"/>
      <c r="N1112" s="19"/>
      <c r="O1112" s="13"/>
      <c r="P1112" s="13"/>
      <c r="Q1112" s="13"/>
      <c r="R1112" s="13"/>
      <c r="S1112" s="13"/>
      <c r="T1112" s="13"/>
      <c r="U1112" s="13"/>
      <c r="V1112" s="13"/>
      <c r="W1112" s="13"/>
      <c r="AY1112" s="10"/>
      <c r="AZ1112" s="10"/>
      <c r="BK1112" s="10"/>
      <c r="BM1112" s="20"/>
    </row>
    <row r="1113" spans="1:65" ht="15" x14ac:dyDescent="0.25">
      <c r="A1113" s="70"/>
      <c r="B1113" s="70"/>
      <c r="C1113" s="71"/>
      <c r="D1113" s="71"/>
      <c r="E1113" s="71"/>
      <c r="F1113" s="71"/>
      <c r="G1113" s="71"/>
      <c r="H1113" s="71"/>
      <c r="I1113" s="71"/>
      <c r="J1113" s="71"/>
      <c r="K1113" s="71"/>
      <c r="L1113" s="71"/>
      <c r="M1113" s="71"/>
      <c r="N1113" s="19"/>
      <c r="O1113" s="13"/>
      <c r="P1113" s="13"/>
      <c r="Q1113" s="13"/>
      <c r="R1113" s="13"/>
      <c r="S1113" s="13"/>
      <c r="T1113" s="13"/>
      <c r="U1113" s="13"/>
      <c r="V1113" s="13"/>
      <c r="W1113" s="13"/>
      <c r="AY1113" s="10"/>
      <c r="AZ1113" s="10"/>
      <c r="BK1113" s="10"/>
      <c r="BM1113" s="20"/>
    </row>
    <row r="1114" spans="1:65" ht="15" x14ac:dyDescent="0.25">
      <c r="A1114" s="70"/>
      <c r="B1114" s="70"/>
      <c r="C1114" s="71"/>
      <c r="D1114" s="71"/>
      <c r="E1114" s="71"/>
      <c r="F1114" s="71"/>
      <c r="G1114" s="71"/>
      <c r="H1114" s="71"/>
      <c r="I1114" s="71"/>
      <c r="J1114" s="71"/>
      <c r="K1114" s="71"/>
      <c r="L1114" s="71"/>
      <c r="M1114" s="71"/>
      <c r="N1114" s="19"/>
      <c r="O1114" s="13"/>
      <c r="P1114" s="13"/>
      <c r="Q1114" s="13"/>
      <c r="R1114" s="13"/>
      <c r="S1114" s="13"/>
      <c r="T1114" s="13"/>
      <c r="U1114" s="13"/>
      <c r="V1114" s="13"/>
      <c r="W1114" s="13"/>
      <c r="AY1114" s="10"/>
      <c r="AZ1114" s="10"/>
      <c r="BK1114" s="10"/>
      <c r="BM1114" s="20"/>
    </row>
    <row r="1115" spans="1:65" ht="15" x14ac:dyDescent="0.25">
      <c r="A1115" s="70"/>
      <c r="B1115" s="70"/>
      <c r="C1115" s="71"/>
      <c r="D1115" s="71"/>
      <c r="E1115" s="71"/>
      <c r="F1115" s="71"/>
      <c r="G1115" s="71"/>
      <c r="H1115" s="71"/>
      <c r="I1115" s="71"/>
      <c r="J1115" s="71"/>
      <c r="K1115" s="71"/>
      <c r="L1115" s="71"/>
      <c r="M1115" s="71"/>
      <c r="N1115" s="19"/>
      <c r="O1115" s="13"/>
      <c r="P1115" s="13"/>
      <c r="Q1115" s="13"/>
      <c r="R1115" s="13"/>
      <c r="S1115" s="13"/>
      <c r="T1115" s="13"/>
      <c r="U1115" s="13"/>
      <c r="V1115" s="13"/>
      <c r="W1115" s="13"/>
      <c r="AY1115" s="10"/>
      <c r="AZ1115" s="10"/>
      <c r="BK1115" s="10"/>
      <c r="BM1115" s="20"/>
    </row>
    <row r="1116" spans="1:65" ht="15" x14ac:dyDescent="0.25">
      <c r="A1116" s="70"/>
      <c r="B1116" s="70"/>
      <c r="C1116" s="71"/>
      <c r="D1116" s="71"/>
      <c r="E1116" s="71"/>
      <c r="F1116" s="71"/>
      <c r="G1116" s="71"/>
      <c r="H1116" s="71"/>
      <c r="I1116" s="71"/>
      <c r="J1116" s="71"/>
      <c r="K1116" s="71"/>
      <c r="L1116" s="71"/>
      <c r="M1116" s="71"/>
      <c r="N1116" s="19"/>
      <c r="O1116" s="13"/>
      <c r="P1116" s="13"/>
      <c r="Q1116" s="13"/>
      <c r="R1116" s="13"/>
      <c r="S1116" s="13"/>
      <c r="T1116" s="13"/>
      <c r="U1116" s="13"/>
      <c r="V1116" s="13"/>
      <c r="W1116" s="13"/>
      <c r="AY1116" s="10"/>
      <c r="AZ1116" s="10"/>
      <c r="BK1116" s="10"/>
      <c r="BM1116" s="20"/>
    </row>
    <row r="1117" spans="1:65" ht="15" x14ac:dyDescent="0.25">
      <c r="A1117" s="70"/>
      <c r="B1117" s="70"/>
      <c r="C1117" s="71"/>
      <c r="D1117" s="71"/>
      <c r="E1117" s="71"/>
      <c r="F1117" s="71"/>
      <c r="G1117" s="71"/>
      <c r="H1117" s="71"/>
      <c r="I1117" s="71"/>
      <c r="J1117" s="71"/>
      <c r="K1117" s="71"/>
      <c r="L1117" s="71"/>
      <c r="M1117" s="71"/>
      <c r="N1117" s="19"/>
      <c r="O1117" s="13"/>
      <c r="P1117" s="13"/>
      <c r="Q1117" s="13"/>
      <c r="R1117" s="13"/>
      <c r="S1117" s="13"/>
      <c r="T1117" s="13"/>
      <c r="U1117" s="13"/>
      <c r="V1117" s="13"/>
      <c r="W1117" s="13"/>
      <c r="AY1117" s="10"/>
      <c r="AZ1117" s="10"/>
      <c r="BK1117" s="10"/>
      <c r="BM1117" s="20"/>
    </row>
    <row r="1118" spans="1:65" ht="15" x14ac:dyDescent="0.25">
      <c r="A1118" s="70"/>
      <c r="B1118" s="70"/>
      <c r="C1118" s="71"/>
      <c r="D1118" s="71"/>
      <c r="E1118" s="71"/>
      <c r="F1118" s="71"/>
      <c r="G1118" s="71"/>
      <c r="H1118" s="71"/>
      <c r="I1118" s="71"/>
      <c r="J1118" s="71"/>
      <c r="K1118" s="71"/>
      <c r="L1118" s="71"/>
      <c r="M1118" s="71"/>
      <c r="N1118" s="19"/>
      <c r="O1118" s="13"/>
      <c r="P1118" s="13"/>
      <c r="Q1118" s="13"/>
      <c r="R1118" s="13"/>
      <c r="S1118" s="13"/>
      <c r="T1118" s="13"/>
      <c r="U1118" s="13"/>
      <c r="V1118" s="13"/>
      <c r="W1118" s="13"/>
      <c r="AY1118" s="10"/>
      <c r="AZ1118" s="10"/>
      <c r="BK1118" s="10"/>
      <c r="BM1118" s="20"/>
    </row>
    <row r="1119" spans="1:65" ht="15" x14ac:dyDescent="0.25">
      <c r="A1119" s="70"/>
      <c r="B1119" s="70"/>
      <c r="C1119" s="71"/>
      <c r="D1119" s="71"/>
      <c r="E1119" s="71"/>
      <c r="F1119" s="71"/>
      <c r="G1119" s="71"/>
      <c r="H1119" s="71"/>
      <c r="I1119" s="71"/>
      <c r="J1119" s="71"/>
      <c r="K1119" s="71"/>
      <c r="L1119" s="71"/>
      <c r="M1119" s="71"/>
      <c r="N1119" s="19"/>
      <c r="O1119" s="13"/>
      <c r="P1119" s="13"/>
      <c r="Q1119" s="13"/>
      <c r="R1119" s="13"/>
      <c r="S1119" s="13"/>
      <c r="T1119" s="13"/>
      <c r="U1119" s="13"/>
      <c r="V1119" s="13"/>
      <c r="W1119" s="13"/>
      <c r="AY1119" s="10"/>
      <c r="AZ1119" s="10"/>
      <c r="BK1119" s="10"/>
      <c r="BM1119" s="20"/>
    </row>
    <row r="1120" spans="1:65" ht="15" x14ac:dyDescent="0.25">
      <c r="A1120" s="70"/>
      <c r="B1120" s="70"/>
      <c r="C1120" s="71"/>
      <c r="D1120" s="71"/>
      <c r="E1120" s="71"/>
      <c r="F1120" s="71"/>
      <c r="G1120" s="71"/>
      <c r="H1120" s="71"/>
      <c r="I1120" s="71"/>
      <c r="J1120" s="71"/>
      <c r="K1120" s="71"/>
      <c r="L1120" s="71"/>
      <c r="M1120" s="71"/>
      <c r="N1120" s="19"/>
      <c r="O1120" s="13"/>
      <c r="P1120" s="13"/>
      <c r="Q1120" s="13"/>
      <c r="R1120" s="13"/>
      <c r="S1120" s="13"/>
      <c r="T1120" s="13"/>
      <c r="U1120" s="13"/>
      <c r="V1120" s="13"/>
      <c r="W1120" s="13"/>
      <c r="AY1120" s="10"/>
      <c r="AZ1120" s="10"/>
      <c r="BK1120" s="10"/>
      <c r="BM1120" s="20"/>
    </row>
    <row r="1121" spans="1:65" ht="15" x14ac:dyDescent="0.25">
      <c r="A1121" s="70"/>
      <c r="B1121" s="70"/>
      <c r="C1121" s="71"/>
      <c r="D1121" s="71"/>
      <c r="E1121" s="71"/>
      <c r="F1121" s="71"/>
      <c r="G1121" s="71"/>
      <c r="H1121" s="71"/>
      <c r="I1121" s="71"/>
      <c r="J1121" s="71"/>
      <c r="K1121" s="71"/>
      <c r="L1121" s="71"/>
      <c r="M1121" s="71"/>
      <c r="N1121" s="19"/>
      <c r="O1121" s="13"/>
      <c r="P1121" s="13"/>
      <c r="Q1121" s="13"/>
      <c r="R1121" s="13"/>
      <c r="S1121" s="13"/>
      <c r="T1121" s="13"/>
      <c r="U1121" s="13"/>
      <c r="V1121" s="13"/>
      <c r="W1121" s="13"/>
      <c r="AY1121" s="10"/>
      <c r="AZ1121" s="10"/>
      <c r="BK1121" s="10"/>
      <c r="BM1121" s="20"/>
    </row>
    <row r="1122" spans="1:65" ht="15" x14ac:dyDescent="0.25">
      <c r="A1122" s="70"/>
      <c r="B1122" s="70"/>
      <c r="C1122" s="71"/>
      <c r="D1122" s="71"/>
      <c r="E1122" s="71"/>
      <c r="F1122" s="71"/>
      <c r="G1122" s="71"/>
      <c r="H1122" s="71"/>
      <c r="I1122" s="71"/>
      <c r="J1122" s="71"/>
      <c r="K1122" s="71"/>
      <c r="L1122" s="71"/>
      <c r="M1122" s="71"/>
      <c r="N1122" s="19"/>
      <c r="O1122" s="13"/>
      <c r="P1122" s="13"/>
      <c r="Q1122" s="13"/>
      <c r="R1122" s="13"/>
      <c r="S1122" s="13"/>
      <c r="T1122" s="13"/>
      <c r="U1122" s="13"/>
      <c r="V1122" s="13"/>
      <c r="W1122" s="13"/>
      <c r="AY1122" s="10"/>
      <c r="AZ1122" s="10"/>
      <c r="BK1122" s="10"/>
      <c r="BM1122" s="20"/>
    </row>
    <row r="1123" spans="1:65" ht="15" x14ac:dyDescent="0.25">
      <c r="A1123" s="70"/>
      <c r="B1123" s="70"/>
      <c r="C1123" s="71"/>
      <c r="D1123" s="71"/>
      <c r="E1123" s="71"/>
      <c r="F1123" s="71"/>
      <c r="G1123" s="71"/>
      <c r="H1123" s="71"/>
      <c r="I1123" s="71"/>
      <c r="J1123" s="71"/>
      <c r="K1123" s="71"/>
      <c r="L1123" s="71"/>
      <c r="M1123" s="71"/>
      <c r="N1123" s="19"/>
      <c r="O1123" s="13"/>
      <c r="P1123" s="13"/>
      <c r="Q1123" s="13"/>
      <c r="R1123" s="13"/>
      <c r="S1123" s="13"/>
      <c r="T1123" s="13"/>
      <c r="U1123" s="13"/>
      <c r="V1123" s="13"/>
      <c r="W1123" s="13"/>
      <c r="AY1123" s="10"/>
      <c r="AZ1123" s="10"/>
      <c r="BK1123" s="10"/>
      <c r="BM1123" s="20"/>
    </row>
    <row r="1124" spans="1:65" ht="15" x14ac:dyDescent="0.25">
      <c r="A1124" s="70"/>
      <c r="B1124" s="70"/>
      <c r="C1124" s="71"/>
      <c r="D1124" s="71"/>
      <c r="E1124" s="71"/>
      <c r="F1124" s="71"/>
      <c r="G1124" s="71"/>
      <c r="H1124" s="71"/>
      <c r="I1124" s="71"/>
      <c r="J1124" s="71"/>
      <c r="K1124" s="71"/>
      <c r="L1124" s="71"/>
      <c r="M1124" s="71"/>
      <c r="N1124" s="19"/>
      <c r="O1124" s="13"/>
      <c r="P1124" s="13"/>
      <c r="Q1124" s="13"/>
      <c r="R1124" s="13"/>
      <c r="S1124" s="13"/>
      <c r="T1124" s="13"/>
      <c r="U1124" s="13"/>
      <c r="V1124" s="13"/>
      <c r="W1124" s="13"/>
      <c r="AY1124" s="10"/>
      <c r="AZ1124" s="10"/>
      <c r="BK1124" s="10"/>
      <c r="BM1124" s="20"/>
    </row>
    <row r="1125" spans="1:65" ht="15" x14ac:dyDescent="0.25">
      <c r="A1125" s="70"/>
      <c r="B1125" s="70"/>
      <c r="C1125" s="71"/>
      <c r="D1125" s="71"/>
      <c r="E1125" s="71"/>
      <c r="F1125" s="71"/>
      <c r="G1125" s="71"/>
      <c r="H1125" s="71"/>
      <c r="I1125" s="71"/>
      <c r="J1125" s="71"/>
      <c r="K1125" s="71"/>
      <c r="L1125" s="71"/>
      <c r="M1125" s="71"/>
      <c r="N1125" s="19"/>
      <c r="O1125" s="13"/>
      <c r="P1125" s="13"/>
      <c r="Q1125" s="13"/>
      <c r="R1125" s="13"/>
      <c r="S1125" s="13"/>
      <c r="T1125" s="13"/>
      <c r="U1125" s="13"/>
      <c r="V1125" s="13"/>
      <c r="W1125" s="13"/>
      <c r="AY1125" s="10"/>
      <c r="AZ1125" s="10"/>
      <c r="BK1125" s="10"/>
      <c r="BM1125" s="20"/>
    </row>
    <row r="1126" spans="1:65" ht="15" x14ac:dyDescent="0.25">
      <c r="A1126" s="70"/>
      <c r="B1126" s="70"/>
      <c r="C1126" s="71"/>
      <c r="D1126" s="71"/>
      <c r="E1126" s="71"/>
      <c r="F1126" s="71"/>
      <c r="G1126" s="71"/>
      <c r="H1126" s="71"/>
      <c r="I1126" s="71"/>
      <c r="J1126" s="71"/>
      <c r="K1126" s="71"/>
      <c r="L1126" s="71"/>
      <c r="M1126" s="71"/>
      <c r="N1126" s="19"/>
      <c r="O1126" s="13"/>
      <c r="P1126" s="13"/>
      <c r="Q1126" s="13"/>
      <c r="R1126" s="13"/>
      <c r="S1126" s="13"/>
      <c r="T1126" s="13"/>
      <c r="U1126" s="13"/>
      <c r="V1126" s="13"/>
      <c r="W1126" s="13"/>
      <c r="AY1126" s="10"/>
      <c r="AZ1126" s="10"/>
      <c r="BK1126" s="10"/>
      <c r="BM1126" s="20"/>
    </row>
    <row r="1127" spans="1:65" ht="15" x14ac:dyDescent="0.25">
      <c r="A1127" s="70"/>
      <c r="B1127" s="70"/>
      <c r="C1127" s="71"/>
      <c r="D1127" s="71"/>
      <c r="E1127" s="71"/>
      <c r="F1127" s="71"/>
      <c r="G1127" s="71"/>
      <c r="H1127" s="71"/>
      <c r="I1127" s="71"/>
      <c r="J1127" s="71"/>
      <c r="K1127" s="71"/>
      <c r="L1127" s="71"/>
      <c r="M1127" s="71"/>
      <c r="N1127" s="19"/>
      <c r="O1127" s="13"/>
      <c r="P1127" s="13"/>
      <c r="Q1127" s="13"/>
      <c r="R1127" s="13"/>
      <c r="S1127" s="13"/>
      <c r="T1127" s="13"/>
      <c r="U1127" s="13"/>
      <c r="V1127" s="13"/>
      <c r="W1127" s="13"/>
      <c r="AY1127" s="10"/>
      <c r="AZ1127" s="10"/>
      <c r="BK1127" s="10"/>
      <c r="BM1127" s="20"/>
    </row>
    <row r="1128" spans="1:65" ht="15" x14ac:dyDescent="0.25">
      <c r="A1128" s="70"/>
      <c r="B1128" s="70"/>
      <c r="C1128" s="71"/>
      <c r="D1128" s="71"/>
      <c r="E1128" s="71"/>
      <c r="F1128" s="71"/>
      <c r="G1128" s="71"/>
      <c r="H1128" s="71"/>
      <c r="I1128" s="71"/>
      <c r="J1128" s="71"/>
      <c r="K1128" s="71"/>
      <c r="L1128" s="71"/>
      <c r="M1128" s="71"/>
      <c r="N1128" s="19"/>
      <c r="O1128" s="13"/>
      <c r="P1128" s="13"/>
      <c r="Q1128" s="13"/>
      <c r="R1128" s="13"/>
      <c r="S1128" s="13"/>
      <c r="T1128" s="13"/>
      <c r="U1128" s="13"/>
      <c r="V1128" s="13"/>
      <c r="W1128" s="13"/>
      <c r="AY1128" s="10"/>
      <c r="AZ1128" s="10"/>
      <c r="BK1128" s="10"/>
      <c r="BM1128" s="20"/>
    </row>
    <row r="1129" spans="1:65" ht="15" x14ac:dyDescent="0.25">
      <c r="A1129" s="70"/>
      <c r="B1129" s="70"/>
      <c r="C1129" s="71"/>
      <c r="D1129" s="71"/>
      <c r="E1129" s="71"/>
      <c r="F1129" s="71"/>
      <c r="G1129" s="71"/>
      <c r="H1129" s="71"/>
      <c r="I1129" s="71"/>
      <c r="J1129" s="71"/>
      <c r="K1129" s="71"/>
      <c r="L1129" s="71"/>
      <c r="M1129" s="71"/>
      <c r="N1129" s="19"/>
      <c r="O1129" s="13"/>
      <c r="P1129" s="13"/>
      <c r="Q1129" s="13"/>
      <c r="R1129" s="13"/>
      <c r="S1129" s="13"/>
      <c r="T1129" s="13"/>
      <c r="U1129" s="13"/>
      <c r="V1129" s="13"/>
      <c r="W1129" s="13"/>
      <c r="AY1129" s="10"/>
      <c r="AZ1129" s="10"/>
      <c r="BK1129" s="10"/>
      <c r="BM1129" s="20"/>
    </row>
    <row r="1130" spans="1:65" ht="15" x14ac:dyDescent="0.25">
      <c r="A1130" s="70"/>
      <c r="B1130" s="70"/>
      <c r="C1130" s="71"/>
      <c r="D1130" s="71"/>
      <c r="E1130" s="71"/>
      <c r="F1130" s="71"/>
      <c r="G1130" s="71"/>
      <c r="H1130" s="71"/>
      <c r="I1130" s="71"/>
      <c r="J1130" s="71"/>
      <c r="K1130" s="71"/>
      <c r="L1130" s="71"/>
      <c r="M1130" s="71"/>
      <c r="N1130" s="19"/>
      <c r="O1130" s="13"/>
      <c r="P1130" s="13"/>
      <c r="Q1130" s="13"/>
      <c r="R1130" s="13"/>
      <c r="S1130" s="13"/>
      <c r="T1130" s="13"/>
      <c r="U1130" s="13"/>
      <c r="V1130" s="13"/>
      <c r="W1130" s="13"/>
      <c r="AY1130" s="10"/>
      <c r="AZ1130" s="10"/>
      <c r="BK1130" s="10"/>
      <c r="BM1130" s="20"/>
    </row>
    <row r="1131" spans="1:65" ht="15" x14ac:dyDescent="0.25">
      <c r="A1131" s="70"/>
      <c r="B1131" s="70"/>
      <c r="C1131" s="71"/>
      <c r="D1131" s="71"/>
      <c r="E1131" s="71"/>
      <c r="F1131" s="71"/>
      <c r="G1131" s="71"/>
      <c r="H1131" s="71"/>
      <c r="I1131" s="71"/>
      <c r="J1131" s="71"/>
      <c r="K1131" s="71"/>
      <c r="L1131" s="71"/>
      <c r="M1131" s="71"/>
      <c r="N1131" s="19"/>
      <c r="O1131" s="13"/>
      <c r="P1131" s="13"/>
      <c r="Q1131" s="13"/>
      <c r="R1131" s="13"/>
      <c r="S1131" s="13"/>
      <c r="T1131" s="13"/>
      <c r="U1131" s="13"/>
      <c r="V1131" s="13"/>
      <c r="W1131" s="13"/>
      <c r="AY1131" s="10"/>
      <c r="AZ1131" s="10"/>
      <c r="BK1131" s="10"/>
      <c r="BM1131" s="20"/>
    </row>
    <row r="1132" spans="1:65" ht="15" x14ac:dyDescent="0.25">
      <c r="A1132" s="70"/>
      <c r="B1132" s="70"/>
      <c r="C1132" s="71"/>
      <c r="D1132" s="71"/>
      <c r="E1132" s="71"/>
      <c r="F1132" s="71"/>
      <c r="G1132" s="71"/>
      <c r="H1132" s="71"/>
      <c r="I1132" s="71"/>
      <c r="J1132" s="71"/>
      <c r="K1132" s="71"/>
      <c r="L1132" s="71"/>
      <c r="M1132" s="71"/>
      <c r="N1132" s="19"/>
      <c r="O1132" s="13"/>
      <c r="P1132" s="13"/>
      <c r="Q1132" s="13"/>
      <c r="R1132" s="13"/>
      <c r="S1132" s="13"/>
      <c r="T1132" s="13"/>
      <c r="U1132" s="13"/>
      <c r="V1132" s="13"/>
      <c r="W1132" s="13"/>
      <c r="AY1132" s="10"/>
      <c r="AZ1132" s="10"/>
      <c r="BK1132" s="10"/>
      <c r="BM1132" s="20"/>
    </row>
    <row r="1133" spans="1:65" ht="15" x14ac:dyDescent="0.25">
      <c r="A1133" s="70"/>
      <c r="B1133" s="70"/>
      <c r="C1133" s="71"/>
      <c r="D1133" s="71"/>
      <c r="E1133" s="71"/>
      <c r="F1133" s="71"/>
      <c r="G1133" s="71"/>
      <c r="H1133" s="71"/>
      <c r="I1133" s="71"/>
      <c r="J1133" s="71"/>
      <c r="K1133" s="71"/>
      <c r="L1133" s="71"/>
      <c r="M1133" s="71"/>
      <c r="N1133" s="19"/>
      <c r="O1133" s="13"/>
      <c r="P1133" s="13"/>
      <c r="Q1133" s="13"/>
      <c r="R1133" s="13"/>
      <c r="S1133" s="13"/>
      <c r="T1133" s="13"/>
      <c r="U1133" s="13"/>
      <c r="V1133" s="13"/>
      <c r="W1133" s="13"/>
      <c r="AY1133" s="10"/>
      <c r="AZ1133" s="10"/>
      <c r="BK1133" s="10"/>
      <c r="BM1133" s="20"/>
    </row>
    <row r="1134" spans="1:65" ht="15" x14ac:dyDescent="0.25">
      <c r="A1134" s="70"/>
      <c r="B1134" s="70"/>
      <c r="C1134" s="71"/>
      <c r="D1134" s="71"/>
      <c r="E1134" s="71"/>
      <c r="F1134" s="71"/>
      <c r="G1134" s="71"/>
      <c r="H1134" s="71"/>
      <c r="I1134" s="71"/>
      <c r="J1134" s="71"/>
      <c r="K1134" s="71"/>
      <c r="L1134" s="71"/>
      <c r="M1134" s="71"/>
      <c r="N1134" s="19"/>
      <c r="O1134" s="13"/>
      <c r="P1134" s="13"/>
      <c r="Q1134" s="13"/>
      <c r="R1134" s="13"/>
      <c r="S1134" s="13"/>
      <c r="T1134" s="13"/>
      <c r="U1134" s="13"/>
      <c r="V1134" s="13"/>
      <c r="W1134" s="13"/>
      <c r="AY1134" s="10"/>
      <c r="AZ1134" s="10"/>
      <c r="BK1134" s="10"/>
      <c r="BM1134" s="20"/>
    </row>
    <row r="1135" spans="1:65" ht="15" x14ac:dyDescent="0.25">
      <c r="A1135" s="70"/>
      <c r="B1135" s="70"/>
      <c r="C1135" s="71"/>
      <c r="D1135" s="71"/>
      <c r="E1135" s="71"/>
      <c r="F1135" s="71"/>
      <c r="G1135" s="71"/>
      <c r="H1135" s="71"/>
      <c r="I1135" s="71"/>
      <c r="J1135" s="71"/>
      <c r="K1135" s="71"/>
      <c r="L1135" s="71"/>
      <c r="M1135" s="71"/>
      <c r="N1135" s="19"/>
      <c r="O1135" s="13"/>
      <c r="P1135" s="13"/>
      <c r="Q1135" s="13"/>
      <c r="R1135" s="13"/>
      <c r="S1135" s="13"/>
      <c r="T1135" s="13"/>
      <c r="U1135" s="13"/>
      <c r="V1135" s="13"/>
      <c r="W1135" s="13"/>
      <c r="AY1135" s="10"/>
      <c r="AZ1135" s="10"/>
      <c r="BK1135" s="10"/>
      <c r="BM1135" s="20"/>
    </row>
    <row r="1136" spans="1:65" ht="15" x14ac:dyDescent="0.25">
      <c r="A1136" s="70"/>
      <c r="B1136" s="70"/>
      <c r="C1136" s="71"/>
      <c r="D1136" s="71"/>
      <c r="E1136" s="71"/>
      <c r="F1136" s="71"/>
      <c r="G1136" s="71"/>
      <c r="H1136" s="71"/>
      <c r="I1136" s="71"/>
      <c r="J1136" s="71"/>
      <c r="K1136" s="71"/>
      <c r="L1136" s="71"/>
      <c r="M1136" s="71"/>
      <c r="N1136" s="19"/>
      <c r="O1136" s="13"/>
      <c r="P1136" s="13"/>
      <c r="Q1136" s="13"/>
      <c r="R1136" s="13"/>
      <c r="S1136" s="13"/>
      <c r="T1136" s="13"/>
      <c r="U1136" s="13"/>
      <c r="V1136" s="13"/>
      <c r="W1136" s="13"/>
      <c r="AY1136" s="10"/>
      <c r="AZ1136" s="10"/>
      <c r="BK1136" s="10"/>
      <c r="BM1136" s="20"/>
    </row>
    <row r="1137" spans="1:65" ht="15" x14ac:dyDescent="0.25">
      <c r="A1137" s="70"/>
      <c r="B1137" s="70"/>
      <c r="C1137" s="71"/>
      <c r="D1137" s="71"/>
      <c r="E1137" s="71"/>
      <c r="F1137" s="71"/>
      <c r="G1137" s="71"/>
      <c r="H1137" s="71"/>
      <c r="I1137" s="71"/>
      <c r="J1137" s="71"/>
      <c r="K1137" s="71"/>
      <c r="L1137" s="71"/>
      <c r="M1137" s="71"/>
      <c r="N1137" s="19"/>
      <c r="O1137" s="13"/>
      <c r="P1137" s="13"/>
      <c r="Q1137" s="13"/>
      <c r="R1137" s="13"/>
      <c r="S1137" s="13"/>
      <c r="T1137" s="13"/>
      <c r="U1137" s="13"/>
      <c r="V1137" s="13"/>
      <c r="W1137" s="13"/>
      <c r="AY1137" s="10"/>
      <c r="AZ1137" s="10"/>
      <c r="BK1137" s="10"/>
      <c r="BM1137" s="20"/>
    </row>
    <row r="1138" spans="1:65" ht="15" x14ac:dyDescent="0.25">
      <c r="A1138" s="70"/>
      <c r="B1138" s="70"/>
      <c r="C1138" s="71"/>
      <c r="D1138" s="71"/>
      <c r="E1138" s="71"/>
      <c r="F1138" s="71"/>
      <c r="G1138" s="71"/>
      <c r="H1138" s="71"/>
      <c r="I1138" s="71"/>
      <c r="J1138" s="71"/>
      <c r="K1138" s="71"/>
      <c r="L1138" s="71"/>
      <c r="M1138" s="71"/>
      <c r="N1138" s="19"/>
      <c r="O1138" s="13"/>
      <c r="P1138" s="13"/>
      <c r="Q1138" s="13"/>
      <c r="R1138" s="13"/>
      <c r="S1138" s="13"/>
      <c r="T1138" s="13"/>
      <c r="U1138" s="13"/>
      <c r="V1138" s="13"/>
      <c r="W1138" s="13"/>
      <c r="AY1138" s="10"/>
      <c r="AZ1138" s="10"/>
      <c r="BK1138" s="10"/>
      <c r="BM1138" s="20"/>
    </row>
    <row r="1139" spans="1:65" ht="15" x14ac:dyDescent="0.25">
      <c r="A1139" s="70"/>
      <c r="B1139" s="70"/>
      <c r="C1139" s="71"/>
      <c r="D1139" s="71"/>
      <c r="E1139" s="71"/>
      <c r="F1139" s="71"/>
      <c r="G1139" s="71"/>
      <c r="H1139" s="71"/>
      <c r="I1139" s="71"/>
      <c r="J1139" s="71"/>
      <c r="K1139" s="71"/>
      <c r="L1139" s="71"/>
      <c r="M1139" s="71"/>
      <c r="N1139" s="19"/>
      <c r="O1139" s="13"/>
      <c r="P1139" s="13"/>
      <c r="Q1139" s="13"/>
      <c r="R1139" s="13"/>
      <c r="S1139" s="13"/>
      <c r="T1139" s="13"/>
      <c r="U1139" s="13"/>
      <c r="V1139" s="13"/>
      <c r="W1139" s="13"/>
      <c r="AY1139" s="10"/>
      <c r="AZ1139" s="10"/>
      <c r="BK1139" s="10"/>
      <c r="BM1139" s="20"/>
    </row>
    <row r="1140" spans="1:65" ht="15" x14ac:dyDescent="0.25">
      <c r="A1140" s="70"/>
      <c r="B1140" s="70"/>
      <c r="C1140" s="71"/>
      <c r="D1140" s="71"/>
      <c r="E1140" s="71"/>
      <c r="F1140" s="71"/>
      <c r="G1140" s="71"/>
      <c r="H1140" s="71"/>
      <c r="I1140" s="71"/>
      <c r="J1140" s="71"/>
      <c r="K1140" s="71"/>
      <c r="L1140" s="71"/>
      <c r="M1140" s="71"/>
      <c r="N1140" s="19"/>
      <c r="O1140" s="13"/>
      <c r="P1140" s="13"/>
      <c r="Q1140" s="13"/>
      <c r="R1140" s="13"/>
      <c r="S1140" s="13"/>
      <c r="T1140" s="13"/>
      <c r="U1140" s="13"/>
      <c r="V1140" s="13"/>
      <c r="W1140" s="13"/>
      <c r="AY1140" s="10"/>
      <c r="AZ1140" s="10"/>
      <c r="BK1140" s="10"/>
      <c r="BM1140" s="20"/>
    </row>
    <row r="1141" spans="1:65" ht="15" x14ac:dyDescent="0.25">
      <c r="A1141" s="70"/>
      <c r="B1141" s="70"/>
      <c r="C1141" s="71"/>
      <c r="D1141" s="71"/>
      <c r="E1141" s="71"/>
      <c r="F1141" s="71"/>
      <c r="G1141" s="71"/>
      <c r="H1141" s="71"/>
      <c r="I1141" s="71"/>
      <c r="J1141" s="71"/>
      <c r="K1141" s="71"/>
      <c r="L1141" s="71"/>
      <c r="M1141" s="71"/>
      <c r="N1141" s="19"/>
      <c r="O1141" s="13"/>
      <c r="P1141" s="13"/>
      <c r="Q1141" s="13"/>
      <c r="R1141" s="13"/>
      <c r="S1141" s="13"/>
      <c r="T1141" s="13"/>
      <c r="U1141" s="13"/>
      <c r="V1141" s="13"/>
      <c r="W1141" s="13"/>
      <c r="AY1141" s="10"/>
      <c r="AZ1141" s="10"/>
      <c r="BK1141" s="10"/>
      <c r="BM1141" s="20"/>
    </row>
    <row r="1142" spans="1:65" ht="15" x14ac:dyDescent="0.25">
      <c r="A1142" s="70"/>
      <c r="B1142" s="70"/>
      <c r="C1142" s="71"/>
      <c r="D1142" s="71"/>
      <c r="E1142" s="71"/>
      <c r="F1142" s="71"/>
      <c r="G1142" s="71"/>
      <c r="H1142" s="71"/>
      <c r="I1142" s="71"/>
      <c r="J1142" s="71"/>
      <c r="K1142" s="71"/>
      <c r="L1142" s="71"/>
      <c r="M1142" s="71"/>
      <c r="N1142" s="19"/>
      <c r="O1142" s="13"/>
      <c r="P1142" s="13"/>
      <c r="Q1142" s="13"/>
      <c r="R1142" s="13"/>
      <c r="S1142" s="13"/>
      <c r="T1142" s="13"/>
      <c r="U1142" s="13"/>
      <c r="V1142" s="13"/>
      <c r="W1142" s="13"/>
      <c r="AY1142" s="10"/>
      <c r="AZ1142" s="10"/>
      <c r="BK1142" s="10"/>
      <c r="BM1142" s="20"/>
    </row>
    <row r="1143" spans="1:65" ht="15" x14ac:dyDescent="0.25">
      <c r="A1143" s="70"/>
      <c r="B1143" s="70"/>
      <c r="C1143" s="71"/>
      <c r="D1143" s="71"/>
      <c r="E1143" s="71"/>
      <c r="F1143" s="71"/>
      <c r="G1143" s="71"/>
      <c r="H1143" s="71"/>
      <c r="I1143" s="71"/>
      <c r="J1143" s="71"/>
      <c r="K1143" s="71"/>
      <c r="L1143" s="71"/>
      <c r="M1143" s="71"/>
      <c r="N1143" s="19"/>
      <c r="O1143" s="13"/>
      <c r="P1143" s="13"/>
      <c r="Q1143" s="13"/>
      <c r="R1143" s="13"/>
      <c r="S1143" s="13"/>
      <c r="T1143" s="13"/>
      <c r="U1143" s="13"/>
      <c r="V1143" s="13"/>
      <c r="W1143" s="13"/>
      <c r="AY1143" s="10"/>
      <c r="AZ1143" s="10"/>
      <c r="BK1143" s="10"/>
      <c r="BM1143" s="20"/>
    </row>
    <row r="1144" spans="1:65" ht="15" x14ac:dyDescent="0.25">
      <c r="A1144" s="70"/>
      <c r="B1144" s="70"/>
      <c r="C1144" s="71"/>
      <c r="D1144" s="71"/>
      <c r="E1144" s="71"/>
      <c r="F1144" s="71"/>
      <c r="G1144" s="71"/>
      <c r="H1144" s="71"/>
      <c r="I1144" s="71"/>
      <c r="J1144" s="71"/>
      <c r="K1144" s="71"/>
      <c r="L1144" s="71"/>
      <c r="M1144" s="71"/>
      <c r="N1144" s="19"/>
      <c r="O1144" s="13"/>
      <c r="P1144" s="13"/>
      <c r="Q1144" s="13"/>
      <c r="R1144" s="13"/>
      <c r="S1144" s="13"/>
      <c r="T1144" s="13"/>
      <c r="U1144" s="13"/>
      <c r="V1144" s="13"/>
      <c r="W1144" s="13"/>
      <c r="AY1144" s="10"/>
      <c r="AZ1144" s="10"/>
      <c r="BK1144" s="10"/>
      <c r="BM1144" s="20"/>
    </row>
    <row r="1145" spans="1:65" ht="15" x14ac:dyDescent="0.25">
      <c r="A1145" s="70"/>
      <c r="B1145" s="70"/>
      <c r="C1145" s="71"/>
      <c r="D1145" s="71"/>
      <c r="E1145" s="71"/>
      <c r="F1145" s="71"/>
      <c r="G1145" s="71"/>
      <c r="H1145" s="71"/>
      <c r="I1145" s="71"/>
      <c r="J1145" s="71"/>
      <c r="K1145" s="71"/>
      <c r="L1145" s="71"/>
      <c r="M1145" s="71"/>
      <c r="N1145" s="19"/>
      <c r="O1145" s="13"/>
      <c r="P1145" s="13"/>
      <c r="Q1145" s="13"/>
      <c r="R1145" s="13"/>
      <c r="S1145" s="13"/>
      <c r="T1145" s="13"/>
      <c r="U1145" s="13"/>
      <c r="V1145" s="13"/>
      <c r="W1145" s="13"/>
      <c r="AY1145" s="10"/>
      <c r="AZ1145" s="10"/>
      <c r="BK1145" s="10"/>
      <c r="BM1145" s="20"/>
    </row>
    <row r="1146" spans="1:65" ht="15" x14ac:dyDescent="0.25">
      <c r="A1146" s="70"/>
      <c r="B1146" s="70"/>
      <c r="C1146" s="71"/>
      <c r="D1146" s="71"/>
      <c r="E1146" s="71"/>
      <c r="F1146" s="71"/>
      <c r="G1146" s="71"/>
      <c r="H1146" s="71"/>
      <c r="I1146" s="71"/>
      <c r="J1146" s="71"/>
      <c r="K1146" s="71"/>
      <c r="L1146" s="71"/>
      <c r="M1146" s="71"/>
      <c r="N1146" s="19"/>
      <c r="O1146" s="13"/>
      <c r="P1146" s="13"/>
      <c r="Q1146" s="13"/>
      <c r="R1146" s="13"/>
      <c r="S1146" s="13"/>
      <c r="T1146" s="13"/>
      <c r="U1146" s="13"/>
      <c r="V1146" s="13"/>
      <c r="W1146" s="13"/>
      <c r="AY1146" s="10"/>
      <c r="AZ1146" s="10"/>
      <c r="BK1146" s="10"/>
      <c r="BM1146" s="20"/>
    </row>
    <row r="1147" spans="1:65" ht="15" x14ac:dyDescent="0.25">
      <c r="A1147" s="70"/>
      <c r="B1147" s="70"/>
      <c r="C1147" s="71"/>
      <c r="D1147" s="71"/>
      <c r="E1147" s="71"/>
      <c r="F1147" s="71"/>
      <c r="G1147" s="71"/>
      <c r="H1147" s="71"/>
      <c r="I1147" s="71"/>
      <c r="J1147" s="71"/>
      <c r="K1147" s="71"/>
      <c r="L1147" s="71"/>
      <c r="M1147" s="71"/>
      <c r="N1147" s="19"/>
      <c r="O1147" s="13"/>
      <c r="P1147" s="13"/>
      <c r="Q1147" s="13"/>
      <c r="R1147" s="13"/>
      <c r="S1147" s="13"/>
      <c r="T1147" s="13"/>
      <c r="U1147" s="13"/>
      <c r="V1147" s="13"/>
      <c r="W1147" s="13"/>
      <c r="AY1147" s="10"/>
      <c r="AZ1147" s="10"/>
      <c r="BK1147" s="10"/>
      <c r="BM1147" s="20"/>
    </row>
    <row r="1148" spans="1:65" ht="15" x14ac:dyDescent="0.25">
      <c r="A1148" s="70"/>
      <c r="B1148" s="70"/>
      <c r="C1148" s="71"/>
      <c r="D1148" s="71"/>
      <c r="E1148" s="71"/>
      <c r="F1148" s="71"/>
      <c r="G1148" s="71"/>
      <c r="H1148" s="71"/>
      <c r="I1148" s="71"/>
      <c r="J1148" s="71"/>
      <c r="K1148" s="71"/>
      <c r="L1148" s="71"/>
      <c r="M1148" s="71"/>
      <c r="N1148" s="19"/>
      <c r="O1148" s="13"/>
      <c r="P1148" s="13"/>
      <c r="Q1148" s="13"/>
      <c r="R1148" s="13"/>
      <c r="S1148" s="13"/>
      <c r="T1148" s="13"/>
      <c r="U1148" s="13"/>
      <c r="V1148" s="13"/>
      <c r="W1148" s="13"/>
      <c r="AY1148" s="10"/>
      <c r="AZ1148" s="10"/>
      <c r="BK1148" s="10"/>
      <c r="BM1148" s="20"/>
    </row>
    <row r="1149" spans="1:65" ht="15" x14ac:dyDescent="0.25">
      <c r="A1149" s="70"/>
      <c r="B1149" s="70"/>
      <c r="C1149" s="71"/>
      <c r="D1149" s="71"/>
      <c r="E1149" s="71"/>
      <c r="F1149" s="71"/>
      <c r="G1149" s="71"/>
      <c r="H1149" s="71"/>
      <c r="I1149" s="71"/>
      <c r="J1149" s="71"/>
      <c r="K1149" s="71"/>
      <c r="L1149" s="71"/>
      <c r="M1149" s="71"/>
      <c r="N1149" s="19"/>
      <c r="O1149" s="13"/>
      <c r="P1149" s="13"/>
      <c r="Q1149" s="13"/>
      <c r="R1149" s="13"/>
      <c r="S1149" s="13"/>
      <c r="T1149" s="13"/>
      <c r="U1149" s="13"/>
      <c r="V1149" s="13"/>
      <c r="W1149" s="13"/>
      <c r="AY1149" s="10"/>
      <c r="AZ1149" s="10"/>
      <c r="BK1149" s="10"/>
      <c r="BM1149" s="20"/>
    </row>
    <row r="1150" spans="1:65" ht="15" x14ac:dyDescent="0.25">
      <c r="A1150" s="70"/>
      <c r="B1150" s="70"/>
      <c r="C1150" s="71"/>
      <c r="D1150" s="71"/>
      <c r="E1150" s="71"/>
      <c r="F1150" s="71"/>
      <c r="G1150" s="71"/>
      <c r="H1150" s="71"/>
      <c r="I1150" s="71"/>
      <c r="J1150" s="71"/>
      <c r="K1150" s="71"/>
      <c r="L1150" s="71"/>
      <c r="M1150" s="71"/>
      <c r="N1150" s="19"/>
      <c r="O1150" s="13"/>
      <c r="P1150" s="13"/>
      <c r="Q1150" s="13"/>
      <c r="R1150" s="13"/>
      <c r="S1150" s="13"/>
      <c r="T1150" s="13"/>
      <c r="U1150" s="13"/>
      <c r="V1150" s="13"/>
      <c r="W1150" s="13"/>
      <c r="AY1150" s="10"/>
      <c r="AZ1150" s="10"/>
      <c r="BK1150" s="10"/>
      <c r="BM1150" s="20"/>
    </row>
    <row r="1151" spans="1:65" ht="15" x14ac:dyDescent="0.25">
      <c r="A1151" s="70"/>
      <c r="B1151" s="70"/>
      <c r="C1151" s="71"/>
      <c r="D1151" s="71"/>
      <c r="E1151" s="71"/>
      <c r="F1151" s="71"/>
      <c r="G1151" s="71"/>
      <c r="H1151" s="71"/>
      <c r="I1151" s="71"/>
      <c r="J1151" s="71"/>
      <c r="K1151" s="71"/>
      <c r="L1151" s="71"/>
      <c r="M1151" s="71"/>
      <c r="N1151" s="19"/>
      <c r="O1151" s="13"/>
      <c r="P1151" s="13"/>
      <c r="Q1151" s="13"/>
      <c r="R1151" s="13"/>
      <c r="S1151" s="13"/>
      <c r="T1151" s="13"/>
      <c r="U1151" s="13"/>
      <c r="V1151" s="13"/>
      <c r="W1151" s="13"/>
      <c r="AY1151" s="10"/>
      <c r="AZ1151" s="10"/>
      <c r="BK1151" s="10"/>
      <c r="BM1151" s="20"/>
    </row>
    <row r="1152" spans="1:65" ht="15" x14ac:dyDescent="0.25">
      <c r="A1152" s="70"/>
      <c r="B1152" s="70"/>
      <c r="C1152" s="71"/>
      <c r="D1152" s="71"/>
      <c r="E1152" s="71"/>
      <c r="F1152" s="71"/>
      <c r="G1152" s="71"/>
      <c r="H1152" s="71"/>
      <c r="I1152" s="71"/>
      <c r="J1152" s="71"/>
      <c r="K1152" s="71"/>
      <c r="L1152" s="71"/>
      <c r="M1152" s="71"/>
      <c r="N1152" s="19"/>
      <c r="O1152" s="13"/>
      <c r="P1152" s="13"/>
      <c r="Q1152" s="13"/>
      <c r="R1152" s="13"/>
      <c r="S1152" s="13"/>
      <c r="T1152" s="13"/>
      <c r="U1152" s="13"/>
      <c r="V1152" s="13"/>
      <c r="W1152" s="13"/>
      <c r="AY1152" s="10"/>
      <c r="AZ1152" s="10"/>
      <c r="BK1152" s="10"/>
      <c r="BM1152" s="20"/>
    </row>
    <row r="1153" spans="1:65" ht="15" x14ac:dyDescent="0.25">
      <c r="A1153" s="70"/>
      <c r="B1153" s="70"/>
      <c r="C1153" s="71"/>
      <c r="D1153" s="71"/>
      <c r="E1153" s="71"/>
      <c r="F1153" s="71"/>
      <c r="G1153" s="71"/>
      <c r="H1153" s="71"/>
      <c r="I1153" s="71"/>
      <c r="J1153" s="71"/>
      <c r="K1153" s="71"/>
      <c r="L1153" s="71"/>
      <c r="M1153" s="71"/>
      <c r="N1153" s="19"/>
      <c r="O1153" s="13"/>
      <c r="P1153" s="13"/>
      <c r="Q1153" s="13"/>
      <c r="R1153" s="13"/>
      <c r="S1153" s="13"/>
      <c r="T1153" s="13"/>
      <c r="U1153" s="13"/>
      <c r="V1153" s="13"/>
      <c r="W1153" s="13"/>
      <c r="AY1153" s="10"/>
      <c r="AZ1153" s="10"/>
      <c r="BK1153" s="10"/>
      <c r="BM1153" s="20"/>
    </row>
    <row r="1154" spans="1:65" ht="15" x14ac:dyDescent="0.25">
      <c r="A1154" s="70"/>
      <c r="B1154" s="70"/>
      <c r="C1154" s="71"/>
      <c r="D1154" s="71"/>
      <c r="E1154" s="71"/>
      <c r="F1154" s="71"/>
      <c r="G1154" s="71"/>
      <c r="H1154" s="71"/>
      <c r="I1154" s="71"/>
      <c r="J1154" s="71"/>
      <c r="K1154" s="71"/>
      <c r="L1154" s="71"/>
      <c r="M1154" s="71"/>
      <c r="N1154" s="19"/>
      <c r="O1154" s="13"/>
      <c r="P1154" s="13"/>
      <c r="Q1154" s="13"/>
      <c r="R1154" s="13"/>
      <c r="S1154" s="13"/>
      <c r="T1154" s="13"/>
      <c r="U1154" s="13"/>
      <c r="V1154" s="13"/>
      <c r="W1154" s="13"/>
      <c r="AY1154" s="10"/>
      <c r="AZ1154" s="10"/>
      <c r="BK1154" s="10"/>
      <c r="BM1154" s="20"/>
    </row>
    <row r="1155" spans="1:65" ht="15" x14ac:dyDescent="0.25">
      <c r="A1155" s="70"/>
      <c r="B1155" s="70"/>
      <c r="C1155" s="71"/>
      <c r="D1155" s="71"/>
      <c r="E1155" s="71"/>
      <c r="F1155" s="71"/>
      <c r="G1155" s="71"/>
      <c r="H1155" s="71"/>
      <c r="I1155" s="71"/>
      <c r="J1155" s="71"/>
      <c r="K1155" s="71"/>
      <c r="L1155" s="71"/>
      <c r="M1155" s="71"/>
      <c r="N1155" s="19"/>
      <c r="O1155" s="13"/>
      <c r="P1155" s="13"/>
      <c r="Q1155" s="13"/>
      <c r="R1155" s="13"/>
      <c r="S1155" s="13"/>
      <c r="T1155" s="13"/>
      <c r="U1155" s="13"/>
      <c r="V1155" s="13"/>
      <c r="W1155" s="13"/>
      <c r="AY1155" s="10"/>
      <c r="AZ1155" s="10"/>
      <c r="BK1155" s="10"/>
      <c r="BM1155" s="20"/>
    </row>
    <row r="1156" spans="1:65" ht="15" x14ac:dyDescent="0.25">
      <c r="A1156" s="70"/>
      <c r="B1156" s="70"/>
      <c r="C1156" s="71"/>
      <c r="D1156" s="71"/>
      <c r="E1156" s="71"/>
      <c r="F1156" s="71"/>
      <c r="G1156" s="71"/>
      <c r="H1156" s="71"/>
      <c r="I1156" s="71"/>
      <c r="J1156" s="71"/>
      <c r="K1156" s="71"/>
      <c r="L1156" s="71"/>
      <c r="M1156" s="71"/>
      <c r="N1156" s="19"/>
      <c r="O1156" s="13"/>
      <c r="P1156" s="13"/>
      <c r="Q1156" s="13"/>
      <c r="R1156" s="13"/>
      <c r="S1156" s="13"/>
      <c r="T1156" s="13"/>
      <c r="U1156" s="13"/>
      <c r="V1156" s="13"/>
      <c r="W1156" s="13"/>
      <c r="AY1156" s="10"/>
      <c r="AZ1156" s="10"/>
      <c r="BK1156" s="10"/>
      <c r="BM1156" s="20"/>
    </row>
    <row r="1157" spans="1:65" ht="15" x14ac:dyDescent="0.25">
      <c r="A1157" s="70"/>
      <c r="B1157" s="70"/>
      <c r="C1157" s="71"/>
      <c r="D1157" s="71"/>
      <c r="E1157" s="71"/>
      <c r="F1157" s="71"/>
      <c r="G1157" s="71"/>
      <c r="H1157" s="71"/>
      <c r="I1157" s="71"/>
      <c r="J1157" s="71"/>
      <c r="K1157" s="71"/>
      <c r="L1157" s="71"/>
      <c r="M1157" s="71"/>
      <c r="N1157" s="19"/>
      <c r="O1157" s="13"/>
      <c r="P1157" s="13"/>
      <c r="Q1157" s="13"/>
      <c r="R1157" s="13"/>
      <c r="S1157" s="13"/>
      <c r="T1157" s="13"/>
      <c r="U1157" s="13"/>
      <c r="V1157" s="13"/>
      <c r="W1157" s="13"/>
      <c r="AY1157" s="10"/>
      <c r="AZ1157" s="10"/>
      <c r="BK1157" s="10"/>
      <c r="BM1157" s="20"/>
    </row>
    <row r="1158" spans="1:65" ht="15" x14ac:dyDescent="0.25">
      <c r="A1158" s="70"/>
      <c r="B1158" s="70"/>
      <c r="C1158" s="71"/>
      <c r="D1158" s="71"/>
      <c r="E1158" s="71"/>
      <c r="F1158" s="71"/>
      <c r="G1158" s="71"/>
      <c r="H1158" s="71"/>
      <c r="I1158" s="71"/>
      <c r="J1158" s="71"/>
      <c r="K1158" s="71"/>
      <c r="L1158" s="71"/>
      <c r="M1158" s="71"/>
      <c r="N1158" s="19"/>
      <c r="O1158" s="13"/>
      <c r="P1158" s="13"/>
      <c r="Q1158" s="13"/>
      <c r="R1158" s="13"/>
      <c r="S1158" s="13"/>
      <c r="T1158" s="13"/>
      <c r="U1158" s="13"/>
      <c r="V1158" s="13"/>
      <c r="W1158" s="13"/>
      <c r="AY1158" s="10"/>
      <c r="AZ1158" s="10"/>
      <c r="BK1158" s="10"/>
      <c r="BM1158" s="20"/>
    </row>
    <row r="1159" spans="1:65" ht="15" x14ac:dyDescent="0.25">
      <c r="A1159" s="70"/>
      <c r="B1159" s="70"/>
      <c r="C1159" s="71"/>
      <c r="D1159" s="71"/>
      <c r="E1159" s="71"/>
      <c r="F1159" s="71"/>
      <c r="G1159" s="71"/>
      <c r="H1159" s="71"/>
      <c r="I1159" s="71"/>
      <c r="J1159" s="71"/>
      <c r="K1159" s="71"/>
      <c r="L1159" s="71"/>
      <c r="M1159" s="71"/>
      <c r="N1159" s="19"/>
      <c r="O1159" s="13"/>
      <c r="P1159" s="13"/>
      <c r="Q1159" s="13"/>
      <c r="R1159" s="13"/>
      <c r="S1159" s="13"/>
      <c r="T1159" s="13"/>
      <c r="U1159" s="13"/>
      <c r="V1159" s="13"/>
      <c r="W1159" s="13"/>
      <c r="AY1159" s="10"/>
      <c r="AZ1159" s="10"/>
      <c r="BK1159" s="10"/>
      <c r="BM1159" s="20"/>
    </row>
    <row r="1160" spans="1:65" ht="15" x14ac:dyDescent="0.25">
      <c r="A1160" s="70"/>
      <c r="B1160" s="70"/>
      <c r="C1160" s="71"/>
      <c r="D1160" s="71"/>
      <c r="E1160" s="71"/>
      <c r="F1160" s="71"/>
      <c r="G1160" s="71"/>
      <c r="H1160" s="71"/>
      <c r="I1160" s="71"/>
      <c r="J1160" s="71"/>
      <c r="K1160" s="71"/>
      <c r="L1160" s="71"/>
      <c r="M1160" s="71"/>
      <c r="N1160" s="19"/>
      <c r="O1160" s="13"/>
      <c r="P1160" s="13"/>
      <c r="Q1160" s="13"/>
      <c r="R1160" s="13"/>
      <c r="S1160" s="13"/>
      <c r="T1160" s="13"/>
      <c r="U1160" s="13"/>
      <c r="V1160" s="13"/>
      <c r="W1160" s="13"/>
      <c r="AY1160" s="10"/>
      <c r="AZ1160" s="10"/>
      <c r="BK1160" s="10"/>
      <c r="BM1160" s="20"/>
    </row>
    <row r="1161" spans="1:65" ht="15" x14ac:dyDescent="0.25">
      <c r="A1161" s="70"/>
      <c r="B1161" s="70"/>
      <c r="C1161" s="71"/>
      <c r="D1161" s="71"/>
      <c r="E1161" s="71"/>
      <c r="F1161" s="71"/>
      <c r="G1161" s="71"/>
      <c r="H1161" s="71"/>
      <c r="I1161" s="71"/>
      <c r="J1161" s="71"/>
      <c r="K1161" s="71"/>
      <c r="L1161" s="71"/>
      <c r="M1161" s="71"/>
      <c r="N1161" s="19"/>
      <c r="O1161" s="13"/>
      <c r="P1161" s="13"/>
      <c r="Q1161" s="13"/>
      <c r="R1161" s="13"/>
      <c r="S1161" s="13"/>
      <c r="T1161" s="13"/>
      <c r="U1161" s="13"/>
      <c r="V1161" s="13"/>
      <c r="W1161" s="13"/>
      <c r="AY1161" s="10"/>
      <c r="AZ1161" s="10"/>
      <c r="BK1161" s="10"/>
      <c r="BM1161" s="20"/>
    </row>
    <row r="1162" spans="1:65" ht="15" x14ac:dyDescent="0.25">
      <c r="A1162" s="70"/>
      <c r="B1162" s="70"/>
      <c r="C1162" s="71"/>
      <c r="D1162" s="71"/>
      <c r="E1162" s="71"/>
      <c r="F1162" s="71"/>
      <c r="G1162" s="71"/>
      <c r="H1162" s="71"/>
      <c r="I1162" s="71"/>
      <c r="J1162" s="71"/>
      <c r="K1162" s="71"/>
      <c r="L1162" s="71"/>
      <c r="M1162" s="71"/>
      <c r="N1162" s="19"/>
      <c r="O1162" s="13"/>
      <c r="P1162" s="13"/>
      <c r="Q1162" s="13"/>
      <c r="R1162" s="13"/>
      <c r="S1162" s="13"/>
      <c r="T1162" s="13"/>
      <c r="U1162" s="13"/>
      <c r="V1162" s="13"/>
      <c r="W1162" s="13"/>
      <c r="AY1162" s="10"/>
      <c r="AZ1162" s="10"/>
      <c r="BK1162" s="10"/>
      <c r="BM1162" s="20"/>
    </row>
    <row r="1163" spans="1:65" ht="15" x14ac:dyDescent="0.25">
      <c r="A1163" s="70"/>
      <c r="B1163" s="70"/>
      <c r="C1163" s="71"/>
      <c r="D1163" s="71"/>
      <c r="E1163" s="71"/>
      <c r="F1163" s="71"/>
      <c r="G1163" s="71"/>
      <c r="H1163" s="71"/>
      <c r="I1163" s="71"/>
      <c r="J1163" s="71"/>
      <c r="K1163" s="71"/>
      <c r="L1163" s="71"/>
      <c r="M1163" s="71"/>
      <c r="N1163" s="19"/>
      <c r="O1163" s="13"/>
      <c r="P1163" s="13"/>
      <c r="Q1163" s="13"/>
      <c r="R1163" s="13"/>
      <c r="S1163" s="13"/>
      <c r="T1163" s="13"/>
      <c r="U1163" s="13"/>
      <c r="V1163" s="13"/>
      <c r="W1163" s="13"/>
      <c r="AY1163" s="10"/>
      <c r="AZ1163" s="10"/>
      <c r="BK1163" s="10"/>
      <c r="BM1163" s="20"/>
    </row>
    <row r="1164" spans="1:65" ht="15" x14ac:dyDescent="0.25">
      <c r="A1164" s="70"/>
      <c r="B1164" s="70"/>
      <c r="C1164" s="71"/>
      <c r="D1164" s="71"/>
      <c r="E1164" s="71"/>
      <c r="F1164" s="71"/>
      <c r="G1164" s="71"/>
      <c r="H1164" s="71"/>
      <c r="I1164" s="71"/>
      <c r="J1164" s="71"/>
      <c r="K1164" s="71"/>
      <c r="L1164" s="71"/>
      <c r="M1164" s="71"/>
      <c r="N1164" s="19"/>
      <c r="O1164" s="13"/>
      <c r="P1164" s="13"/>
      <c r="Q1164" s="13"/>
      <c r="R1164" s="13"/>
      <c r="S1164" s="13"/>
      <c r="T1164" s="13"/>
      <c r="U1164" s="13"/>
      <c r="V1164" s="13"/>
      <c r="W1164" s="13"/>
      <c r="AY1164" s="10"/>
      <c r="AZ1164" s="10"/>
      <c r="BK1164" s="10"/>
      <c r="BM1164" s="20"/>
    </row>
    <row r="1165" spans="1:65" ht="15" x14ac:dyDescent="0.25">
      <c r="A1165" s="70"/>
      <c r="B1165" s="70"/>
      <c r="C1165" s="71"/>
      <c r="D1165" s="71"/>
      <c r="E1165" s="71"/>
      <c r="F1165" s="71"/>
      <c r="G1165" s="71"/>
      <c r="H1165" s="71"/>
      <c r="I1165" s="71"/>
      <c r="J1165" s="71"/>
      <c r="K1165" s="71"/>
      <c r="L1165" s="71"/>
      <c r="M1165" s="71"/>
      <c r="N1165" s="19"/>
      <c r="O1165" s="13"/>
      <c r="P1165" s="13"/>
      <c r="Q1165" s="13"/>
      <c r="R1165" s="13"/>
      <c r="S1165" s="13"/>
      <c r="T1165" s="13"/>
      <c r="U1165" s="13"/>
      <c r="V1165" s="13"/>
      <c r="W1165" s="13"/>
      <c r="AY1165" s="10"/>
      <c r="AZ1165" s="10"/>
      <c r="BK1165" s="10"/>
      <c r="BM1165" s="20"/>
    </row>
    <row r="1166" spans="1:65" ht="15" x14ac:dyDescent="0.25">
      <c r="A1166" s="70"/>
      <c r="B1166" s="70"/>
      <c r="C1166" s="71"/>
      <c r="D1166" s="71"/>
      <c r="E1166" s="71"/>
      <c r="F1166" s="71"/>
      <c r="G1166" s="71"/>
      <c r="H1166" s="71"/>
      <c r="I1166" s="71"/>
      <c r="J1166" s="71"/>
      <c r="K1166" s="71"/>
      <c r="L1166" s="71"/>
      <c r="M1166" s="71"/>
      <c r="N1166" s="19"/>
      <c r="O1166" s="13"/>
      <c r="P1166" s="13"/>
      <c r="Q1166" s="13"/>
      <c r="R1166" s="13"/>
      <c r="S1166" s="13"/>
      <c r="T1166" s="13"/>
      <c r="U1166" s="13"/>
      <c r="V1166" s="13"/>
      <c r="W1166" s="13"/>
      <c r="AY1166" s="10"/>
      <c r="AZ1166" s="10"/>
      <c r="BK1166" s="10"/>
      <c r="BM1166" s="20"/>
    </row>
    <row r="1167" spans="1:65" ht="15" x14ac:dyDescent="0.25">
      <c r="A1167" s="70"/>
      <c r="B1167" s="70"/>
      <c r="C1167" s="71"/>
      <c r="D1167" s="71"/>
      <c r="E1167" s="71"/>
      <c r="F1167" s="71"/>
      <c r="G1167" s="71"/>
      <c r="H1167" s="71"/>
      <c r="I1167" s="71"/>
      <c r="J1167" s="71"/>
      <c r="K1167" s="71"/>
      <c r="L1167" s="71"/>
      <c r="M1167" s="71"/>
      <c r="N1167" s="19"/>
      <c r="O1167" s="13"/>
      <c r="P1167" s="13"/>
      <c r="Q1167" s="13"/>
      <c r="R1167" s="13"/>
      <c r="S1167" s="13"/>
      <c r="T1167" s="13"/>
      <c r="U1167" s="13"/>
      <c r="V1167" s="13"/>
      <c r="W1167" s="13"/>
      <c r="AY1167" s="10"/>
      <c r="AZ1167" s="10"/>
      <c r="BK1167" s="10"/>
      <c r="BM1167" s="20"/>
    </row>
    <row r="1168" spans="1:65" ht="15" x14ac:dyDescent="0.25">
      <c r="A1168" s="70"/>
      <c r="B1168" s="70"/>
      <c r="C1168" s="71"/>
      <c r="D1168" s="71"/>
      <c r="E1168" s="71"/>
      <c r="F1168" s="71"/>
      <c r="G1168" s="71"/>
      <c r="H1168" s="71"/>
      <c r="I1168" s="71"/>
      <c r="J1168" s="71"/>
      <c r="K1168" s="71"/>
      <c r="L1168" s="71"/>
      <c r="M1168" s="71"/>
      <c r="N1168" s="19"/>
      <c r="O1168" s="13"/>
      <c r="P1168" s="13"/>
      <c r="Q1168" s="13"/>
      <c r="R1168" s="13"/>
      <c r="S1168" s="13"/>
      <c r="T1168" s="13"/>
      <c r="U1168" s="13"/>
      <c r="V1168" s="13"/>
      <c r="W1168" s="13"/>
      <c r="AY1168" s="10"/>
      <c r="AZ1168" s="10"/>
      <c r="BK1168" s="10"/>
      <c r="BM1168" s="20"/>
    </row>
    <row r="1169" spans="1:65" ht="15" x14ac:dyDescent="0.25">
      <c r="A1169" s="70"/>
      <c r="B1169" s="70"/>
      <c r="C1169" s="71"/>
      <c r="D1169" s="71"/>
      <c r="E1169" s="71"/>
      <c r="F1169" s="71"/>
      <c r="G1169" s="71"/>
      <c r="H1169" s="71"/>
      <c r="I1169" s="71"/>
      <c r="J1169" s="71"/>
      <c r="K1169" s="71"/>
      <c r="L1169" s="71"/>
      <c r="M1169" s="71"/>
      <c r="N1169" s="19"/>
      <c r="O1169" s="13"/>
      <c r="P1169" s="13"/>
      <c r="Q1169" s="13"/>
      <c r="R1169" s="13"/>
      <c r="S1169" s="13"/>
      <c r="T1169" s="13"/>
      <c r="U1169" s="13"/>
      <c r="V1169" s="13"/>
      <c r="W1169" s="13"/>
      <c r="AY1169" s="10"/>
      <c r="AZ1169" s="10"/>
      <c r="BK1169" s="10"/>
      <c r="BM1169" s="20"/>
    </row>
    <row r="1170" spans="1:65" ht="15" x14ac:dyDescent="0.25">
      <c r="A1170" s="70"/>
      <c r="B1170" s="70"/>
      <c r="C1170" s="71"/>
      <c r="D1170" s="71"/>
      <c r="E1170" s="71"/>
      <c r="F1170" s="71"/>
      <c r="G1170" s="71"/>
      <c r="H1170" s="71"/>
      <c r="I1170" s="71"/>
      <c r="J1170" s="71"/>
      <c r="K1170" s="71"/>
      <c r="L1170" s="71"/>
      <c r="M1170" s="71"/>
      <c r="N1170" s="19"/>
      <c r="O1170" s="13"/>
      <c r="P1170" s="13"/>
      <c r="Q1170" s="13"/>
      <c r="R1170" s="13"/>
      <c r="S1170" s="13"/>
      <c r="T1170" s="13"/>
      <c r="U1170" s="13"/>
      <c r="V1170" s="13"/>
      <c r="W1170" s="13"/>
      <c r="AY1170" s="10"/>
      <c r="AZ1170" s="10"/>
      <c r="BK1170" s="10"/>
      <c r="BM1170" s="20"/>
    </row>
    <row r="1171" spans="1:65" ht="15" x14ac:dyDescent="0.25">
      <c r="A1171" s="70"/>
      <c r="B1171" s="70"/>
      <c r="C1171" s="71"/>
      <c r="D1171" s="71"/>
      <c r="E1171" s="71"/>
      <c r="F1171" s="71"/>
      <c r="G1171" s="71"/>
      <c r="H1171" s="71"/>
      <c r="I1171" s="71"/>
      <c r="J1171" s="71"/>
      <c r="K1171" s="71"/>
      <c r="L1171" s="71"/>
      <c r="M1171" s="71"/>
      <c r="N1171" s="19"/>
      <c r="O1171" s="13"/>
      <c r="P1171" s="13"/>
      <c r="Q1171" s="13"/>
      <c r="R1171" s="13"/>
      <c r="S1171" s="13"/>
      <c r="T1171" s="13"/>
      <c r="U1171" s="13"/>
      <c r="V1171" s="13"/>
      <c r="W1171" s="13"/>
      <c r="AY1171" s="10"/>
      <c r="AZ1171" s="10"/>
      <c r="BK1171" s="10"/>
      <c r="BM1171" s="20"/>
    </row>
    <row r="1172" spans="1:65" ht="15" x14ac:dyDescent="0.25">
      <c r="A1172" s="70"/>
      <c r="B1172" s="70"/>
      <c r="C1172" s="71"/>
      <c r="D1172" s="71"/>
      <c r="E1172" s="71"/>
      <c r="F1172" s="71"/>
      <c r="G1172" s="71"/>
      <c r="H1172" s="71"/>
      <c r="I1172" s="71"/>
      <c r="J1172" s="71"/>
      <c r="K1172" s="71"/>
      <c r="L1172" s="71"/>
      <c r="M1172" s="71"/>
      <c r="N1172" s="19"/>
      <c r="O1172" s="13"/>
      <c r="P1172" s="13"/>
      <c r="Q1172" s="13"/>
      <c r="R1172" s="13"/>
      <c r="S1172" s="13"/>
      <c r="T1172" s="13"/>
      <c r="U1172" s="13"/>
      <c r="V1172" s="13"/>
      <c r="W1172" s="13"/>
      <c r="AY1172" s="10"/>
      <c r="AZ1172" s="10"/>
      <c r="BK1172" s="10"/>
      <c r="BM1172" s="20"/>
    </row>
    <row r="1173" spans="1:65" ht="15" x14ac:dyDescent="0.25">
      <c r="A1173" s="70"/>
      <c r="B1173" s="70"/>
      <c r="C1173" s="71"/>
      <c r="D1173" s="71"/>
      <c r="E1173" s="71"/>
      <c r="F1173" s="71"/>
      <c r="G1173" s="71"/>
      <c r="H1173" s="71"/>
      <c r="I1173" s="71"/>
      <c r="J1173" s="71"/>
      <c r="K1173" s="71"/>
      <c r="L1173" s="71"/>
      <c r="M1173" s="71"/>
      <c r="N1173" s="19"/>
      <c r="O1173" s="13"/>
      <c r="P1173" s="13"/>
      <c r="Q1173" s="13"/>
      <c r="R1173" s="13"/>
      <c r="S1173" s="13"/>
      <c r="T1173" s="13"/>
      <c r="U1173" s="13"/>
      <c r="V1173" s="13"/>
      <c r="W1173" s="13"/>
      <c r="AY1173" s="10"/>
      <c r="AZ1173" s="10"/>
      <c r="BK1173" s="10"/>
      <c r="BM1173" s="20"/>
    </row>
    <row r="1174" spans="1:65" ht="15" x14ac:dyDescent="0.25">
      <c r="A1174" s="70"/>
      <c r="B1174" s="70"/>
      <c r="C1174" s="71"/>
      <c r="D1174" s="71"/>
      <c r="E1174" s="71"/>
      <c r="F1174" s="71"/>
      <c r="G1174" s="71"/>
      <c r="H1174" s="71"/>
      <c r="I1174" s="71"/>
      <c r="J1174" s="71"/>
      <c r="K1174" s="71"/>
      <c r="L1174" s="71"/>
      <c r="M1174" s="71"/>
      <c r="N1174" s="19"/>
      <c r="O1174" s="13"/>
      <c r="P1174" s="13"/>
      <c r="Q1174" s="13"/>
      <c r="R1174" s="13"/>
      <c r="S1174" s="13"/>
      <c r="T1174" s="13"/>
      <c r="U1174" s="13"/>
      <c r="V1174" s="13"/>
      <c r="W1174" s="13"/>
      <c r="AY1174" s="10"/>
      <c r="AZ1174" s="10"/>
      <c r="BK1174" s="10"/>
      <c r="BM1174" s="20"/>
    </row>
    <row r="1175" spans="1:65" ht="15" x14ac:dyDescent="0.25">
      <c r="A1175" s="70"/>
      <c r="B1175" s="70"/>
      <c r="C1175" s="71"/>
      <c r="D1175" s="71"/>
      <c r="E1175" s="71"/>
      <c r="F1175" s="71"/>
      <c r="G1175" s="71"/>
      <c r="H1175" s="71"/>
      <c r="I1175" s="71"/>
      <c r="J1175" s="71"/>
      <c r="K1175" s="71"/>
      <c r="L1175" s="71"/>
      <c r="M1175" s="71"/>
      <c r="N1175" s="19"/>
      <c r="O1175" s="13"/>
      <c r="P1175" s="13"/>
      <c r="Q1175" s="13"/>
      <c r="R1175" s="13"/>
      <c r="S1175" s="13"/>
      <c r="T1175" s="13"/>
      <c r="U1175" s="13"/>
      <c r="V1175" s="13"/>
      <c r="W1175" s="13"/>
      <c r="AY1175" s="10"/>
      <c r="AZ1175" s="10"/>
      <c r="BK1175" s="10"/>
      <c r="BM1175" s="20"/>
    </row>
    <row r="1176" spans="1:65" ht="15" x14ac:dyDescent="0.25">
      <c r="A1176" s="70"/>
      <c r="B1176" s="70"/>
      <c r="C1176" s="71"/>
      <c r="D1176" s="71"/>
      <c r="E1176" s="71"/>
      <c r="F1176" s="71"/>
      <c r="G1176" s="71"/>
      <c r="H1176" s="71"/>
      <c r="I1176" s="71"/>
      <c r="J1176" s="71"/>
      <c r="K1176" s="71"/>
      <c r="L1176" s="71"/>
      <c r="M1176" s="71"/>
      <c r="N1176" s="19"/>
      <c r="O1176" s="13"/>
      <c r="P1176" s="13"/>
      <c r="Q1176" s="13"/>
      <c r="R1176" s="13"/>
      <c r="S1176" s="13"/>
      <c r="T1176" s="13"/>
      <c r="U1176" s="13"/>
      <c r="V1176" s="13"/>
      <c r="W1176" s="13"/>
      <c r="AY1176" s="10"/>
      <c r="AZ1176" s="10"/>
      <c r="BK1176" s="10"/>
      <c r="BM1176" s="20"/>
    </row>
    <row r="1177" spans="1:65" ht="15" x14ac:dyDescent="0.25">
      <c r="A1177" s="70"/>
      <c r="B1177" s="70"/>
      <c r="C1177" s="71"/>
      <c r="D1177" s="71"/>
      <c r="E1177" s="71"/>
      <c r="F1177" s="71"/>
      <c r="G1177" s="71"/>
      <c r="H1177" s="71"/>
      <c r="I1177" s="71"/>
      <c r="J1177" s="71"/>
      <c r="K1177" s="71"/>
      <c r="L1177" s="71"/>
      <c r="M1177" s="71"/>
      <c r="N1177" s="19"/>
      <c r="O1177" s="13"/>
      <c r="P1177" s="13"/>
      <c r="Q1177" s="13"/>
      <c r="R1177" s="13"/>
      <c r="S1177" s="13"/>
      <c r="T1177" s="13"/>
      <c r="U1177" s="13"/>
      <c r="V1177" s="13"/>
      <c r="W1177" s="13"/>
      <c r="AY1177" s="10"/>
      <c r="AZ1177" s="10"/>
      <c r="BK1177" s="10"/>
      <c r="BM1177" s="20"/>
    </row>
    <row r="1178" spans="1:65" ht="15" x14ac:dyDescent="0.25">
      <c r="A1178" s="70"/>
      <c r="B1178" s="70"/>
      <c r="C1178" s="71"/>
      <c r="D1178" s="71"/>
      <c r="E1178" s="71"/>
      <c r="F1178" s="71"/>
      <c r="G1178" s="71"/>
      <c r="H1178" s="71"/>
      <c r="I1178" s="71"/>
      <c r="J1178" s="71"/>
      <c r="K1178" s="71"/>
      <c r="L1178" s="71"/>
      <c r="M1178" s="71"/>
      <c r="N1178" s="19"/>
      <c r="O1178" s="13"/>
      <c r="P1178" s="13"/>
      <c r="Q1178" s="13"/>
      <c r="R1178" s="13"/>
      <c r="S1178" s="13"/>
      <c r="T1178" s="13"/>
      <c r="U1178" s="13"/>
      <c r="V1178" s="13"/>
      <c r="W1178" s="13"/>
      <c r="AY1178" s="10"/>
      <c r="AZ1178" s="10"/>
      <c r="BK1178" s="10"/>
      <c r="BM1178" s="20"/>
    </row>
    <row r="1179" spans="1:65" ht="15" x14ac:dyDescent="0.25">
      <c r="A1179" s="70"/>
      <c r="B1179" s="70"/>
      <c r="C1179" s="71"/>
      <c r="D1179" s="71"/>
      <c r="E1179" s="71"/>
      <c r="F1179" s="71"/>
      <c r="G1179" s="71"/>
      <c r="H1179" s="71"/>
      <c r="I1179" s="71"/>
      <c r="J1179" s="71"/>
      <c r="K1179" s="71"/>
      <c r="L1179" s="71"/>
      <c r="M1179" s="71"/>
      <c r="N1179" s="19"/>
      <c r="O1179" s="13"/>
      <c r="P1179" s="13"/>
      <c r="Q1179" s="13"/>
      <c r="R1179" s="13"/>
      <c r="S1179" s="13"/>
      <c r="T1179" s="13"/>
      <c r="U1179" s="13"/>
      <c r="V1179" s="13"/>
      <c r="W1179" s="13"/>
      <c r="AY1179" s="10"/>
      <c r="AZ1179" s="10"/>
      <c r="BK1179" s="10"/>
      <c r="BM1179" s="20"/>
    </row>
    <row r="1180" spans="1:65" ht="15" x14ac:dyDescent="0.25">
      <c r="A1180" s="70"/>
      <c r="B1180" s="70"/>
      <c r="C1180" s="71"/>
      <c r="D1180" s="71"/>
      <c r="E1180" s="71"/>
      <c r="F1180" s="71"/>
      <c r="G1180" s="71"/>
      <c r="H1180" s="71"/>
      <c r="I1180" s="71"/>
      <c r="J1180" s="71"/>
      <c r="K1180" s="71"/>
      <c r="L1180" s="71"/>
      <c r="M1180" s="71"/>
      <c r="N1180" s="19"/>
      <c r="O1180" s="13"/>
      <c r="P1180" s="13"/>
      <c r="Q1180" s="13"/>
      <c r="R1180" s="13"/>
      <c r="S1180" s="13"/>
      <c r="T1180" s="13"/>
      <c r="U1180" s="13"/>
      <c r="V1180" s="13"/>
      <c r="W1180" s="13"/>
      <c r="AY1180" s="10"/>
      <c r="AZ1180" s="10"/>
      <c r="BK1180" s="10"/>
      <c r="BM1180" s="20"/>
    </row>
    <row r="1181" spans="1:65" ht="15" x14ac:dyDescent="0.25">
      <c r="A1181" s="70"/>
      <c r="B1181" s="70"/>
      <c r="C1181" s="71"/>
      <c r="D1181" s="71"/>
      <c r="E1181" s="71"/>
      <c r="F1181" s="71"/>
      <c r="G1181" s="71"/>
      <c r="H1181" s="71"/>
      <c r="I1181" s="71"/>
      <c r="J1181" s="71"/>
      <c r="K1181" s="71"/>
      <c r="L1181" s="71"/>
      <c r="M1181" s="71"/>
      <c r="N1181" s="19"/>
      <c r="O1181" s="13"/>
      <c r="P1181" s="13"/>
      <c r="Q1181" s="13"/>
      <c r="R1181" s="13"/>
      <c r="S1181" s="13"/>
      <c r="T1181" s="13"/>
      <c r="U1181" s="13"/>
      <c r="V1181" s="13"/>
      <c r="W1181" s="13"/>
      <c r="AY1181" s="10"/>
      <c r="AZ1181" s="10"/>
      <c r="BK1181" s="10"/>
      <c r="BM1181" s="20"/>
    </row>
    <row r="1182" spans="1:65" ht="15" x14ac:dyDescent="0.25">
      <c r="A1182" s="70"/>
      <c r="B1182" s="70"/>
      <c r="C1182" s="71"/>
      <c r="D1182" s="71"/>
      <c r="E1182" s="71"/>
      <c r="F1182" s="71"/>
      <c r="G1182" s="71"/>
      <c r="H1182" s="71"/>
      <c r="I1182" s="71"/>
      <c r="J1182" s="71"/>
      <c r="K1182" s="71"/>
      <c r="L1182" s="71"/>
      <c r="M1182" s="71"/>
      <c r="N1182" s="19"/>
      <c r="O1182" s="13"/>
      <c r="P1182" s="13"/>
      <c r="Q1182" s="13"/>
      <c r="R1182" s="13"/>
      <c r="S1182" s="13"/>
      <c r="T1182" s="13"/>
      <c r="U1182" s="13"/>
      <c r="V1182" s="13"/>
      <c r="W1182" s="13"/>
      <c r="AY1182" s="10"/>
      <c r="AZ1182" s="10"/>
      <c r="BK1182" s="10"/>
      <c r="BM1182" s="20"/>
    </row>
    <row r="1183" spans="1:65" ht="15" x14ac:dyDescent="0.25">
      <c r="A1183" s="70"/>
      <c r="B1183" s="70"/>
      <c r="C1183" s="71"/>
      <c r="D1183" s="71"/>
      <c r="E1183" s="71"/>
      <c r="F1183" s="71"/>
      <c r="G1183" s="71"/>
      <c r="H1183" s="71"/>
      <c r="I1183" s="71"/>
      <c r="J1183" s="71"/>
      <c r="K1183" s="71"/>
      <c r="L1183" s="71"/>
      <c r="M1183" s="71"/>
      <c r="N1183" s="19"/>
      <c r="O1183" s="13"/>
      <c r="P1183" s="13"/>
      <c r="Q1183" s="13"/>
      <c r="R1183" s="13"/>
      <c r="S1183" s="13"/>
      <c r="T1183" s="13"/>
      <c r="U1183" s="13"/>
      <c r="V1183" s="13"/>
      <c r="W1183" s="13"/>
      <c r="AY1183" s="10"/>
      <c r="AZ1183" s="10"/>
      <c r="BK1183" s="10"/>
      <c r="BM1183" s="20"/>
    </row>
    <row r="1184" spans="1:65" ht="15" x14ac:dyDescent="0.25">
      <c r="A1184" s="70"/>
      <c r="B1184" s="70"/>
      <c r="C1184" s="71"/>
      <c r="D1184" s="71"/>
      <c r="E1184" s="71"/>
      <c r="F1184" s="71"/>
      <c r="G1184" s="71"/>
      <c r="H1184" s="71"/>
      <c r="I1184" s="71"/>
      <c r="J1184" s="71"/>
      <c r="K1184" s="71"/>
      <c r="L1184" s="71"/>
      <c r="M1184" s="71"/>
      <c r="N1184" s="19"/>
      <c r="O1184" s="13"/>
      <c r="P1184" s="13"/>
      <c r="Q1184" s="13"/>
      <c r="R1184" s="13"/>
      <c r="S1184" s="13"/>
      <c r="T1184" s="13"/>
      <c r="U1184" s="13"/>
      <c r="V1184" s="13"/>
      <c r="W1184" s="13"/>
      <c r="AY1184" s="10"/>
      <c r="AZ1184" s="10"/>
      <c r="BK1184" s="10"/>
      <c r="BM1184" s="20"/>
    </row>
    <row r="1185" spans="1:65" ht="15" x14ac:dyDescent="0.25">
      <c r="A1185" s="70"/>
      <c r="B1185" s="70"/>
      <c r="C1185" s="71"/>
      <c r="D1185" s="71"/>
      <c r="E1185" s="71"/>
      <c r="F1185" s="71"/>
      <c r="G1185" s="71"/>
      <c r="H1185" s="71"/>
      <c r="I1185" s="71"/>
      <c r="J1185" s="71"/>
      <c r="K1185" s="71"/>
      <c r="L1185" s="71"/>
      <c r="M1185" s="71"/>
      <c r="N1185" s="19"/>
      <c r="O1185" s="13"/>
      <c r="P1185" s="13"/>
      <c r="Q1185" s="13"/>
      <c r="R1185" s="13"/>
      <c r="S1185" s="13"/>
      <c r="T1185" s="13"/>
      <c r="U1185" s="13"/>
      <c r="V1185" s="13"/>
      <c r="W1185" s="13"/>
      <c r="AY1185" s="10"/>
      <c r="AZ1185" s="10"/>
      <c r="BK1185" s="10"/>
      <c r="BM1185" s="20"/>
    </row>
    <row r="1186" spans="1:65" ht="15" x14ac:dyDescent="0.25">
      <c r="A1186" s="70"/>
      <c r="B1186" s="70"/>
      <c r="C1186" s="71"/>
      <c r="D1186" s="71"/>
      <c r="E1186" s="71"/>
      <c r="F1186" s="71"/>
      <c r="G1186" s="71"/>
      <c r="H1186" s="71"/>
      <c r="I1186" s="71"/>
      <c r="J1186" s="71"/>
      <c r="K1186" s="71"/>
      <c r="L1186" s="71"/>
      <c r="M1186" s="71"/>
      <c r="N1186" s="19"/>
      <c r="O1186" s="13"/>
      <c r="P1186" s="13"/>
      <c r="Q1186" s="13"/>
      <c r="R1186" s="13"/>
      <c r="S1186" s="13"/>
      <c r="T1186" s="13"/>
      <c r="U1186" s="13"/>
      <c r="V1186" s="13"/>
      <c r="W1186" s="13"/>
      <c r="AY1186" s="10"/>
      <c r="AZ1186" s="10"/>
      <c r="BK1186" s="10"/>
      <c r="BM1186" s="20"/>
    </row>
    <row r="1187" spans="1:65" ht="15" x14ac:dyDescent="0.25">
      <c r="A1187" s="70"/>
      <c r="B1187" s="70"/>
      <c r="C1187" s="71"/>
      <c r="D1187" s="71"/>
      <c r="E1187" s="71"/>
      <c r="F1187" s="71"/>
      <c r="G1187" s="71"/>
      <c r="H1187" s="71"/>
      <c r="I1187" s="71"/>
      <c r="J1187" s="71"/>
      <c r="K1187" s="71"/>
      <c r="L1187" s="71"/>
      <c r="M1187" s="71"/>
      <c r="N1187" s="19"/>
      <c r="O1187" s="13"/>
      <c r="P1187" s="13"/>
      <c r="Q1187" s="13"/>
      <c r="R1187" s="13"/>
      <c r="S1187" s="13"/>
      <c r="T1187" s="13"/>
      <c r="U1187" s="13"/>
      <c r="V1187" s="13"/>
      <c r="W1187" s="13"/>
      <c r="AY1187" s="10"/>
      <c r="AZ1187" s="10"/>
      <c r="BK1187" s="10"/>
      <c r="BM1187" s="20"/>
    </row>
    <row r="1188" spans="1:65" ht="15" x14ac:dyDescent="0.25">
      <c r="A1188" s="70"/>
      <c r="B1188" s="70"/>
      <c r="C1188" s="71"/>
      <c r="D1188" s="71"/>
      <c r="E1188" s="71"/>
      <c r="F1188" s="71"/>
      <c r="G1188" s="71"/>
      <c r="H1188" s="71"/>
      <c r="I1188" s="71"/>
      <c r="J1188" s="71"/>
      <c r="K1188" s="71"/>
      <c r="L1188" s="71"/>
      <c r="M1188" s="71"/>
      <c r="N1188" s="19"/>
      <c r="O1188" s="13"/>
      <c r="P1188" s="13"/>
      <c r="Q1188" s="13"/>
      <c r="R1188" s="13"/>
      <c r="S1188" s="13"/>
      <c r="T1188" s="13"/>
      <c r="U1188" s="13"/>
      <c r="V1188" s="13"/>
      <c r="W1188" s="13"/>
      <c r="AY1188" s="10"/>
      <c r="AZ1188" s="10"/>
      <c r="BK1188" s="10"/>
      <c r="BM1188" s="20"/>
    </row>
    <row r="1189" spans="1:65" ht="15" x14ac:dyDescent="0.25">
      <c r="A1189" s="70"/>
      <c r="B1189" s="70"/>
      <c r="C1189" s="71"/>
      <c r="D1189" s="71"/>
      <c r="E1189" s="71"/>
      <c r="F1189" s="71"/>
      <c r="G1189" s="71"/>
      <c r="H1189" s="71"/>
      <c r="I1189" s="71"/>
      <c r="J1189" s="71"/>
      <c r="K1189" s="71"/>
      <c r="L1189" s="71"/>
      <c r="M1189" s="71"/>
      <c r="N1189" s="19"/>
      <c r="O1189" s="13"/>
      <c r="P1189" s="13"/>
      <c r="Q1189" s="13"/>
      <c r="R1189" s="13"/>
      <c r="S1189" s="13"/>
      <c r="T1189" s="13"/>
      <c r="U1189" s="13"/>
      <c r="V1189" s="13"/>
      <c r="W1189" s="13"/>
      <c r="AY1189" s="10"/>
      <c r="AZ1189" s="10"/>
      <c r="BK1189" s="10"/>
      <c r="BM1189" s="20"/>
    </row>
    <row r="1190" spans="1:65" ht="15" x14ac:dyDescent="0.25">
      <c r="A1190" s="70"/>
      <c r="B1190" s="70"/>
      <c r="C1190" s="71"/>
      <c r="D1190" s="71"/>
      <c r="E1190" s="71"/>
      <c r="F1190" s="71"/>
      <c r="G1190" s="71"/>
      <c r="H1190" s="71"/>
      <c r="I1190" s="71"/>
      <c r="J1190" s="71"/>
      <c r="K1190" s="71"/>
      <c r="L1190" s="71"/>
      <c r="M1190" s="71"/>
      <c r="N1190" s="19"/>
      <c r="O1190" s="13"/>
      <c r="P1190" s="13"/>
      <c r="Q1190" s="13"/>
      <c r="R1190" s="13"/>
      <c r="S1190" s="13"/>
      <c r="T1190" s="13"/>
      <c r="U1190" s="13"/>
      <c r="V1190" s="13"/>
      <c r="W1190" s="13"/>
      <c r="AY1190" s="10"/>
      <c r="AZ1190" s="10"/>
      <c r="BK1190" s="10"/>
      <c r="BM1190" s="20"/>
    </row>
    <row r="1191" spans="1:65" ht="15" x14ac:dyDescent="0.25">
      <c r="A1191" s="70"/>
      <c r="B1191" s="70"/>
      <c r="C1191" s="71"/>
      <c r="D1191" s="71"/>
      <c r="E1191" s="71"/>
      <c r="F1191" s="71"/>
      <c r="G1191" s="71"/>
      <c r="H1191" s="71"/>
      <c r="I1191" s="71"/>
      <c r="J1191" s="71"/>
      <c r="K1191" s="71"/>
      <c r="L1191" s="71"/>
      <c r="M1191" s="71"/>
      <c r="N1191" s="19"/>
      <c r="O1191" s="13"/>
      <c r="P1191" s="13"/>
      <c r="Q1191" s="13"/>
      <c r="R1191" s="13"/>
      <c r="S1191" s="13"/>
      <c r="T1191" s="13"/>
      <c r="U1191" s="13"/>
      <c r="V1191" s="13"/>
      <c r="W1191" s="13"/>
      <c r="AY1191" s="10"/>
      <c r="AZ1191" s="10"/>
      <c r="BK1191" s="10"/>
      <c r="BM1191" s="20"/>
    </row>
    <row r="1192" spans="1:65" ht="15" x14ac:dyDescent="0.25">
      <c r="A1192" s="70"/>
      <c r="B1192" s="70"/>
      <c r="C1192" s="71"/>
      <c r="D1192" s="71"/>
      <c r="E1192" s="71"/>
      <c r="F1192" s="71"/>
      <c r="G1192" s="71"/>
      <c r="H1192" s="71"/>
      <c r="I1192" s="71"/>
      <c r="J1192" s="71"/>
      <c r="K1192" s="71"/>
      <c r="L1192" s="71"/>
      <c r="M1192" s="71"/>
      <c r="N1192" s="19"/>
      <c r="O1192" s="13"/>
      <c r="P1192" s="13"/>
      <c r="Q1192" s="13"/>
      <c r="R1192" s="13"/>
      <c r="S1192" s="13"/>
      <c r="T1192" s="13"/>
      <c r="U1192" s="13"/>
      <c r="V1192" s="13"/>
      <c r="W1192" s="13"/>
      <c r="AY1192" s="10"/>
      <c r="AZ1192" s="10"/>
      <c r="BK1192" s="10"/>
      <c r="BM1192" s="20"/>
    </row>
    <row r="1193" spans="1:65" ht="15" x14ac:dyDescent="0.25">
      <c r="A1193" s="70"/>
      <c r="B1193" s="70"/>
      <c r="C1193" s="71"/>
      <c r="D1193" s="71"/>
      <c r="E1193" s="71"/>
      <c r="F1193" s="71"/>
      <c r="G1193" s="71"/>
      <c r="H1193" s="71"/>
      <c r="I1193" s="71"/>
      <c r="J1193" s="71"/>
      <c r="K1193" s="71"/>
      <c r="L1193" s="71"/>
      <c r="M1193" s="71"/>
      <c r="N1193" s="19"/>
      <c r="O1193" s="13"/>
      <c r="P1193" s="13"/>
      <c r="Q1193" s="13"/>
      <c r="R1193" s="13"/>
      <c r="S1193" s="13"/>
      <c r="T1193" s="13"/>
      <c r="U1193" s="13"/>
      <c r="V1193" s="13"/>
      <c r="W1193" s="13"/>
      <c r="AY1193" s="10"/>
      <c r="AZ1193" s="10"/>
      <c r="BK1193" s="10"/>
      <c r="BM1193" s="20"/>
    </row>
    <row r="1194" spans="1:65" ht="15" x14ac:dyDescent="0.25">
      <c r="A1194" s="70"/>
      <c r="B1194" s="70"/>
      <c r="C1194" s="71"/>
      <c r="D1194" s="71"/>
      <c r="E1194" s="71"/>
      <c r="F1194" s="71"/>
      <c r="G1194" s="71"/>
      <c r="H1194" s="71"/>
      <c r="I1194" s="71"/>
      <c r="J1194" s="71"/>
      <c r="K1194" s="71"/>
      <c r="L1194" s="71"/>
      <c r="M1194" s="71"/>
      <c r="N1194" s="19"/>
      <c r="O1194" s="13"/>
      <c r="P1194" s="13"/>
      <c r="Q1194" s="13"/>
      <c r="R1194" s="13"/>
      <c r="S1194" s="13"/>
      <c r="T1194" s="13"/>
      <c r="U1194" s="13"/>
      <c r="V1194" s="13"/>
      <c r="W1194" s="13"/>
      <c r="AY1194" s="10"/>
      <c r="AZ1194" s="10"/>
      <c r="BK1194" s="10"/>
      <c r="BM1194" s="20"/>
    </row>
    <row r="1195" spans="1:65" ht="15" x14ac:dyDescent="0.25">
      <c r="A1195" s="70"/>
      <c r="B1195" s="70"/>
      <c r="C1195" s="71"/>
      <c r="D1195" s="71"/>
      <c r="E1195" s="71"/>
      <c r="F1195" s="71"/>
      <c r="G1195" s="71"/>
      <c r="H1195" s="71"/>
      <c r="I1195" s="71"/>
      <c r="J1195" s="71"/>
      <c r="K1195" s="71"/>
      <c r="L1195" s="71"/>
      <c r="M1195" s="71"/>
      <c r="N1195" s="19"/>
      <c r="O1195" s="13"/>
      <c r="P1195" s="13"/>
      <c r="Q1195" s="13"/>
      <c r="R1195" s="13"/>
      <c r="S1195" s="13"/>
      <c r="T1195" s="13"/>
      <c r="U1195" s="13"/>
      <c r="V1195" s="13"/>
      <c r="W1195" s="13"/>
      <c r="AY1195" s="10"/>
      <c r="AZ1195" s="10"/>
      <c r="BK1195" s="10"/>
      <c r="BM1195" s="20"/>
    </row>
    <row r="1196" spans="1:65" ht="15" x14ac:dyDescent="0.25">
      <c r="A1196" s="70"/>
      <c r="B1196" s="70"/>
      <c r="C1196" s="71"/>
      <c r="D1196" s="71"/>
      <c r="E1196" s="71"/>
      <c r="F1196" s="71"/>
      <c r="G1196" s="71"/>
      <c r="H1196" s="71"/>
      <c r="I1196" s="71"/>
      <c r="J1196" s="71"/>
      <c r="K1196" s="71"/>
      <c r="L1196" s="71"/>
      <c r="M1196" s="71"/>
      <c r="N1196" s="19"/>
      <c r="O1196" s="13"/>
      <c r="P1196" s="13"/>
      <c r="Q1196" s="13"/>
      <c r="R1196" s="13"/>
      <c r="S1196" s="13"/>
      <c r="T1196" s="13"/>
      <c r="U1196" s="13"/>
      <c r="V1196" s="13"/>
      <c r="W1196" s="13"/>
      <c r="AY1196" s="10"/>
      <c r="AZ1196" s="10"/>
      <c r="BK1196" s="10"/>
      <c r="BM1196" s="20"/>
    </row>
    <row r="1197" spans="1:65" ht="15" x14ac:dyDescent="0.25">
      <c r="A1197" s="70"/>
      <c r="B1197" s="70"/>
      <c r="C1197" s="71"/>
      <c r="D1197" s="71"/>
      <c r="E1197" s="71"/>
      <c r="F1197" s="71"/>
      <c r="G1197" s="71"/>
      <c r="H1197" s="71"/>
      <c r="I1197" s="71"/>
      <c r="J1197" s="71"/>
      <c r="K1197" s="71"/>
      <c r="L1197" s="71"/>
      <c r="M1197" s="71"/>
      <c r="N1197" s="19"/>
      <c r="O1197" s="13"/>
      <c r="P1197" s="13"/>
      <c r="Q1197" s="13"/>
      <c r="R1197" s="13"/>
      <c r="S1197" s="13"/>
      <c r="T1197" s="13"/>
      <c r="U1197" s="13"/>
      <c r="V1197" s="13"/>
      <c r="W1197" s="13"/>
      <c r="AY1197" s="10"/>
      <c r="AZ1197" s="10"/>
      <c r="BK1197" s="10"/>
      <c r="BM1197" s="20"/>
    </row>
    <row r="1198" spans="1:65" ht="15" x14ac:dyDescent="0.25">
      <c r="A1198" s="70"/>
      <c r="B1198" s="70"/>
      <c r="C1198" s="71"/>
      <c r="D1198" s="71"/>
      <c r="E1198" s="71"/>
      <c r="F1198" s="71"/>
      <c r="G1198" s="71"/>
      <c r="H1198" s="71"/>
      <c r="I1198" s="71"/>
      <c r="J1198" s="71"/>
      <c r="K1198" s="71"/>
      <c r="L1198" s="71"/>
      <c r="M1198" s="71"/>
      <c r="N1198" s="19"/>
      <c r="O1198" s="13"/>
      <c r="P1198" s="13"/>
      <c r="Q1198" s="13"/>
      <c r="R1198" s="13"/>
      <c r="S1198" s="13"/>
      <c r="T1198" s="13"/>
      <c r="U1198" s="13"/>
      <c r="V1198" s="13"/>
      <c r="W1198" s="13"/>
      <c r="AY1198" s="10"/>
      <c r="AZ1198" s="10"/>
      <c r="BK1198" s="10"/>
      <c r="BM1198" s="20"/>
    </row>
    <row r="1199" spans="1:65" ht="15" x14ac:dyDescent="0.25">
      <c r="A1199" s="70"/>
      <c r="B1199" s="70"/>
      <c r="C1199" s="71"/>
      <c r="D1199" s="71"/>
      <c r="E1199" s="71"/>
      <c r="F1199" s="71"/>
      <c r="G1199" s="71"/>
      <c r="H1199" s="71"/>
      <c r="I1199" s="71"/>
      <c r="J1199" s="71"/>
      <c r="K1199" s="71"/>
      <c r="L1199" s="71"/>
      <c r="M1199" s="71"/>
      <c r="N1199" s="19"/>
      <c r="O1199" s="13"/>
      <c r="P1199" s="13"/>
      <c r="Q1199" s="13"/>
      <c r="R1199" s="13"/>
      <c r="S1199" s="13"/>
      <c r="T1199" s="13"/>
      <c r="U1199" s="13"/>
      <c r="V1199" s="13"/>
      <c r="W1199" s="13"/>
      <c r="AY1199" s="10"/>
      <c r="AZ1199" s="10"/>
      <c r="BK1199" s="10"/>
      <c r="BM1199" s="20"/>
    </row>
    <row r="1200" spans="1:65" ht="15" x14ac:dyDescent="0.25">
      <c r="A1200" s="70"/>
      <c r="B1200" s="70"/>
      <c r="C1200" s="71"/>
      <c r="D1200" s="71"/>
      <c r="E1200" s="71"/>
      <c r="F1200" s="71"/>
      <c r="G1200" s="71"/>
      <c r="H1200" s="71"/>
      <c r="I1200" s="71"/>
      <c r="J1200" s="71"/>
      <c r="K1200" s="71"/>
      <c r="L1200" s="71"/>
      <c r="M1200" s="71"/>
      <c r="N1200" s="19"/>
      <c r="O1200" s="13"/>
      <c r="P1200" s="13"/>
      <c r="Q1200" s="13"/>
      <c r="R1200" s="13"/>
      <c r="S1200" s="13"/>
      <c r="T1200" s="13"/>
      <c r="U1200" s="13"/>
      <c r="V1200" s="13"/>
      <c r="W1200" s="13"/>
      <c r="AY1200" s="10"/>
      <c r="AZ1200" s="10"/>
      <c r="BK1200" s="10"/>
      <c r="BM1200" s="20"/>
    </row>
    <row r="1201" spans="1:65" ht="15" x14ac:dyDescent="0.25">
      <c r="A1201" s="70"/>
      <c r="B1201" s="70"/>
      <c r="C1201" s="71"/>
      <c r="D1201" s="71"/>
      <c r="E1201" s="71"/>
      <c r="F1201" s="71"/>
      <c r="G1201" s="71"/>
      <c r="H1201" s="71"/>
      <c r="I1201" s="71"/>
      <c r="J1201" s="71"/>
      <c r="K1201" s="71"/>
      <c r="L1201" s="71"/>
      <c r="M1201" s="71"/>
      <c r="N1201" s="19"/>
      <c r="O1201" s="13"/>
      <c r="P1201" s="13"/>
      <c r="Q1201" s="13"/>
      <c r="R1201" s="13"/>
      <c r="S1201" s="13"/>
      <c r="T1201" s="13"/>
      <c r="U1201" s="13"/>
      <c r="V1201" s="13"/>
      <c r="W1201" s="13"/>
      <c r="AY1201" s="10"/>
      <c r="AZ1201" s="10"/>
      <c r="BK1201" s="10"/>
      <c r="BM1201" s="20"/>
    </row>
    <row r="1202" spans="1:65" ht="15" x14ac:dyDescent="0.25">
      <c r="A1202" s="70"/>
      <c r="B1202" s="70"/>
      <c r="C1202" s="71"/>
      <c r="D1202" s="71"/>
      <c r="E1202" s="71"/>
      <c r="F1202" s="71"/>
      <c r="G1202" s="71"/>
      <c r="H1202" s="71"/>
      <c r="I1202" s="71"/>
      <c r="J1202" s="71"/>
      <c r="K1202" s="71"/>
      <c r="L1202" s="71"/>
      <c r="M1202" s="71"/>
      <c r="N1202" s="19"/>
      <c r="O1202" s="13"/>
      <c r="P1202" s="13"/>
      <c r="Q1202" s="13"/>
      <c r="R1202" s="13"/>
      <c r="S1202" s="13"/>
      <c r="T1202" s="13"/>
      <c r="U1202" s="13"/>
      <c r="V1202" s="13"/>
      <c r="W1202" s="13"/>
      <c r="AY1202" s="10"/>
      <c r="AZ1202" s="10"/>
      <c r="BK1202" s="10"/>
      <c r="BM1202" s="20"/>
    </row>
    <row r="1203" spans="1:65" ht="15" x14ac:dyDescent="0.25">
      <c r="A1203" s="70"/>
      <c r="B1203" s="70"/>
      <c r="C1203" s="71"/>
      <c r="D1203" s="71"/>
      <c r="E1203" s="71"/>
      <c r="F1203" s="71"/>
      <c r="G1203" s="71"/>
      <c r="H1203" s="71"/>
      <c r="I1203" s="71"/>
      <c r="J1203" s="71"/>
      <c r="K1203" s="71"/>
      <c r="L1203" s="71"/>
      <c r="M1203" s="71"/>
      <c r="N1203" s="19"/>
      <c r="O1203" s="13"/>
      <c r="P1203" s="13"/>
      <c r="Q1203" s="13"/>
      <c r="R1203" s="13"/>
      <c r="S1203" s="13"/>
      <c r="T1203" s="13"/>
      <c r="U1203" s="13"/>
      <c r="V1203" s="13"/>
      <c r="W1203" s="13"/>
      <c r="AY1203" s="10"/>
      <c r="AZ1203" s="10"/>
      <c r="BK1203" s="10"/>
      <c r="BM1203" s="20"/>
    </row>
    <row r="1204" spans="1:65" ht="15" x14ac:dyDescent="0.25">
      <c r="A1204" s="70"/>
      <c r="B1204" s="70"/>
      <c r="C1204" s="71"/>
      <c r="D1204" s="71"/>
      <c r="E1204" s="71"/>
      <c r="F1204" s="71"/>
      <c r="G1204" s="71"/>
      <c r="H1204" s="71"/>
      <c r="I1204" s="71"/>
      <c r="J1204" s="71"/>
      <c r="K1204" s="71"/>
      <c r="L1204" s="71"/>
      <c r="M1204" s="71"/>
      <c r="N1204" s="19"/>
      <c r="O1204" s="13"/>
      <c r="P1204" s="13"/>
      <c r="Q1204" s="13"/>
      <c r="R1204" s="13"/>
      <c r="S1204" s="13"/>
      <c r="T1204" s="13"/>
      <c r="U1204" s="13"/>
      <c r="V1204" s="13"/>
      <c r="W1204" s="13"/>
      <c r="AY1204" s="10"/>
      <c r="AZ1204" s="10"/>
      <c r="BK1204" s="10"/>
      <c r="BM1204" s="20"/>
    </row>
    <row r="1205" spans="1:65" ht="15" x14ac:dyDescent="0.25">
      <c r="A1205" s="70"/>
      <c r="B1205" s="70"/>
      <c r="C1205" s="71"/>
      <c r="D1205" s="71"/>
      <c r="E1205" s="71"/>
      <c r="F1205" s="71"/>
      <c r="G1205" s="71"/>
      <c r="H1205" s="71"/>
      <c r="I1205" s="71"/>
      <c r="J1205" s="71"/>
      <c r="K1205" s="71"/>
      <c r="L1205" s="71"/>
      <c r="M1205" s="71"/>
      <c r="N1205" s="19"/>
      <c r="O1205" s="13"/>
      <c r="P1205" s="13"/>
      <c r="Q1205" s="13"/>
      <c r="R1205" s="13"/>
      <c r="S1205" s="13"/>
      <c r="T1205" s="13"/>
      <c r="U1205" s="13"/>
      <c r="V1205" s="13"/>
      <c r="W1205" s="13"/>
      <c r="AY1205" s="10"/>
      <c r="AZ1205" s="10"/>
      <c r="BK1205" s="10"/>
      <c r="BM1205" s="20"/>
    </row>
    <row r="1206" spans="1:65" ht="15" x14ac:dyDescent="0.25">
      <c r="A1206" s="70"/>
      <c r="B1206" s="70"/>
      <c r="C1206" s="71"/>
      <c r="D1206" s="71"/>
      <c r="E1206" s="71"/>
      <c r="F1206" s="71"/>
      <c r="G1206" s="71"/>
      <c r="H1206" s="71"/>
      <c r="I1206" s="71"/>
      <c r="J1206" s="71"/>
      <c r="K1206" s="71"/>
      <c r="L1206" s="71"/>
      <c r="M1206" s="71"/>
      <c r="N1206" s="19"/>
      <c r="O1206" s="13"/>
      <c r="P1206" s="13"/>
      <c r="Q1206" s="13"/>
      <c r="R1206" s="13"/>
      <c r="S1206" s="13"/>
      <c r="T1206" s="13"/>
      <c r="U1206" s="13"/>
      <c r="V1206" s="13"/>
      <c r="W1206" s="13"/>
      <c r="AY1206" s="10"/>
      <c r="AZ1206" s="10"/>
      <c r="BK1206" s="10"/>
      <c r="BM1206" s="20"/>
    </row>
    <row r="1207" spans="1:65" ht="15" x14ac:dyDescent="0.25">
      <c r="A1207" s="70"/>
      <c r="B1207" s="70"/>
      <c r="C1207" s="71"/>
      <c r="D1207" s="71"/>
      <c r="E1207" s="71"/>
      <c r="F1207" s="71"/>
      <c r="G1207" s="71"/>
      <c r="H1207" s="71"/>
      <c r="I1207" s="71"/>
      <c r="J1207" s="71"/>
      <c r="K1207" s="71"/>
      <c r="L1207" s="71"/>
      <c r="M1207" s="71"/>
      <c r="N1207" s="19"/>
      <c r="O1207" s="13"/>
      <c r="P1207" s="13"/>
      <c r="Q1207" s="13"/>
      <c r="R1207" s="13"/>
      <c r="S1207" s="13"/>
      <c r="T1207" s="13"/>
      <c r="U1207" s="13"/>
      <c r="V1207" s="13"/>
      <c r="W1207" s="13"/>
      <c r="AY1207" s="10"/>
      <c r="AZ1207" s="10"/>
      <c r="BK1207" s="10"/>
      <c r="BM1207" s="20"/>
    </row>
    <row r="1208" spans="1:65" ht="15" x14ac:dyDescent="0.25">
      <c r="A1208" s="70"/>
      <c r="B1208" s="70"/>
      <c r="C1208" s="71"/>
      <c r="D1208" s="71"/>
      <c r="E1208" s="71"/>
      <c r="F1208" s="71"/>
      <c r="G1208" s="71"/>
      <c r="H1208" s="71"/>
      <c r="I1208" s="71"/>
      <c r="J1208" s="71"/>
      <c r="K1208" s="71"/>
      <c r="L1208" s="71"/>
      <c r="M1208" s="71"/>
      <c r="N1208" s="19"/>
      <c r="O1208" s="13"/>
      <c r="P1208" s="13"/>
      <c r="Q1208" s="13"/>
      <c r="R1208" s="13"/>
      <c r="S1208" s="13"/>
      <c r="T1208" s="13"/>
      <c r="U1208" s="13"/>
      <c r="V1208" s="13"/>
      <c r="W1208" s="13"/>
      <c r="AY1208" s="10"/>
      <c r="AZ1208" s="10"/>
      <c r="BK1208" s="10"/>
      <c r="BM1208" s="20"/>
    </row>
    <row r="1209" spans="1:65" ht="15" x14ac:dyDescent="0.25">
      <c r="A1209" s="70"/>
      <c r="B1209" s="70"/>
      <c r="C1209" s="71"/>
      <c r="D1209" s="71"/>
      <c r="E1209" s="71"/>
      <c r="F1209" s="71"/>
      <c r="G1209" s="71"/>
      <c r="H1209" s="71"/>
      <c r="I1209" s="71"/>
      <c r="J1209" s="71"/>
      <c r="K1209" s="71"/>
      <c r="L1209" s="71"/>
      <c r="M1209" s="71"/>
      <c r="N1209" s="19"/>
      <c r="O1209" s="13"/>
      <c r="P1209" s="13"/>
      <c r="Q1209" s="13"/>
      <c r="R1209" s="13"/>
      <c r="S1209" s="13"/>
      <c r="T1209" s="13"/>
      <c r="U1209" s="13"/>
      <c r="V1209" s="13"/>
      <c r="W1209" s="13"/>
      <c r="AY1209" s="10"/>
      <c r="AZ1209" s="10"/>
      <c r="BK1209" s="10"/>
      <c r="BM1209" s="20"/>
    </row>
    <row r="1210" spans="1:65" ht="15" x14ac:dyDescent="0.25">
      <c r="A1210" s="70"/>
      <c r="B1210" s="70"/>
      <c r="C1210" s="71"/>
      <c r="D1210" s="71"/>
      <c r="E1210" s="71"/>
      <c r="F1210" s="71"/>
      <c r="G1210" s="71"/>
      <c r="H1210" s="71"/>
      <c r="I1210" s="71"/>
      <c r="J1210" s="71"/>
      <c r="K1210" s="71"/>
      <c r="L1210" s="71"/>
      <c r="M1210" s="71"/>
      <c r="N1210" s="19"/>
      <c r="O1210" s="13"/>
      <c r="P1210" s="13"/>
      <c r="Q1210" s="13"/>
      <c r="R1210" s="13"/>
      <c r="S1210" s="13"/>
      <c r="T1210" s="13"/>
      <c r="U1210" s="13"/>
      <c r="V1210" s="13"/>
      <c r="W1210" s="13"/>
      <c r="AY1210" s="10"/>
      <c r="AZ1210" s="10"/>
      <c r="BK1210" s="10"/>
      <c r="BM1210" s="20"/>
    </row>
    <row r="1211" spans="1:65" ht="15" x14ac:dyDescent="0.25">
      <c r="A1211" s="70"/>
      <c r="B1211" s="70"/>
      <c r="C1211" s="71"/>
      <c r="D1211" s="71"/>
      <c r="E1211" s="71"/>
      <c r="F1211" s="71"/>
      <c r="G1211" s="71"/>
      <c r="H1211" s="71"/>
      <c r="I1211" s="71"/>
      <c r="J1211" s="71"/>
      <c r="K1211" s="71"/>
      <c r="L1211" s="71"/>
      <c r="M1211" s="71"/>
      <c r="N1211" s="19"/>
      <c r="O1211" s="13"/>
      <c r="P1211" s="13"/>
      <c r="Q1211" s="13"/>
      <c r="R1211" s="13"/>
      <c r="S1211" s="13"/>
      <c r="T1211" s="13"/>
      <c r="U1211" s="13"/>
      <c r="V1211" s="13"/>
      <c r="W1211" s="13"/>
      <c r="AY1211" s="10"/>
      <c r="AZ1211" s="10"/>
      <c r="BK1211" s="10"/>
      <c r="BM1211" s="20"/>
    </row>
    <row r="1212" spans="1:65" ht="15" x14ac:dyDescent="0.25">
      <c r="A1212" s="70"/>
      <c r="B1212" s="70"/>
      <c r="C1212" s="71"/>
      <c r="D1212" s="71"/>
      <c r="E1212" s="71"/>
      <c r="F1212" s="71"/>
      <c r="G1212" s="71"/>
      <c r="H1212" s="71"/>
      <c r="I1212" s="71"/>
      <c r="J1212" s="71"/>
      <c r="K1212" s="71"/>
      <c r="L1212" s="71"/>
      <c r="M1212" s="71"/>
      <c r="N1212" s="19"/>
      <c r="O1212" s="13"/>
      <c r="P1212" s="13"/>
      <c r="Q1212" s="13"/>
      <c r="R1212" s="13"/>
      <c r="S1212" s="13"/>
      <c r="T1212" s="13"/>
      <c r="U1212" s="13"/>
      <c r="V1212" s="13"/>
      <c r="W1212" s="13"/>
      <c r="AY1212" s="10"/>
      <c r="AZ1212" s="10"/>
      <c r="BK1212" s="10"/>
      <c r="BM1212" s="20"/>
    </row>
    <row r="1213" spans="1:65" ht="15" x14ac:dyDescent="0.25">
      <c r="A1213" s="70"/>
      <c r="B1213" s="70"/>
      <c r="C1213" s="71"/>
      <c r="D1213" s="71"/>
      <c r="E1213" s="71"/>
      <c r="F1213" s="71"/>
      <c r="G1213" s="71"/>
      <c r="H1213" s="71"/>
      <c r="I1213" s="71"/>
      <c r="J1213" s="71"/>
      <c r="K1213" s="71"/>
      <c r="L1213" s="71"/>
      <c r="M1213" s="71"/>
      <c r="N1213" s="19"/>
      <c r="O1213" s="13"/>
      <c r="P1213" s="13"/>
      <c r="Q1213" s="13"/>
      <c r="R1213" s="13"/>
      <c r="S1213" s="13"/>
      <c r="T1213" s="13"/>
      <c r="U1213" s="13"/>
      <c r="V1213" s="13"/>
      <c r="W1213" s="13"/>
      <c r="AY1213" s="10"/>
      <c r="AZ1213" s="10"/>
      <c r="BK1213" s="10"/>
      <c r="BM1213" s="20"/>
    </row>
    <row r="1214" spans="1:65" ht="15" x14ac:dyDescent="0.25">
      <c r="A1214" s="70"/>
      <c r="B1214" s="70"/>
      <c r="C1214" s="71"/>
      <c r="D1214" s="71"/>
      <c r="E1214" s="71"/>
      <c r="F1214" s="71"/>
      <c r="G1214" s="71"/>
      <c r="H1214" s="71"/>
      <c r="I1214" s="71"/>
      <c r="J1214" s="71"/>
      <c r="K1214" s="71"/>
      <c r="L1214" s="71"/>
      <c r="M1214" s="71"/>
      <c r="N1214" s="19"/>
      <c r="O1214" s="13"/>
      <c r="P1214" s="13"/>
      <c r="Q1214" s="13"/>
      <c r="R1214" s="13"/>
      <c r="S1214" s="13"/>
      <c r="T1214" s="13"/>
      <c r="U1214" s="13"/>
      <c r="V1214" s="13"/>
      <c r="W1214" s="13"/>
      <c r="AY1214" s="10"/>
      <c r="AZ1214" s="10"/>
      <c r="BK1214" s="10"/>
      <c r="BM1214" s="20"/>
    </row>
    <row r="1215" spans="1:65" ht="15" x14ac:dyDescent="0.25">
      <c r="A1215" s="70"/>
      <c r="B1215" s="70"/>
      <c r="C1215" s="71"/>
      <c r="D1215" s="71"/>
      <c r="E1215" s="71"/>
      <c r="F1215" s="71"/>
      <c r="G1215" s="71"/>
      <c r="H1215" s="71"/>
      <c r="I1215" s="71"/>
      <c r="J1215" s="71"/>
      <c r="K1215" s="71"/>
      <c r="L1215" s="71"/>
      <c r="M1215" s="71"/>
      <c r="N1215" s="19"/>
      <c r="O1215" s="13"/>
      <c r="P1215" s="13"/>
      <c r="Q1215" s="13"/>
      <c r="R1215" s="13"/>
      <c r="S1215" s="13"/>
      <c r="T1215" s="13"/>
      <c r="U1215" s="13"/>
      <c r="V1215" s="13"/>
      <c r="W1215" s="13"/>
      <c r="AY1215" s="10"/>
      <c r="AZ1215" s="10"/>
      <c r="BK1215" s="10"/>
      <c r="BM1215" s="20"/>
    </row>
    <row r="1216" spans="1:65" ht="15" x14ac:dyDescent="0.25">
      <c r="A1216" s="70"/>
      <c r="B1216" s="70"/>
      <c r="C1216" s="71"/>
      <c r="D1216" s="71"/>
      <c r="E1216" s="71"/>
      <c r="F1216" s="71"/>
      <c r="G1216" s="71"/>
      <c r="H1216" s="71"/>
      <c r="I1216" s="71"/>
      <c r="J1216" s="71"/>
      <c r="K1216" s="71"/>
      <c r="L1216" s="71"/>
      <c r="M1216" s="71"/>
      <c r="N1216" s="19"/>
      <c r="O1216" s="13"/>
      <c r="P1216" s="13"/>
      <c r="Q1216" s="13"/>
      <c r="R1216" s="13"/>
      <c r="S1216" s="13"/>
      <c r="T1216" s="13"/>
      <c r="U1216" s="13"/>
      <c r="V1216" s="13"/>
      <c r="W1216" s="13"/>
      <c r="AY1216" s="10"/>
      <c r="AZ1216" s="10"/>
      <c r="BK1216" s="10"/>
      <c r="BM1216" s="20"/>
    </row>
    <row r="1217" spans="1:65" ht="15" x14ac:dyDescent="0.25">
      <c r="A1217" s="70"/>
      <c r="B1217" s="70"/>
      <c r="C1217" s="71"/>
      <c r="D1217" s="71"/>
      <c r="E1217" s="71"/>
      <c r="F1217" s="71"/>
      <c r="G1217" s="71"/>
      <c r="H1217" s="71"/>
      <c r="I1217" s="71"/>
      <c r="J1217" s="71"/>
      <c r="K1217" s="71"/>
      <c r="L1217" s="71"/>
      <c r="M1217" s="71"/>
      <c r="N1217" s="19"/>
      <c r="O1217" s="13"/>
      <c r="P1217" s="13"/>
      <c r="Q1217" s="13"/>
      <c r="R1217" s="13"/>
      <c r="S1217" s="13"/>
      <c r="T1217" s="13"/>
      <c r="U1217" s="13"/>
      <c r="V1217" s="13"/>
      <c r="W1217" s="13"/>
      <c r="AY1217" s="10"/>
      <c r="AZ1217" s="10"/>
      <c r="BK1217" s="10"/>
      <c r="BM1217" s="20"/>
    </row>
    <row r="1218" spans="1:65" ht="15" x14ac:dyDescent="0.25">
      <c r="A1218" s="70"/>
      <c r="B1218" s="70"/>
      <c r="C1218" s="71"/>
      <c r="D1218" s="71"/>
      <c r="E1218" s="71"/>
      <c r="F1218" s="71"/>
      <c r="G1218" s="71"/>
      <c r="H1218" s="71"/>
      <c r="I1218" s="71"/>
      <c r="J1218" s="71"/>
      <c r="K1218" s="71"/>
      <c r="L1218" s="71"/>
      <c r="M1218" s="71"/>
      <c r="N1218" s="19"/>
      <c r="O1218" s="13"/>
      <c r="P1218" s="13"/>
      <c r="Q1218" s="13"/>
      <c r="R1218" s="13"/>
      <c r="S1218" s="13"/>
      <c r="T1218" s="13"/>
      <c r="U1218" s="13"/>
      <c r="V1218" s="13"/>
      <c r="W1218" s="13"/>
      <c r="AY1218" s="10"/>
      <c r="AZ1218" s="10"/>
      <c r="BK1218" s="10"/>
      <c r="BM1218" s="20"/>
    </row>
    <row r="1219" spans="1:65" ht="15" x14ac:dyDescent="0.25">
      <c r="A1219" s="70"/>
      <c r="B1219" s="70"/>
      <c r="C1219" s="71"/>
      <c r="D1219" s="71"/>
      <c r="E1219" s="71"/>
      <c r="F1219" s="71"/>
      <c r="G1219" s="71"/>
      <c r="H1219" s="71"/>
      <c r="I1219" s="71"/>
      <c r="J1219" s="71"/>
      <c r="K1219" s="71"/>
      <c r="L1219" s="71"/>
      <c r="M1219" s="71"/>
      <c r="N1219" s="19"/>
      <c r="O1219" s="13"/>
      <c r="P1219" s="13"/>
      <c r="Q1219" s="13"/>
      <c r="R1219" s="13"/>
      <c r="S1219" s="13"/>
      <c r="T1219" s="13"/>
      <c r="U1219" s="13"/>
      <c r="V1219" s="13"/>
      <c r="W1219" s="13"/>
      <c r="AY1219" s="10"/>
      <c r="AZ1219" s="10"/>
      <c r="BK1219" s="10"/>
      <c r="BM1219" s="20"/>
    </row>
    <row r="1220" spans="1:65" ht="15" x14ac:dyDescent="0.25">
      <c r="A1220" s="70"/>
      <c r="B1220" s="70"/>
      <c r="C1220" s="71"/>
      <c r="D1220" s="71"/>
      <c r="E1220" s="71"/>
      <c r="F1220" s="71"/>
      <c r="G1220" s="71"/>
      <c r="H1220" s="71"/>
      <c r="I1220" s="71"/>
      <c r="J1220" s="71"/>
      <c r="K1220" s="71"/>
      <c r="L1220" s="71"/>
      <c r="M1220" s="71"/>
      <c r="N1220" s="19"/>
      <c r="O1220" s="13"/>
      <c r="P1220" s="13"/>
      <c r="Q1220" s="13"/>
      <c r="R1220" s="13"/>
      <c r="S1220" s="13"/>
      <c r="T1220" s="13"/>
      <c r="U1220" s="13"/>
      <c r="V1220" s="13"/>
      <c r="W1220" s="13"/>
      <c r="AY1220" s="10"/>
      <c r="AZ1220" s="10"/>
      <c r="BK1220" s="10"/>
      <c r="BM1220" s="20"/>
    </row>
    <row r="1221" spans="1:65" ht="15" x14ac:dyDescent="0.25">
      <c r="A1221" s="70"/>
      <c r="B1221" s="70"/>
      <c r="C1221" s="71"/>
      <c r="D1221" s="71"/>
      <c r="E1221" s="71"/>
      <c r="F1221" s="71"/>
      <c r="G1221" s="71"/>
      <c r="H1221" s="71"/>
      <c r="I1221" s="71"/>
      <c r="J1221" s="71"/>
      <c r="K1221" s="71"/>
      <c r="L1221" s="71"/>
      <c r="M1221" s="71"/>
      <c r="N1221" s="19"/>
      <c r="O1221" s="13"/>
      <c r="P1221" s="13"/>
      <c r="Q1221" s="13"/>
      <c r="R1221" s="13"/>
      <c r="S1221" s="13"/>
      <c r="T1221" s="13"/>
      <c r="U1221" s="13"/>
      <c r="V1221" s="13"/>
      <c r="W1221" s="13"/>
      <c r="AY1221" s="10"/>
      <c r="AZ1221" s="10"/>
      <c r="BK1221" s="10"/>
      <c r="BM1221" s="20"/>
    </row>
    <row r="1222" spans="1:65" ht="15" x14ac:dyDescent="0.25">
      <c r="A1222" s="70"/>
      <c r="B1222" s="70"/>
      <c r="C1222" s="71"/>
      <c r="D1222" s="71"/>
      <c r="E1222" s="71"/>
      <c r="F1222" s="71"/>
      <c r="G1222" s="71"/>
      <c r="H1222" s="71"/>
      <c r="I1222" s="71"/>
      <c r="J1222" s="71"/>
      <c r="K1222" s="71"/>
      <c r="L1222" s="71"/>
      <c r="M1222" s="71"/>
      <c r="N1222" s="19"/>
      <c r="O1222" s="13"/>
      <c r="P1222" s="13"/>
      <c r="Q1222" s="13"/>
      <c r="R1222" s="13"/>
      <c r="S1222" s="13"/>
      <c r="T1222" s="13"/>
      <c r="U1222" s="13"/>
      <c r="V1222" s="13"/>
      <c r="W1222" s="13"/>
      <c r="AY1222" s="10"/>
      <c r="AZ1222" s="10"/>
      <c r="BK1222" s="10"/>
      <c r="BM1222" s="20"/>
    </row>
    <row r="1223" spans="1:65" ht="15" x14ac:dyDescent="0.25">
      <c r="A1223" s="70"/>
      <c r="B1223" s="70"/>
      <c r="C1223" s="71"/>
      <c r="D1223" s="71"/>
      <c r="E1223" s="71"/>
      <c r="F1223" s="71"/>
      <c r="G1223" s="71"/>
      <c r="H1223" s="71"/>
      <c r="I1223" s="71"/>
      <c r="J1223" s="71"/>
      <c r="K1223" s="71"/>
      <c r="L1223" s="71"/>
      <c r="M1223" s="71"/>
      <c r="N1223" s="19"/>
      <c r="O1223" s="13"/>
      <c r="P1223" s="13"/>
      <c r="Q1223" s="13"/>
      <c r="R1223" s="13"/>
      <c r="S1223" s="13"/>
      <c r="T1223" s="13"/>
      <c r="U1223" s="13"/>
      <c r="V1223" s="13"/>
      <c r="W1223" s="13"/>
      <c r="AY1223" s="10"/>
      <c r="AZ1223" s="10"/>
      <c r="BK1223" s="10"/>
      <c r="BM1223" s="20"/>
    </row>
    <row r="1224" spans="1:65" ht="15" x14ac:dyDescent="0.25">
      <c r="A1224" s="70"/>
      <c r="B1224" s="70"/>
      <c r="C1224" s="71"/>
      <c r="D1224" s="71"/>
      <c r="E1224" s="71"/>
      <c r="F1224" s="71"/>
      <c r="G1224" s="71"/>
      <c r="H1224" s="71"/>
      <c r="I1224" s="71"/>
      <c r="J1224" s="71"/>
      <c r="K1224" s="71"/>
      <c r="L1224" s="71"/>
      <c r="M1224" s="71"/>
      <c r="N1224" s="19"/>
      <c r="O1224" s="13"/>
      <c r="P1224" s="13"/>
      <c r="Q1224" s="13"/>
      <c r="R1224" s="13"/>
      <c r="S1224" s="13"/>
      <c r="T1224" s="13"/>
      <c r="U1224" s="13"/>
      <c r="V1224" s="13"/>
      <c r="W1224" s="13"/>
      <c r="AY1224" s="10"/>
      <c r="AZ1224" s="10"/>
      <c r="BK1224" s="10"/>
      <c r="BM1224" s="20"/>
    </row>
    <row r="1225" spans="1:65" ht="15" x14ac:dyDescent="0.25">
      <c r="A1225" s="70"/>
      <c r="B1225" s="70"/>
      <c r="C1225" s="71"/>
      <c r="D1225" s="71"/>
      <c r="E1225" s="71"/>
      <c r="F1225" s="71"/>
      <c r="G1225" s="71"/>
      <c r="H1225" s="71"/>
      <c r="I1225" s="71"/>
      <c r="J1225" s="71"/>
      <c r="K1225" s="71"/>
      <c r="L1225" s="71"/>
      <c r="M1225" s="71"/>
      <c r="N1225" s="19"/>
      <c r="O1225" s="13"/>
      <c r="P1225" s="13"/>
      <c r="Q1225" s="13"/>
      <c r="R1225" s="13"/>
      <c r="S1225" s="13"/>
      <c r="T1225" s="13"/>
      <c r="U1225" s="13"/>
      <c r="V1225" s="13"/>
      <c r="W1225" s="13"/>
      <c r="AY1225" s="10"/>
      <c r="AZ1225" s="10"/>
      <c r="BK1225" s="10"/>
      <c r="BM1225" s="20"/>
    </row>
    <row r="1226" spans="1:65" ht="15" x14ac:dyDescent="0.25">
      <c r="A1226" s="70"/>
      <c r="B1226" s="70"/>
      <c r="C1226" s="71"/>
      <c r="D1226" s="71"/>
      <c r="E1226" s="71"/>
      <c r="F1226" s="71"/>
      <c r="G1226" s="71"/>
      <c r="H1226" s="71"/>
      <c r="I1226" s="71"/>
      <c r="J1226" s="71"/>
      <c r="K1226" s="71"/>
      <c r="L1226" s="71"/>
      <c r="M1226" s="71"/>
      <c r="N1226" s="19"/>
      <c r="O1226" s="13"/>
      <c r="P1226" s="13"/>
      <c r="Q1226" s="13"/>
      <c r="R1226" s="13"/>
      <c r="S1226" s="13"/>
      <c r="T1226" s="13"/>
      <c r="U1226" s="13"/>
      <c r="V1226" s="13"/>
      <c r="W1226" s="13"/>
      <c r="AY1226" s="10"/>
      <c r="AZ1226" s="10"/>
      <c r="BK1226" s="10"/>
      <c r="BM1226" s="20"/>
    </row>
    <row r="1227" spans="1:65" ht="15" x14ac:dyDescent="0.25">
      <c r="A1227" s="70"/>
      <c r="B1227" s="70"/>
      <c r="C1227" s="71"/>
      <c r="D1227" s="71"/>
      <c r="E1227" s="71"/>
      <c r="F1227" s="71"/>
      <c r="G1227" s="71"/>
      <c r="H1227" s="71"/>
      <c r="I1227" s="71"/>
      <c r="J1227" s="71"/>
      <c r="K1227" s="71"/>
      <c r="L1227" s="71"/>
      <c r="M1227" s="71"/>
      <c r="N1227" s="19"/>
      <c r="O1227" s="13"/>
      <c r="P1227" s="13"/>
      <c r="Q1227" s="13"/>
      <c r="R1227" s="13"/>
      <c r="S1227" s="13"/>
      <c r="T1227" s="13"/>
      <c r="U1227" s="13"/>
      <c r="V1227" s="13"/>
      <c r="W1227" s="13"/>
      <c r="AY1227" s="10"/>
      <c r="AZ1227" s="10"/>
      <c r="BK1227" s="10"/>
      <c r="BM1227" s="20"/>
    </row>
    <row r="1228" spans="1:65" ht="15" x14ac:dyDescent="0.25">
      <c r="A1228" s="70"/>
      <c r="B1228" s="70"/>
      <c r="C1228" s="71"/>
      <c r="D1228" s="71"/>
      <c r="E1228" s="71"/>
      <c r="F1228" s="71"/>
      <c r="G1228" s="71"/>
      <c r="H1228" s="71"/>
      <c r="I1228" s="71"/>
      <c r="J1228" s="71"/>
      <c r="K1228" s="71"/>
      <c r="L1228" s="71"/>
      <c r="M1228" s="71"/>
      <c r="N1228" s="19"/>
      <c r="O1228" s="13"/>
      <c r="P1228" s="13"/>
      <c r="Q1228" s="13"/>
      <c r="R1228" s="13"/>
      <c r="S1228" s="13"/>
      <c r="T1228" s="13"/>
      <c r="U1228" s="13"/>
      <c r="V1228" s="13"/>
      <c r="W1228" s="13"/>
      <c r="AY1228" s="10"/>
      <c r="AZ1228" s="10"/>
      <c r="BK1228" s="10"/>
      <c r="BM1228" s="20"/>
    </row>
    <row r="1229" spans="1:65" ht="15" x14ac:dyDescent="0.25">
      <c r="A1229" s="70"/>
      <c r="B1229" s="70"/>
      <c r="C1229" s="71"/>
      <c r="D1229" s="71"/>
      <c r="E1229" s="71"/>
      <c r="F1229" s="71"/>
      <c r="G1229" s="71"/>
      <c r="H1229" s="71"/>
      <c r="I1229" s="71"/>
      <c r="J1229" s="71"/>
      <c r="K1229" s="71"/>
      <c r="L1229" s="71"/>
      <c r="M1229" s="71"/>
      <c r="N1229" s="19"/>
      <c r="O1229" s="13"/>
      <c r="P1229" s="13"/>
      <c r="Q1229" s="13"/>
      <c r="R1229" s="13"/>
      <c r="S1229" s="13"/>
      <c r="T1229" s="13"/>
      <c r="U1229" s="13"/>
      <c r="V1229" s="13"/>
      <c r="W1229" s="13"/>
      <c r="AY1229" s="10"/>
      <c r="AZ1229" s="10"/>
      <c r="BK1229" s="10"/>
      <c r="BM1229" s="20"/>
    </row>
    <row r="1230" spans="1:65" ht="15" x14ac:dyDescent="0.25">
      <c r="A1230" s="70"/>
      <c r="B1230" s="70"/>
      <c r="C1230" s="71"/>
      <c r="D1230" s="71"/>
      <c r="E1230" s="71"/>
      <c r="F1230" s="71"/>
      <c r="G1230" s="71"/>
      <c r="H1230" s="71"/>
      <c r="I1230" s="71"/>
      <c r="J1230" s="71"/>
      <c r="K1230" s="71"/>
      <c r="L1230" s="71"/>
      <c r="M1230" s="71"/>
      <c r="N1230" s="19"/>
      <c r="O1230" s="13"/>
      <c r="P1230" s="13"/>
      <c r="Q1230" s="13"/>
      <c r="R1230" s="13"/>
      <c r="S1230" s="13"/>
      <c r="T1230" s="13"/>
      <c r="U1230" s="13"/>
      <c r="V1230" s="13"/>
      <c r="W1230" s="13"/>
      <c r="AY1230" s="10"/>
      <c r="AZ1230" s="10"/>
      <c r="BK1230" s="10"/>
      <c r="BM1230" s="20"/>
    </row>
    <row r="1231" spans="1:65" ht="15" x14ac:dyDescent="0.25">
      <c r="A1231" s="70"/>
      <c r="B1231" s="70"/>
      <c r="C1231" s="71"/>
      <c r="D1231" s="71"/>
      <c r="E1231" s="71"/>
      <c r="F1231" s="71"/>
      <c r="G1231" s="71"/>
      <c r="H1231" s="71"/>
      <c r="I1231" s="71"/>
      <c r="J1231" s="71"/>
      <c r="K1231" s="71"/>
      <c r="L1231" s="71"/>
      <c r="M1231" s="71"/>
      <c r="N1231" s="19"/>
      <c r="O1231" s="13"/>
      <c r="P1231" s="13"/>
      <c r="Q1231" s="13"/>
      <c r="R1231" s="13"/>
      <c r="S1231" s="13"/>
      <c r="T1231" s="13"/>
      <c r="U1231" s="13"/>
      <c r="V1231" s="13"/>
      <c r="W1231" s="13"/>
      <c r="AY1231" s="10"/>
      <c r="AZ1231" s="10"/>
      <c r="BK1231" s="10"/>
      <c r="BM1231" s="20"/>
    </row>
    <row r="1232" spans="1:65" ht="15" x14ac:dyDescent="0.25">
      <c r="A1232" s="70"/>
      <c r="B1232" s="70"/>
      <c r="C1232" s="71"/>
      <c r="D1232" s="71"/>
      <c r="E1232" s="71"/>
      <c r="F1232" s="71"/>
      <c r="G1232" s="71"/>
      <c r="H1232" s="71"/>
      <c r="I1232" s="71"/>
      <c r="J1232" s="71"/>
      <c r="K1232" s="71"/>
      <c r="L1232" s="71"/>
      <c r="M1232" s="71"/>
      <c r="N1232" s="19"/>
      <c r="O1232" s="13"/>
      <c r="P1232" s="13"/>
      <c r="Q1232" s="13"/>
      <c r="R1232" s="13"/>
      <c r="S1232" s="13"/>
      <c r="T1232" s="13"/>
      <c r="U1232" s="13"/>
      <c r="V1232" s="13"/>
      <c r="W1232" s="13"/>
      <c r="AY1232" s="10"/>
      <c r="AZ1232" s="10"/>
    </row>
    <row r="1233" spans="1:52" ht="15" x14ac:dyDescent="0.25">
      <c r="A1233" s="70"/>
      <c r="B1233" s="70"/>
      <c r="C1233" s="71"/>
      <c r="D1233" s="71"/>
      <c r="E1233" s="71"/>
      <c r="F1233" s="71"/>
      <c r="G1233" s="71"/>
      <c r="H1233" s="71"/>
      <c r="I1233" s="71"/>
      <c r="J1233" s="71"/>
      <c r="K1233" s="71"/>
      <c r="L1233" s="71"/>
      <c r="M1233" s="71"/>
      <c r="N1233" s="19"/>
      <c r="O1233" s="13"/>
      <c r="P1233" s="13"/>
      <c r="Q1233" s="13"/>
      <c r="R1233" s="13"/>
      <c r="S1233" s="13"/>
      <c r="T1233" s="13"/>
      <c r="U1233" s="13"/>
      <c r="V1233" s="13"/>
      <c r="W1233" s="13"/>
      <c r="AY1233" s="10"/>
      <c r="AZ1233" s="10"/>
    </row>
    <row r="1234" spans="1:52" ht="15" x14ac:dyDescent="0.25">
      <c r="A1234" s="70"/>
      <c r="B1234" s="70"/>
      <c r="C1234" s="71"/>
      <c r="D1234" s="71"/>
      <c r="E1234" s="71"/>
      <c r="F1234" s="71"/>
      <c r="G1234" s="71"/>
      <c r="H1234" s="71"/>
      <c r="I1234" s="71"/>
      <c r="J1234" s="71"/>
      <c r="K1234" s="71"/>
      <c r="L1234" s="71"/>
      <c r="M1234" s="71"/>
      <c r="N1234" s="19"/>
      <c r="O1234" s="13"/>
      <c r="P1234" s="13"/>
      <c r="Q1234" s="13"/>
      <c r="R1234" s="13"/>
      <c r="S1234" s="13"/>
      <c r="T1234" s="13"/>
      <c r="U1234" s="13"/>
      <c r="V1234" s="13"/>
      <c r="W1234" s="13"/>
      <c r="AY1234" s="10"/>
      <c r="AZ1234" s="10"/>
    </row>
    <row r="1235" spans="1:52" ht="15" x14ac:dyDescent="0.25">
      <c r="A1235" s="70"/>
      <c r="B1235" s="70"/>
      <c r="C1235" s="71"/>
      <c r="D1235" s="71"/>
      <c r="E1235" s="71"/>
      <c r="F1235" s="71"/>
      <c r="G1235" s="71"/>
      <c r="H1235" s="71"/>
      <c r="I1235" s="71"/>
      <c r="J1235" s="71"/>
      <c r="K1235" s="71"/>
      <c r="L1235" s="71"/>
      <c r="M1235" s="71"/>
      <c r="N1235" s="19"/>
      <c r="O1235" s="13"/>
      <c r="P1235" s="13"/>
      <c r="Q1235" s="13"/>
      <c r="R1235" s="13"/>
      <c r="S1235" s="13"/>
      <c r="T1235" s="13"/>
      <c r="U1235" s="13"/>
      <c r="V1235" s="13"/>
      <c r="W1235" s="13"/>
      <c r="AY1235" s="10"/>
      <c r="AZ1235" s="10"/>
    </row>
    <row r="1236" spans="1:52" ht="15" x14ac:dyDescent="0.25">
      <c r="A1236" s="70"/>
      <c r="B1236" s="70"/>
      <c r="C1236" s="71"/>
      <c r="D1236" s="71"/>
      <c r="E1236" s="71"/>
      <c r="F1236" s="71"/>
      <c r="G1236" s="71"/>
      <c r="H1236" s="71"/>
      <c r="I1236" s="71"/>
      <c r="J1236" s="71"/>
      <c r="K1236" s="71"/>
      <c r="L1236" s="71"/>
      <c r="M1236" s="71"/>
      <c r="N1236" s="19"/>
      <c r="O1236" s="13"/>
      <c r="P1236" s="13"/>
      <c r="Q1236" s="13"/>
      <c r="R1236" s="13"/>
      <c r="S1236" s="13"/>
      <c r="T1236" s="13"/>
      <c r="U1236" s="13"/>
      <c r="V1236" s="13"/>
      <c r="W1236" s="13"/>
      <c r="AY1236" s="10"/>
      <c r="AZ1236" s="10"/>
    </row>
    <row r="1237" spans="1:52" ht="15" x14ac:dyDescent="0.25">
      <c r="A1237" s="70"/>
      <c r="B1237" s="70"/>
      <c r="C1237" s="71"/>
      <c r="D1237" s="71"/>
      <c r="E1237" s="71"/>
      <c r="F1237" s="71"/>
      <c r="G1237" s="71"/>
      <c r="H1237" s="71"/>
      <c r="I1237" s="71"/>
      <c r="J1237" s="71"/>
      <c r="K1237" s="71"/>
      <c r="L1237" s="71"/>
      <c r="M1237" s="71"/>
      <c r="N1237" s="19"/>
      <c r="O1237" s="13"/>
      <c r="P1237" s="13"/>
      <c r="Q1237" s="13"/>
      <c r="R1237" s="13"/>
      <c r="S1237" s="13"/>
      <c r="T1237" s="13"/>
      <c r="U1237" s="13"/>
      <c r="V1237" s="13"/>
      <c r="W1237" s="13"/>
      <c r="AY1237" s="10"/>
      <c r="AZ1237" s="10"/>
    </row>
    <row r="1238" spans="1:52" ht="15" x14ac:dyDescent="0.25">
      <c r="A1238" s="70"/>
      <c r="B1238" s="70"/>
      <c r="C1238" s="71"/>
      <c r="D1238" s="71"/>
      <c r="E1238" s="71"/>
      <c r="F1238" s="71"/>
      <c r="G1238" s="71"/>
      <c r="H1238" s="71"/>
      <c r="I1238" s="71"/>
      <c r="J1238" s="71"/>
      <c r="K1238" s="71"/>
      <c r="L1238" s="71"/>
      <c r="M1238" s="71"/>
      <c r="N1238" s="19"/>
      <c r="O1238" s="13"/>
      <c r="P1238" s="13"/>
      <c r="Q1238" s="13"/>
      <c r="R1238" s="13"/>
      <c r="S1238" s="13"/>
      <c r="T1238" s="13"/>
      <c r="U1238" s="13"/>
      <c r="V1238" s="13"/>
      <c r="W1238" s="13"/>
      <c r="AY1238" s="10"/>
      <c r="AZ1238" s="10"/>
    </row>
    <row r="1239" spans="1:52" ht="15" x14ac:dyDescent="0.25">
      <c r="A1239" s="70"/>
      <c r="B1239" s="70"/>
      <c r="C1239" s="71"/>
      <c r="D1239" s="71"/>
      <c r="E1239" s="71"/>
      <c r="F1239" s="71"/>
      <c r="G1239" s="71"/>
      <c r="H1239" s="71"/>
      <c r="I1239" s="71"/>
      <c r="J1239" s="71"/>
      <c r="K1239" s="71"/>
      <c r="L1239" s="71"/>
      <c r="M1239" s="71"/>
      <c r="N1239" s="19"/>
      <c r="O1239" s="13"/>
      <c r="P1239" s="13"/>
      <c r="Q1239" s="13"/>
      <c r="R1239" s="13"/>
      <c r="S1239" s="13"/>
      <c r="T1239" s="13"/>
      <c r="U1239" s="13"/>
      <c r="V1239" s="13"/>
      <c r="W1239" s="13"/>
      <c r="AY1239" s="10"/>
      <c r="AZ1239" s="10"/>
    </row>
    <row r="1240" spans="1:52" ht="15" x14ac:dyDescent="0.25">
      <c r="A1240" s="70"/>
      <c r="B1240" s="70"/>
      <c r="C1240" s="71"/>
      <c r="D1240" s="71"/>
      <c r="E1240" s="71"/>
      <c r="F1240" s="71"/>
      <c r="G1240" s="71"/>
      <c r="H1240" s="71"/>
      <c r="I1240" s="71"/>
      <c r="J1240" s="71"/>
      <c r="K1240" s="71"/>
      <c r="L1240" s="71"/>
      <c r="M1240" s="71"/>
      <c r="N1240" s="19"/>
      <c r="O1240" s="13"/>
      <c r="P1240" s="13"/>
      <c r="Q1240" s="13"/>
      <c r="R1240" s="13"/>
      <c r="S1240" s="13"/>
      <c r="T1240" s="13"/>
      <c r="U1240" s="13"/>
      <c r="V1240" s="13"/>
      <c r="W1240" s="13"/>
      <c r="AY1240" s="10"/>
      <c r="AZ1240" s="10"/>
    </row>
    <row r="1241" spans="1:52" ht="15" x14ac:dyDescent="0.25">
      <c r="A1241" s="70"/>
      <c r="B1241" s="70"/>
      <c r="C1241" s="71"/>
      <c r="D1241" s="71"/>
      <c r="E1241" s="71"/>
      <c r="F1241" s="71"/>
      <c r="G1241" s="71"/>
      <c r="H1241" s="71"/>
      <c r="I1241" s="71"/>
      <c r="J1241" s="71"/>
      <c r="K1241" s="71"/>
      <c r="L1241" s="71"/>
      <c r="M1241" s="71"/>
      <c r="N1241" s="19"/>
      <c r="O1241" s="13"/>
      <c r="P1241" s="13"/>
      <c r="Q1241" s="13"/>
      <c r="R1241" s="13"/>
      <c r="S1241" s="13"/>
      <c r="T1241" s="13"/>
      <c r="U1241" s="13"/>
      <c r="V1241" s="13"/>
      <c r="W1241" s="13"/>
      <c r="AY1241" s="10"/>
      <c r="AZ1241" s="10"/>
    </row>
    <row r="1242" spans="1:52" ht="15" x14ac:dyDescent="0.25">
      <c r="A1242" s="70"/>
      <c r="B1242" s="70"/>
      <c r="C1242" s="71"/>
      <c r="D1242" s="71"/>
      <c r="E1242" s="71"/>
      <c r="F1242" s="71"/>
      <c r="G1242" s="71"/>
      <c r="H1242" s="71"/>
      <c r="I1242" s="71"/>
      <c r="J1242" s="71"/>
      <c r="K1242" s="71"/>
      <c r="L1242" s="71"/>
      <c r="M1242" s="71"/>
      <c r="N1242" s="19"/>
      <c r="O1242" s="13"/>
      <c r="P1242" s="13"/>
      <c r="Q1242" s="13"/>
      <c r="R1242" s="13"/>
      <c r="S1242" s="13"/>
      <c r="T1242" s="13"/>
      <c r="U1242" s="13"/>
      <c r="V1242" s="13"/>
      <c r="W1242" s="13"/>
      <c r="AY1242" s="10"/>
      <c r="AZ1242" s="10"/>
    </row>
    <row r="1243" spans="1:52" ht="15" x14ac:dyDescent="0.25">
      <c r="A1243" s="70"/>
      <c r="B1243" s="70"/>
      <c r="C1243" s="71"/>
      <c r="D1243" s="71"/>
      <c r="E1243" s="71"/>
      <c r="F1243" s="71"/>
      <c r="G1243" s="71"/>
      <c r="H1243" s="71"/>
      <c r="I1243" s="71"/>
      <c r="J1243" s="71"/>
      <c r="K1243" s="71"/>
      <c r="L1243" s="71"/>
      <c r="M1243" s="71"/>
      <c r="N1243" s="19"/>
      <c r="O1243" s="13"/>
      <c r="P1243" s="13"/>
      <c r="Q1243" s="13"/>
      <c r="R1243" s="13"/>
      <c r="S1243" s="13"/>
      <c r="T1243" s="13"/>
      <c r="U1243" s="13"/>
      <c r="V1243" s="13"/>
      <c r="W1243" s="13"/>
      <c r="AY1243" s="10"/>
      <c r="AZ1243" s="10"/>
    </row>
    <row r="1244" spans="1:52" ht="15" x14ac:dyDescent="0.25">
      <c r="A1244" s="70"/>
      <c r="B1244" s="70"/>
      <c r="C1244" s="71"/>
      <c r="D1244" s="71"/>
      <c r="E1244" s="71"/>
      <c r="F1244" s="71"/>
      <c r="G1244" s="71"/>
      <c r="H1244" s="71"/>
      <c r="I1244" s="71"/>
      <c r="J1244" s="71"/>
      <c r="K1244" s="71"/>
      <c r="L1244" s="71"/>
      <c r="M1244" s="71"/>
      <c r="N1244" s="19"/>
      <c r="O1244" s="13"/>
      <c r="P1244" s="13"/>
      <c r="Q1244" s="13"/>
      <c r="R1244" s="13"/>
      <c r="S1244" s="13"/>
      <c r="T1244" s="13"/>
      <c r="U1244" s="13"/>
      <c r="V1244" s="13"/>
      <c r="W1244" s="13"/>
      <c r="AY1244" s="10"/>
      <c r="AZ1244" s="10"/>
    </row>
    <row r="1245" spans="1:52" ht="15" x14ac:dyDescent="0.25">
      <c r="A1245" s="70"/>
      <c r="B1245" s="70"/>
      <c r="C1245" s="71"/>
      <c r="D1245" s="71"/>
      <c r="E1245" s="71"/>
      <c r="F1245" s="71"/>
      <c r="G1245" s="71"/>
      <c r="H1245" s="71"/>
      <c r="I1245" s="71"/>
      <c r="J1245" s="71"/>
      <c r="K1245" s="71"/>
      <c r="L1245" s="71"/>
      <c r="M1245" s="71"/>
      <c r="N1245" s="19"/>
      <c r="O1245" s="13"/>
      <c r="P1245" s="13"/>
      <c r="Q1245" s="13"/>
      <c r="R1245" s="13"/>
      <c r="S1245" s="13"/>
      <c r="T1245" s="13"/>
      <c r="U1245" s="13"/>
      <c r="V1245" s="13"/>
      <c r="W1245" s="13"/>
      <c r="AY1245" s="10"/>
      <c r="AZ1245" s="10"/>
    </row>
    <row r="1246" spans="1:52" ht="15" x14ac:dyDescent="0.25">
      <c r="A1246" s="70"/>
      <c r="B1246" s="70"/>
      <c r="C1246" s="71"/>
      <c r="D1246" s="71"/>
      <c r="E1246" s="71"/>
      <c r="F1246" s="71"/>
      <c r="G1246" s="71"/>
      <c r="H1246" s="71"/>
      <c r="I1246" s="71"/>
      <c r="J1246" s="71"/>
      <c r="K1246" s="71"/>
      <c r="L1246" s="71"/>
      <c r="M1246" s="71"/>
      <c r="N1246" s="19"/>
      <c r="O1246" s="13"/>
      <c r="P1246" s="13"/>
      <c r="Q1246" s="13"/>
      <c r="R1246" s="13"/>
      <c r="S1246" s="13"/>
      <c r="T1246" s="13"/>
      <c r="U1246" s="13"/>
      <c r="V1246" s="13"/>
      <c r="W1246" s="13"/>
      <c r="AY1246" s="10"/>
      <c r="AZ1246" s="10"/>
    </row>
    <row r="1247" spans="1:52" ht="15" x14ac:dyDescent="0.25">
      <c r="A1247" s="70"/>
      <c r="B1247" s="70"/>
      <c r="C1247" s="71"/>
      <c r="D1247" s="71"/>
      <c r="E1247" s="71"/>
      <c r="F1247" s="71"/>
      <c r="G1247" s="71"/>
      <c r="H1247" s="71"/>
      <c r="I1247" s="71"/>
      <c r="J1247" s="71"/>
      <c r="K1247" s="71"/>
      <c r="L1247" s="71"/>
      <c r="M1247" s="71"/>
      <c r="N1247" s="19"/>
      <c r="O1247" s="13"/>
      <c r="P1247" s="13"/>
      <c r="Q1247" s="13"/>
      <c r="R1247" s="13"/>
      <c r="S1247" s="13"/>
      <c r="T1247" s="13"/>
      <c r="U1247" s="13"/>
      <c r="V1247" s="13"/>
      <c r="W1247" s="13"/>
      <c r="AY1247" s="10"/>
      <c r="AZ1247" s="10"/>
    </row>
    <row r="1248" spans="1:52" ht="15" x14ac:dyDescent="0.25">
      <c r="A1248" s="70"/>
      <c r="B1248" s="70"/>
      <c r="C1248" s="71"/>
      <c r="D1248" s="71"/>
      <c r="E1248" s="71"/>
      <c r="F1248" s="71"/>
      <c r="G1248" s="71"/>
      <c r="H1248" s="71"/>
      <c r="I1248" s="71"/>
      <c r="J1248" s="71"/>
      <c r="K1248" s="71"/>
      <c r="L1248" s="71"/>
      <c r="M1248" s="71"/>
      <c r="N1248" s="19"/>
      <c r="O1248" s="13"/>
      <c r="P1248" s="13"/>
      <c r="Q1248" s="13"/>
      <c r="R1248" s="13"/>
      <c r="S1248" s="13"/>
      <c r="T1248" s="13"/>
      <c r="U1248" s="13"/>
      <c r="V1248" s="13"/>
      <c r="W1248" s="13"/>
      <c r="AY1248" s="10"/>
      <c r="AZ1248" s="10"/>
    </row>
    <row r="1249" spans="1:52" ht="15" x14ac:dyDescent="0.25">
      <c r="A1249" s="70"/>
      <c r="B1249" s="70"/>
      <c r="C1249" s="71"/>
      <c r="D1249" s="71"/>
      <c r="E1249" s="71"/>
      <c r="F1249" s="71"/>
      <c r="G1249" s="71"/>
      <c r="H1249" s="71"/>
      <c r="I1249" s="71"/>
      <c r="J1249" s="71"/>
      <c r="K1249" s="71"/>
      <c r="L1249" s="71"/>
      <c r="M1249" s="71"/>
      <c r="N1249" s="19"/>
      <c r="O1249" s="13"/>
      <c r="P1249" s="13"/>
      <c r="Q1249" s="13"/>
      <c r="R1249" s="13"/>
      <c r="S1249" s="13"/>
      <c r="T1249" s="13"/>
      <c r="U1249" s="13"/>
      <c r="V1249" s="13"/>
      <c r="W1249" s="13"/>
      <c r="AY1249" s="10"/>
      <c r="AZ1249" s="10"/>
    </row>
    <row r="1250" spans="1:52" ht="15" x14ac:dyDescent="0.25">
      <c r="A1250" s="70"/>
      <c r="B1250" s="70"/>
      <c r="C1250" s="71"/>
      <c r="D1250" s="71"/>
      <c r="E1250" s="71"/>
      <c r="F1250" s="71"/>
      <c r="G1250" s="71"/>
      <c r="H1250" s="71"/>
      <c r="I1250" s="71"/>
      <c r="J1250" s="71"/>
      <c r="K1250" s="71"/>
      <c r="L1250" s="71"/>
      <c r="M1250" s="71"/>
      <c r="N1250" s="19"/>
      <c r="O1250" s="13"/>
      <c r="P1250" s="13"/>
      <c r="Q1250" s="13"/>
      <c r="R1250" s="13"/>
      <c r="S1250" s="13"/>
      <c r="T1250" s="13"/>
      <c r="U1250" s="13"/>
      <c r="V1250" s="13"/>
      <c r="W1250" s="13"/>
      <c r="AY1250" s="10"/>
      <c r="AZ1250" s="10"/>
    </row>
    <row r="1251" spans="1:52" ht="15" x14ac:dyDescent="0.25">
      <c r="A1251" s="70"/>
      <c r="B1251" s="70"/>
      <c r="C1251" s="71"/>
      <c r="D1251" s="71"/>
      <c r="E1251" s="71"/>
      <c r="F1251" s="71"/>
      <c r="G1251" s="71"/>
      <c r="H1251" s="71"/>
      <c r="I1251" s="71"/>
      <c r="J1251" s="71"/>
      <c r="K1251" s="71"/>
      <c r="L1251" s="71"/>
      <c r="M1251" s="71"/>
      <c r="N1251" s="19"/>
      <c r="O1251" s="13"/>
      <c r="P1251" s="13"/>
      <c r="Q1251" s="13"/>
      <c r="R1251" s="13"/>
      <c r="S1251" s="13"/>
      <c r="T1251" s="13"/>
      <c r="U1251" s="13"/>
      <c r="V1251" s="13"/>
      <c r="W1251" s="13"/>
      <c r="AY1251" s="10"/>
      <c r="AZ1251" s="10"/>
    </row>
    <row r="1252" spans="1:52" ht="15" x14ac:dyDescent="0.25">
      <c r="A1252" s="70"/>
      <c r="B1252" s="70"/>
      <c r="C1252" s="71"/>
      <c r="D1252" s="71"/>
      <c r="E1252" s="71"/>
      <c r="F1252" s="71"/>
      <c r="G1252" s="71"/>
      <c r="H1252" s="71"/>
      <c r="I1252" s="71"/>
      <c r="J1252" s="71"/>
      <c r="K1252" s="71"/>
      <c r="L1252" s="71"/>
      <c r="M1252" s="71"/>
      <c r="N1252" s="19"/>
      <c r="O1252" s="13"/>
      <c r="P1252" s="13"/>
      <c r="Q1252" s="13"/>
      <c r="R1252" s="13"/>
      <c r="S1252" s="13"/>
      <c r="T1252" s="13"/>
      <c r="U1252" s="13"/>
      <c r="V1252" s="13"/>
      <c r="W1252" s="13"/>
      <c r="AY1252" s="10"/>
      <c r="AZ1252" s="10"/>
    </row>
    <row r="1253" spans="1:52" ht="15" x14ac:dyDescent="0.25">
      <c r="A1253" s="70"/>
      <c r="B1253" s="70"/>
      <c r="C1253" s="71"/>
      <c r="D1253" s="71"/>
      <c r="E1253" s="71"/>
      <c r="F1253" s="71"/>
      <c r="G1253" s="71"/>
      <c r="H1253" s="71"/>
      <c r="I1253" s="71"/>
      <c r="J1253" s="71"/>
      <c r="K1253" s="71"/>
      <c r="L1253" s="71"/>
      <c r="M1253" s="71"/>
      <c r="N1253" s="19"/>
      <c r="O1253" s="13"/>
      <c r="P1253" s="13"/>
      <c r="Q1253" s="13"/>
      <c r="R1253" s="13"/>
      <c r="S1253" s="13"/>
      <c r="T1253" s="13"/>
      <c r="U1253" s="13"/>
      <c r="V1253" s="13"/>
      <c r="W1253" s="13"/>
      <c r="AY1253" s="10"/>
      <c r="AZ1253" s="10"/>
    </row>
    <row r="1254" spans="1:52" ht="15" x14ac:dyDescent="0.25">
      <c r="A1254" s="70"/>
      <c r="B1254" s="70"/>
      <c r="C1254" s="71"/>
      <c r="D1254" s="71"/>
      <c r="E1254" s="71"/>
      <c r="F1254" s="71"/>
      <c r="G1254" s="71"/>
      <c r="H1254" s="71"/>
      <c r="I1254" s="71"/>
      <c r="J1254" s="71"/>
      <c r="K1254" s="71"/>
      <c r="L1254" s="71"/>
      <c r="M1254" s="71"/>
      <c r="N1254" s="19"/>
      <c r="O1254" s="13"/>
      <c r="P1254" s="13"/>
      <c r="Q1254" s="13"/>
      <c r="R1254" s="13"/>
      <c r="S1254" s="13"/>
      <c r="T1254" s="13"/>
      <c r="U1254" s="13"/>
      <c r="V1254" s="13"/>
      <c r="W1254" s="13"/>
      <c r="AY1254" s="10"/>
      <c r="AZ1254" s="10"/>
    </row>
    <row r="1255" spans="1:52" ht="15" x14ac:dyDescent="0.25">
      <c r="A1255" s="70"/>
      <c r="B1255" s="70"/>
      <c r="C1255" s="71"/>
      <c r="D1255" s="71"/>
      <c r="E1255" s="71"/>
      <c r="F1255" s="71"/>
      <c r="G1255" s="71"/>
      <c r="H1255" s="71"/>
      <c r="I1255" s="71"/>
      <c r="J1255" s="71"/>
      <c r="K1255" s="71"/>
      <c r="L1255" s="71"/>
      <c r="M1255" s="71"/>
      <c r="N1255" s="19"/>
      <c r="O1255" s="13"/>
      <c r="P1255" s="13"/>
      <c r="Q1255" s="13"/>
      <c r="R1255" s="13"/>
      <c r="S1255" s="13"/>
      <c r="T1255" s="13"/>
      <c r="U1255" s="13"/>
      <c r="V1255" s="13"/>
      <c r="W1255" s="13"/>
      <c r="AY1255" s="10"/>
      <c r="AZ1255" s="10"/>
    </row>
    <row r="1256" spans="1:52" ht="15" x14ac:dyDescent="0.25">
      <c r="A1256" s="70"/>
      <c r="B1256" s="70"/>
      <c r="C1256" s="71"/>
      <c r="D1256" s="71"/>
      <c r="E1256" s="71"/>
      <c r="F1256" s="71"/>
      <c r="G1256" s="71"/>
      <c r="H1256" s="71"/>
      <c r="I1256" s="71"/>
      <c r="J1256" s="71"/>
      <c r="K1256" s="71"/>
      <c r="L1256" s="71"/>
      <c r="M1256" s="71"/>
      <c r="N1256" s="19"/>
      <c r="O1256" s="13"/>
      <c r="P1256" s="13"/>
      <c r="Q1256" s="13"/>
      <c r="R1256" s="13"/>
      <c r="S1256" s="13"/>
      <c r="T1256" s="13"/>
      <c r="U1256" s="13"/>
      <c r="V1256" s="13"/>
      <c r="W1256" s="13"/>
      <c r="AY1256" s="10"/>
      <c r="AZ1256" s="10"/>
    </row>
    <row r="1257" spans="1:52" ht="15" x14ac:dyDescent="0.25">
      <c r="A1257" s="70"/>
      <c r="B1257" s="70"/>
      <c r="C1257" s="71"/>
      <c r="D1257" s="71"/>
      <c r="E1257" s="71"/>
      <c r="F1257" s="71"/>
      <c r="G1257" s="71"/>
      <c r="H1257" s="71"/>
      <c r="I1257" s="71"/>
      <c r="J1257" s="71"/>
      <c r="K1257" s="71"/>
      <c r="L1257" s="71"/>
      <c r="M1257" s="71"/>
      <c r="N1257" s="19"/>
      <c r="O1257" s="13"/>
      <c r="P1257" s="13"/>
      <c r="Q1257" s="13"/>
      <c r="R1257" s="13"/>
      <c r="S1257" s="13"/>
      <c r="T1257" s="13"/>
      <c r="U1257" s="13"/>
      <c r="V1257" s="13"/>
      <c r="W1257" s="13"/>
      <c r="AY1257" s="10"/>
      <c r="AZ1257" s="10"/>
    </row>
    <row r="1258" spans="1:52" ht="15" x14ac:dyDescent="0.25">
      <c r="A1258" s="70"/>
      <c r="B1258" s="70"/>
      <c r="C1258" s="71"/>
      <c r="D1258" s="71"/>
      <c r="E1258" s="71"/>
      <c r="F1258" s="71"/>
      <c r="G1258" s="71"/>
      <c r="H1258" s="71"/>
      <c r="I1258" s="71"/>
      <c r="J1258" s="71"/>
      <c r="K1258" s="71"/>
      <c r="L1258" s="71"/>
      <c r="M1258" s="71"/>
      <c r="N1258" s="19"/>
      <c r="O1258" s="13"/>
      <c r="P1258" s="13"/>
      <c r="Q1258" s="13"/>
      <c r="R1258" s="13"/>
      <c r="S1258" s="13"/>
      <c r="T1258" s="13"/>
      <c r="U1258" s="13"/>
      <c r="V1258" s="13"/>
      <c r="W1258" s="13"/>
      <c r="AY1258" s="10"/>
      <c r="AZ1258" s="10"/>
    </row>
    <row r="1259" spans="1:52" ht="15" x14ac:dyDescent="0.25">
      <c r="A1259" s="70"/>
      <c r="B1259" s="70"/>
      <c r="C1259" s="71"/>
      <c r="D1259" s="71"/>
      <c r="E1259" s="71"/>
      <c r="F1259" s="71"/>
      <c r="G1259" s="71"/>
      <c r="H1259" s="71"/>
      <c r="I1259" s="71"/>
      <c r="J1259" s="71"/>
      <c r="K1259" s="71"/>
      <c r="L1259" s="71"/>
      <c r="M1259" s="71"/>
      <c r="N1259" s="19"/>
      <c r="O1259" s="13"/>
      <c r="P1259" s="13"/>
      <c r="Q1259" s="13"/>
      <c r="R1259" s="13"/>
      <c r="S1259" s="13"/>
      <c r="T1259" s="13"/>
      <c r="U1259" s="13"/>
      <c r="V1259" s="13"/>
      <c r="W1259" s="13"/>
      <c r="AY1259" s="10"/>
      <c r="AZ1259" s="10"/>
    </row>
    <row r="1260" spans="1:52" ht="15" x14ac:dyDescent="0.25">
      <c r="A1260" s="70"/>
      <c r="B1260" s="70"/>
      <c r="C1260" s="71"/>
      <c r="D1260" s="71"/>
      <c r="E1260" s="71"/>
      <c r="F1260" s="71"/>
      <c r="G1260" s="71"/>
      <c r="H1260" s="71"/>
      <c r="I1260" s="71"/>
      <c r="J1260" s="71"/>
      <c r="K1260" s="71"/>
      <c r="L1260" s="71"/>
      <c r="M1260" s="71"/>
      <c r="N1260" s="19"/>
      <c r="O1260" s="13"/>
      <c r="P1260" s="13"/>
      <c r="Q1260" s="13"/>
      <c r="R1260" s="13"/>
      <c r="S1260" s="13"/>
      <c r="T1260" s="13"/>
      <c r="U1260" s="13"/>
      <c r="V1260" s="13"/>
      <c r="W1260" s="13"/>
      <c r="AY1260" s="10"/>
      <c r="AZ1260" s="10"/>
    </row>
    <row r="1261" spans="1:52" ht="15" x14ac:dyDescent="0.25">
      <c r="A1261" s="70"/>
      <c r="B1261" s="70"/>
      <c r="C1261" s="71"/>
      <c r="D1261" s="71"/>
      <c r="E1261" s="71"/>
      <c r="F1261" s="71"/>
      <c r="G1261" s="71"/>
      <c r="H1261" s="71"/>
      <c r="I1261" s="71"/>
      <c r="J1261" s="71"/>
      <c r="K1261" s="71"/>
      <c r="L1261" s="71"/>
      <c r="M1261" s="71"/>
      <c r="N1261" s="19"/>
      <c r="O1261" s="13"/>
      <c r="P1261" s="13"/>
      <c r="Q1261" s="13"/>
      <c r="R1261" s="13"/>
      <c r="S1261" s="13"/>
      <c r="T1261" s="13"/>
      <c r="U1261" s="13"/>
      <c r="V1261" s="13"/>
      <c r="W1261" s="13"/>
      <c r="AY1261" s="10"/>
      <c r="AZ1261" s="10"/>
    </row>
    <row r="1262" spans="1:52" ht="15" x14ac:dyDescent="0.25">
      <c r="A1262" s="70"/>
      <c r="B1262" s="70"/>
      <c r="C1262" s="71"/>
      <c r="D1262" s="71"/>
      <c r="E1262" s="71"/>
      <c r="F1262" s="71"/>
      <c r="G1262" s="71"/>
      <c r="H1262" s="71"/>
      <c r="I1262" s="71"/>
      <c r="J1262" s="71"/>
      <c r="K1262" s="71"/>
      <c r="L1262" s="71"/>
      <c r="M1262" s="71"/>
      <c r="N1262" s="19"/>
      <c r="O1262" s="13"/>
      <c r="P1262" s="13"/>
      <c r="Q1262" s="13"/>
      <c r="R1262" s="13"/>
      <c r="S1262" s="13"/>
      <c r="T1262" s="13"/>
      <c r="U1262" s="13"/>
      <c r="V1262" s="13"/>
      <c r="W1262" s="13"/>
      <c r="AY1262" s="10"/>
      <c r="AZ1262" s="10"/>
    </row>
    <row r="1263" spans="1:52" ht="15" x14ac:dyDescent="0.25">
      <c r="A1263" s="70"/>
      <c r="B1263" s="70"/>
      <c r="C1263" s="71"/>
      <c r="D1263" s="71"/>
      <c r="E1263" s="71"/>
      <c r="F1263" s="71"/>
      <c r="G1263" s="71"/>
      <c r="H1263" s="71"/>
      <c r="I1263" s="71"/>
      <c r="J1263" s="71"/>
      <c r="K1263" s="71"/>
      <c r="L1263" s="71"/>
      <c r="M1263" s="71"/>
      <c r="N1263" s="19"/>
      <c r="O1263" s="13"/>
      <c r="P1263" s="13"/>
      <c r="Q1263" s="13"/>
      <c r="R1263" s="13"/>
      <c r="S1263" s="13"/>
      <c r="T1263" s="13"/>
      <c r="U1263" s="13"/>
      <c r="V1263" s="13"/>
      <c r="W1263" s="13"/>
      <c r="AY1263" s="10"/>
      <c r="AZ1263" s="10"/>
    </row>
    <row r="1264" spans="1:52" ht="15" x14ac:dyDescent="0.25">
      <c r="A1264" s="70"/>
      <c r="B1264" s="70"/>
      <c r="C1264" s="71"/>
      <c r="D1264" s="71"/>
      <c r="E1264" s="71"/>
      <c r="F1264" s="71"/>
      <c r="G1264" s="71"/>
      <c r="H1264" s="71"/>
      <c r="I1264" s="71"/>
      <c r="J1264" s="71"/>
      <c r="K1264" s="71"/>
      <c r="L1264" s="71"/>
      <c r="M1264" s="71"/>
      <c r="N1264" s="19"/>
      <c r="O1264" s="13"/>
      <c r="P1264" s="13"/>
      <c r="Q1264" s="13"/>
      <c r="R1264" s="13"/>
      <c r="S1264" s="13"/>
      <c r="T1264" s="13"/>
      <c r="U1264" s="13"/>
      <c r="V1264" s="13"/>
      <c r="W1264" s="13"/>
      <c r="AY1264" s="10"/>
      <c r="AZ1264" s="10"/>
    </row>
    <row r="1265" spans="1:52" ht="15" x14ac:dyDescent="0.25">
      <c r="A1265" s="70"/>
      <c r="B1265" s="70"/>
      <c r="C1265" s="71"/>
      <c r="D1265" s="71"/>
      <c r="E1265" s="71"/>
      <c r="F1265" s="71"/>
      <c r="G1265" s="71"/>
      <c r="H1265" s="71"/>
      <c r="I1265" s="71"/>
      <c r="J1265" s="71"/>
      <c r="K1265" s="71"/>
      <c r="L1265" s="71"/>
      <c r="M1265" s="71"/>
      <c r="N1265" s="19"/>
      <c r="O1265" s="13"/>
      <c r="P1265" s="13"/>
      <c r="Q1265" s="13"/>
      <c r="R1265" s="13"/>
      <c r="S1265" s="13"/>
      <c r="T1265" s="13"/>
      <c r="U1265" s="13"/>
      <c r="V1265" s="13"/>
      <c r="W1265" s="13"/>
      <c r="AY1265" s="10"/>
      <c r="AZ1265" s="10"/>
    </row>
    <row r="1266" spans="1:52" ht="15" x14ac:dyDescent="0.25">
      <c r="A1266" s="70"/>
      <c r="B1266" s="70"/>
      <c r="C1266" s="71"/>
      <c r="D1266" s="71"/>
      <c r="E1266" s="71"/>
      <c r="F1266" s="71"/>
      <c r="G1266" s="71"/>
      <c r="H1266" s="71"/>
      <c r="I1266" s="71"/>
      <c r="J1266" s="71"/>
      <c r="K1266" s="71"/>
      <c r="L1266" s="71"/>
      <c r="M1266" s="71"/>
      <c r="N1266" s="19"/>
      <c r="O1266" s="13"/>
      <c r="P1266" s="13"/>
      <c r="Q1266" s="13"/>
      <c r="R1266" s="13"/>
      <c r="S1266" s="13"/>
      <c r="T1266" s="13"/>
      <c r="U1266" s="13"/>
      <c r="V1266" s="13"/>
      <c r="W1266" s="13"/>
      <c r="AY1266" s="10"/>
      <c r="AZ1266" s="10"/>
    </row>
    <row r="1267" spans="1:52" ht="15" x14ac:dyDescent="0.25">
      <c r="A1267" s="70"/>
      <c r="B1267" s="70"/>
      <c r="C1267" s="71"/>
      <c r="D1267" s="71"/>
      <c r="E1267" s="71"/>
      <c r="F1267" s="71"/>
      <c r="G1267" s="71"/>
      <c r="H1267" s="71"/>
      <c r="I1267" s="71"/>
      <c r="J1267" s="71"/>
      <c r="K1267" s="71"/>
      <c r="L1267" s="71"/>
      <c r="M1267" s="71"/>
      <c r="N1267" s="19"/>
      <c r="O1267" s="13"/>
      <c r="P1267" s="13"/>
      <c r="Q1267" s="13"/>
      <c r="R1267" s="13"/>
      <c r="S1267" s="13"/>
      <c r="T1267" s="13"/>
      <c r="U1267" s="13"/>
      <c r="V1267" s="13"/>
      <c r="W1267" s="13"/>
      <c r="AY1267" s="10"/>
      <c r="AZ1267" s="10"/>
    </row>
    <row r="1268" spans="1:52" ht="15" x14ac:dyDescent="0.25">
      <c r="A1268" s="70"/>
      <c r="B1268" s="70"/>
      <c r="C1268" s="71"/>
      <c r="D1268" s="71"/>
      <c r="E1268" s="71"/>
      <c r="F1268" s="71"/>
      <c r="G1268" s="71"/>
      <c r="H1268" s="71"/>
      <c r="I1268" s="71"/>
      <c r="J1268" s="71"/>
      <c r="K1268" s="71"/>
      <c r="L1268" s="71"/>
      <c r="M1268" s="71"/>
      <c r="N1268" s="19"/>
      <c r="O1268" s="13"/>
      <c r="P1268" s="13"/>
      <c r="Q1268" s="13"/>
      <c r="R1268" s="13"/>
      <c r="S1268" s="13"/>
      <c r="T1268" s="13"/>
      <c r="U1268" s="13"/>
      <c r="V1268" s="13"/>
      <c r="W1268" s="13"/>
      <c r="AY1268" s="10"/>
      <c r="AZ1268" s="10"/>
    </row>
    <row r="1269" spans="1:52" ht="15" x14ac:dyDescent="0.25">
      <c r="A1269" s="70"/>
      <c r="B1269" s="70"/>
      <c r="C1269" s="71"/>
      <c r="D1269" s="71"/>
      <c r="E1269" s="71"/>
      <c r="F1269" s="71"/>
      <c r="G1269" s="71"/>
      <c r="H1269" s="71"/>
      <c r="I1269" s="71"/>
      <c r="J1269" s="71"/>
      <c r="K1269" s="71"/>
      <c r="L1269" s="71"/>
      <c r="M1269" s="71"/>
      <c r="N1269" s="19"/>
      <c r="O1269" s="13"/>
      <c r="P1269" s="13"/>
      <c r="Q1269" s="13"/>
      <c r="R1269" s="13"/>
      <c r="S1269" s="13"/>
      <c r="T1269" s="13"/>
      <c r="U1269" s="13"/>
      <c r="V1269" s="13"/>
      <c r="W1269" s="13"/>
      <c r="AY1269" s="10"/>
      <c r="AZ1269" s="10"/>
    </row>
    <row r="1270" spans="1:52" ht="15" x14ac:dyDescent="0.25">
      <c r="A1270" s="70"/>
      <c r="B1270" s="70"/>
      <c r="C1270" s="71"/>
      <c r="D1270" s="71"/>
      <c r="E1270" s="71"/>
      <c r="F1270" s="71"/>
      <c r="G1270" s="71"/>
      <c r="H1270" s="71"/>
      <c r="I1270" s="71"/>
      <c r="J1270" s="71"/>
      <c r="K1270" s="71"/>
      <c r="L1270" s="71"/>
      <c r="M1270" s="71"/>
      <c r="N1270" s="19"/>
      <c r="O1270" s="13"/>
      <c r="P1270" s="13"/>
      <c r="Q1270" s="13"/>
      <c r="R1270" s="13"/>
      <c r="S1270" s="13"/>
      <c r="T1270" s="13"/>
      <c r="U1270" s="13"/>
      <c r="V1270" s="13"/>
      <c r="W1270" s="13"/>
      <c r="AY1270" s="10"/>
      <c r="AZ1270" s="10"/>
    </row>
    <row r="1271" spans="1:52" ht="15" x14ac:dyDescent="0.25">
      <c r="A1271" s="70"/>
      <c r="B1271" s="70"/>
      <c r="C1271" s="71"/>
      <c r="D1271" s="71"/>
      <c r="E1271" s="71"/>
      <c r="F1271" s="71"/>
      <c r="G1271" s="71"/>
      <c r="H1271" s="71"/>
      <c r="I1271" s="71"/>
      <c r="J1271" s="71"/>
      <c r="K1271" s="71"/>
      <c r="L1271" s="71"/>
      <c r="M1271" s="71"/>
      <c r="N1271" s="19"/>
      <c r="O1271" s="13"/>
      <c r="P1271" s="13"/>
      <c r="Q1271" s="13"/>
      <c r="R1271" s="13"/>
      <c r="S1271" s="13"/>
      <c r="T1271" s="13"/>
      <c r="U1271" s="13"/>
      <c r="V1271" s="13"/>
      <c r="W1271" s="13"/>
      <c r="AY1271" s="10"/>
      <c r="AZ1271" s="10"/>
    </row>
    <row r="1272" spans="1:52" ht="15" x14ac:dyDescent="0.25">
      <c r="A1272" s="70"/>
      <c r="B1272" s="70"/>
      <c r="C1272" s="71"/>
      <c r="D1272" s="71"/>
      <c r="E1272" s="71"/>
      <c r="F1272" s="71"/>
      <c r="G1272" s="71"/>
      <c r="H1272" s="71"/>
      <c r="I1272" s="71"/>
      <c r="J1272" s="71"/>
      <c r="K1272" s="71"/>
      <c r="L1272" s="71"/>
      <c r="M1272" s="71"/>
      <c r="N1272" s="19"/>
      <c r="O1272" s="13"/>
      <c r="P1272" s="13"/>
      <c r="Q1272" s="13"/>
      <c r="R1272" s="13"/>
      <c r="S1272" s="13"/>
      <c r="T1272" s="13"/>
      <c r="U1272" s="13"/>
      <c r="V1272" s="13"/>
      <c r="W1272" s="13"/>
      <c r="AY1272" s="10"/>
      <c r="AZ1272" s="10"/>
    </row>
    <row r="1273" spans="1:52" ht="15" x14ac:dyDescent="0.25">
      <c r="A1273" s="70"/>
      <c r="B1273" s="70"/>
      <c r="C1273" s="71"/>
      <c r="D1273" s="71"/>
      <c r="E1273" s="71"/>
      <c r="F1273" s="71"/>
      <c r="G1273" s="71"/>
      <c r="H1273" s="71"/>
      <c r="I1273" s="71"/>
      <c r="J1273" s="71"/>
      <c r="K1273" s="71"/>
      <c r="L1273" s="71"/>
      <c r="M1273" s="71"/>
      <c r="N1273" s="19"/>
      <c r="O1273" s="13"/>
      <c r="P1273" s="13"/>
      <c r="Q1273" s="13"/>
      <c r="R1273" s="13"/>
      <c r="S1273" s="13"/>
      <c r="T1273" s="13"/>
      <c r="U1273" s="13"/>
      <c r="V1273" s="13"/>
      <c r="W1273" s="13"/>
      <c r="AY1273" s="10"/>
      <c r="AZ1273" s="10"/>
    </row>
    <row r="1274" spans="1:52" ht="15" x14ac:dyDescent="0.25">
      <c r="A1274" s="70"/>
      <c r="B1274" s="70"/>
      <c r="C1274" s="71"/>
      <c r="D1274" s="71"/>
      <c r="E1274" s="71"/>
      <c r="F1274" s="71"/>
      <c r="G1274" s="71"/>
      <c r="H1274" s="71"/>
      <c r="I1274" s="71"/>
      <c r="J1274" s="71"/>
      <c r="K1274" s="71"/>
      <c r="L1274" s="71"/>
      <c r="M1274" s="71"/>
      <c r="N1274" s="19"/>
      <c r="O1274" s="13"/>
      <c r="P1274" s="13"/>
      <c r="Q1274" s="13"/>
      <c r="R1274" s="13"/>
      <c r="S1274" s="13"/>
      <c r="T1274" s="13"/>
      <c r="U1274" s="13"/>
      <c r="V1274" s="13"/>
      <c r="W1274" s="13"/>
      <c r="AY1274" s="10"/>
      <c r="AZ1274" s="10"/>
    </row>
    <row r="1275" spans="1:52" ht="15" x14ac:dyDescent="0.25">
      <c r="A1275" s="70"/>
      <c r="B1275" s="70"/>
      <c r="C1275" s="71"/>
      <c r="D1275" s="71"/>
      <c r="E1275" s="71"/>
      <c r="F1275" s="71"/>
      <c r="G1275" s="71"/>
      <c r="H1275" s="71"/>
      <c r="I1275" s="71"/>
      <c r="J1275" s="71"/>
      <c r="K1275" s="71"/>
      <c r="L1275" s="71"/>
      <c r="M1275" s="71"/>
      <c r="N1275" s="19"/>
      <c r="O1275" s="13"/>
      <c r="P1275" s="13"/>
      <c r="Q1275" s="13"/>
      <c r="R1275" s="13"/>
      <c r="S1275" s="13"/>
      <c r="T1275" s="13"/>
      <c r="U1275" s="13"/>
      <c r="V1275" s="13"/>
      <c r="W1275" s="13"/>
      <c r="AY1275" s="10"/>
      <c r="AZ1275" s="10"/>
    </row>
    <row r="1276" spans="1:52" ht="15" x14ac:dyDescent="0.25">
      <c r="A1276" s="70"/>
      <c r="B1276" s="70"/>
      <c r="C1276" s="71"/>
      <c r="D1276" s="71"/>
      <c r="E1276" s="71"/>
      <c r="F1276" s="71"/>
      <c r="G1276" s="71"/>
      <c r="H1276" s="71"/>
      <c r="I1276" s="71"/>
      <c r="J1276" s="71"/>
      <c r="K1276" s="71"/>
      <c r="L1276" s="71"/>
      <c r="M1276" s="71"/>
      <c r="N1276" s="19"/>
      <c r="O1276" s="13"/>
      <c r="P1276" s="13"/>
      <c r="Q1276" s="13"/>
      <c r="R1276" s="13"/>
      <c r="S1276" s="13"/>
      <c r="T1276" s="13"/>
      <c r="U1276" s="13"/>
      <c r="V1276" s="13"/>
      <c r="W1276" s="13"/>
      <c r="AY1276" s="10"/>
      <c r="AZ1276" s="10"/>
    </row>
    <row r="1277" spans="1:52" ht="15" x14ac:dyDescent="0.25">
      <c r="A1277" s="70"/>
      <c r="B1277" s="70"/>
      <c r="C1277" s="71"/>
      <c r="D1277" s="71"/>
      <c r="E1277" s="71"/>
      <c r="F1277" s="71"/>
      <c r="G1277" s="71"/>
      <c r="H1277" s="71"/>
      <c r="I1277" s="71"/>
      <c r="J1277" s="71"/>
      <c r="K1277" s="71"/>
      <c r="L1277" s="71"/>
      <c r="M1277" s="71"/>
      <c r="N1277" s="19"/>
      <c r="O1277" s="13"/>
      <c r="P1277" s="13"/>
      <c r="Q1277" s="13"/>
      <c r="R1277" s="13"/>
      <c r="S1277" s="13"/>
      <c r="T1277" s="13"/>
      <c r="U1277" s="13"/>
      <c r="V1277" s="13"/>
      <c r="W1277" s="13"/>
      <c r="AY1277" s="10"/>
      <c r="AZ1277" s="10"/>
    </row>
    <row r="1278" spans="1:52" ht="15" x14ac:dyDescent="0.25">
      <c r="A1278" s="70"/>
      <c r="B1278" s="70"/>
      <c r="C1278" s="71"/>
      <c r="D1278" s="71"/>
      <c r="E1278" s="71"/>
      <c r="F1278" s="71"/>
      <c r="G1278" s="71"/>
      <c r="H1278" s="71"/>
      <c r="I1278" s="71"/>
      <c r="J1278" s="71"/>
      <c r="K1278" s="71"/>
      <c r="L1278" s="71"/>
      <c r="M1278" s="71"/>
      <c r="N1278" s="19"/>
      <c r="O1278" s="13"/>
      <c r="P1278" s="13"/>
      <c r="Q1278" s="13"/>
      <c r="R1278" s="13"/>
      <c r="S1278" s="13"/>
      <c r="T1278" s="13"/>
      <c r="U1278" s="13"/>
      <c r="V1278" s="13"/>
      <c r="W1278" s="13"/>
      <c r="AY1278" s="10"/>
      <c r="AZ1278" s="10"/>
    </row>
    <row r="1279" spans="1:52" ht="15" x14ac:dyDescent="0.25">
      <c r="A1279" s="70"/>
      <c r="B1279" s="70"/>
      <c r="C1279" s="71"/>
      <c r="D1279" s="71"/>
      <c r="E1279" s="71"/>
      <c r="F1279" s="71"/>
      <c r="G1279" s="71"/>
      <c r="H1279" s="71"/>
      <c r="I1279" s="71"/>
      <c r="J1279" s="71"/>
      <c r="K1279" s="71"/>
      <c r="L1279" s="71"/>
      <c r="M1279" s="71"/>
      <c r="N1279" s="19"/>
      <c r="O1279" s="13"/>
      <c r="P1279" s="13"/>
      <c r="Q1279" s="13"/>
      <c r="R1279" s="13"/>
      <c r="S1279" s="13"/>
      <c r="T1279" s="13"/>
      <c r="U1279" s="13"/>
      <c r="V1279" s="13"/>
      <c r="W1279" s="13"/>
      <c r="AY1279" s="10"/>
      <c r="AZ1279" s="10"/>
    </row>
    <row r="1280" spans="1:52" ht="15" x14ac:dyDescent="0.25">
      <c r="A1280" s="70"/>
      <c r="B1280" s="70"/>
      <c r="C1280" s="71"/>
      <c r="D1280" s="71"/>
      <c r="E1280" s="71"/>
      <c r="F1280" s="71"/>
      <c r="G1280" s="71"/>
      <c r="H1280" s="71"/>
      <c r="I1280" s="71"/>
      <c r="J1280" s="71"/>
      <c r="K1280" s="71"/>
      <c r="L1280" s="71"/>
      <c r="M1280" s="71"/>
      <c r="N1280" s="19"/>
      <c r="O1280" s="13"/>
      <c r="P1280" s="13"/>
      <c r="Q1280" s="13"/>
      <c r="R1280" s="13"/>
      <c r="S1280" s="13"/>
      <c r="T1280" s="13"/>
      <c r="U1280" s="13"/>
      <c r="V1280" s="13"/>
      <c r="W1280" s="13"/>
      <c r="AY1280" s="10"/>
      <c r="AZ1280" s="10"/>
    </row>
    <row r="1281" spans="1:52" ht="15" x14ac:dyDescent="0.25">
      <c r="A1281" s="70"/>
      <c r="B1281" s="70"/>
      <c r="C1281" s="71"/>
      <c r="D1281" s="71"/>
      <c r="E1281" s="71"/>
      <c r="F1281" s="71"/>
      <c r="G1281" s="71"/>
      <c r="H1281" s="71"/>
      <c r="I1281" s="71"/>
      <c r="J1281" s="71"/>
      <c r="K1281" s="71"/>
      <c r="L1281" s="71"/>
      <c r="M1281" s="71"/>
      <c r="N1281" s="19"/>
      <c r="O1281" s="13"/>
      <c r="P1281" s="13"/>
      <c r="Q1281" s="13"/>
      <c r="R1281" s="13"/>
      <c r="S1281" s="13"/>
      <c r="T1281" s="13"/>
      <c r="U1281" s="13"/>
      <c r="V1281" s="13"/>
      <c r="W1281" s="13"/>
      <c r="AY1281" s="10"/>
      <c r="AZ1281" s="10"/>
    </row>
    <row r="1282" spans="1:52" ht="15" x14ac:dyDescent="0.25">
      <c r="A1282" s="70"/>
      <c r="B1282" s="70"/>
      <c r="C1282" s="71"/>
      <c r="D1282" s="71"/>
      <c r="E1282" s="71"/>
      <c r="F1282" s="71"/>
      <c r="G1282" s="71"/>
      <c r="H1282" s="71"/>
      <c r="I1282" s="71"/>
      <c r="J1282" s="71"/>
      <c r="K1282" s="71"/>
      <c r="L1282" s="71"/>
      <c r="M1282" s="71"/>
      <c r="N1282" s="19"/>
      <c r="O1282" s="13"/>
      <c r="P1282" s="13"/>
      <c r="Q1282" s="13"/>
      <c r="R1282" s="13"/>
      <c r="S1282" s="13"/>
      <c r="T1282" s="13"/>
      <c r="U1282" s="13"/>
      <c r="V1282" s="13"/>
      <c r="W1282" s="13"/>
      <c r="AY1282" s="10"/>
      <c r="AZ1282" s="10"/>
    </row>
    <row r="1283" spans="1:52" ht="15" x14ac:dyDescent="0.25">
      <c r="A1283" s="70"/>
      <c r="B1283" s="70"/>
      <c r="C1283" s="71"/>
      <c r="D1283" s="71"/>
      <c r="E1283" s="71"/>
      <c r="F1283" s="71"/>
      <c r="G1283" s="71"/>
      <c r="H1283" s="71"/>
      <c r="I1283" s="71"/>
      <c r="J1283" s="71"/>
      <c r="K1283" s="71"/>
      <c r="L1283" s="71"/>
      <c r="M1283" s="71"/>
      <c r="N1283" s="19"/>
      <c r="O1283" s="13"/>
      <c r="P1283" s="13"/>
      <c r="Q1283" s="13"/>
      <c r="R1283" s="13"/>
      <c r="S1283" s="13"/>
      <c r="T1283" s="13"/>
      <c r="U1283" s="13"/>
      <c r="V1283" s="13"/>
      <c r="W1283" s="13"/>
      <c r="AY1283" s="10"/>
      <c r="AZ1283" s="10"/>
    </row>
    <row r="1284" spans="1:52" ht="15" x14ac:dyDescent="0.25">
      <c r="A1284" s="70"/>
      <c r="B1284" s="70"/>
      <c r="C1284" s="71"/>
      <c r="D1284" s="71"/>
      <c r="E1284" s="71"/>
      <c r="F1284" s="71"/>
      <c r="G1284" s="71"/>
      <c r="H1284" s="71"/>
      <c r="I1284" s="71"/>
      <c r="J1284" s="71"/>
      <c r="K1284" s="71"/>
      <c r="L1284" s="71"/>
      <c r="M1284" s="71"/>
      <c r="N1284" s="19"/>
      <c r="O1284" s="13"/>
      <c r="P1284" s="13"/>
      <c r="Q1284" s="13"/>
      <c r="R1284" s="13"/>
      <c r="S1284" s="13"/>
      <c r="T1284" s="13"/>
      <c r="U1284" s="13"/>
      <c r="V1284" s="13"/>
      <c r="W1284" s="13"/>
      <c r="AY1284" s="10"/>
      <c r="AZ1284" s="10"/>
    </row>
    <row r="1285" spans="1:52" ht="15" x14ac:dyDescent="0.25">
      <c r="A1285" s="70"/>
      <c r="B1285" s="70"/>
      <c r="C1285" s="71"/>
      <c r="D1285" s="71"/>
      <c r="E1285" s="71"/>
      <c r="F1285" s="71"/>
      <c r="G1285" s="71"/>
      <c r="H1285" s="71"/>
      <c r="I1285" s="71"/>
      <c r="J1285" s="71"/>
      <c r="K1285" s="71"/>
      <c r="L1285" s="71"/>
      <c r="M1285" s="71"/>
      <c r="N1285" s="19"/>
      <c r="O1285" s="13"/>
      <c r="P1285" s="13"/>
      <c r="Q1285" s="13"/>
      <c r="R1285" s="13"/>
      <c r="S1285" s="13"/>
      <c r="T1285" s="13"/>
      <c r="U1285" s="13"/>
      <c r="V1285" s="13"/>
      <c r="W1285" s="13"/>
      <c r="AY1285" s="10"/>
      <c r="AZ1285" s="10"/>
    </row>
    <row r="1286" spans="1:52" ht="15" x14ac:dyDescent="0.25">
      <c r="A1286" s="70"/>
      <c r="B1286" s="70"/>
      <c r="C1286" s="71"/>
      <c r="D1286" s="71"/>
      <c r="E1286" s="71"/>
      <c r="F1286" s="71"/>
      <c r="G1286" s="71"/>
      <c r="H1286" s="71"/>
      <c r="I1286" s="71"/>
      <c r="J1286" s="71"/>
      <c r="K1286" s="71"/>
      <c r="L1286" s="71"/>
      <c r="M1286" s="71"/>
      <c r="N1286" s="19"/>
      <c r="O1286" s="13"/>
      <c r="P1286" s="13"/>
      <c r="Q1286" s="13"/>
      <c r="R1286" s="13"/>
      <c r="S1286" s="13"/>
      <c r="T1286" s="13"/>
      <c r="U1286" s="13"/>
      <c r="V1286" s="13"/>
      <c r="W1286" s="13"/>
      <c r="AY1286" s="10"/>
      <c r="AZ1286" s="10"/>
    </row>
    <row r="1287" spans="1:52" ht="15" x14ac:dyDescent="0.25">
      <c r="A1287" s="70"/>
      <c r="B1287" s="70"/>
      <c r="C1287" s="71"/>
      <c r="D1287" s="71"/>
      <c r="E1287" s="71"/>
      <c r="F1287" s="71"/>
      <c r="G1287" s="71"/>
      <c r="H1287" s="71"/>
      <c r="I1287" s="71"/>
      <c r="J1287" s="71"/>
      <c r="K1287" s="71"/>
      <c r="L1287" s="71"/>
      <c r="M1287" s="71"/>
      <c r="N1287" s="19"/>
      <c r="O1287" s="13"/>
      <c r="P1287" s="13"/>
      <c r="Q1287" s="13"/>
      <c r="R1287" s="13"/>
      <c r="S1287" s="13"/>
      <c r="T1287" s="13"/>
      <c r="U1287" s="13"/>
      <c r="V1287" s="13"/>
      <c r="W1287" s="13"/>
      <c r="AY1287" s="10"/>
      <c r="AZ1287" s="10"/>
    </row>
    <row r="1288" spans="1:52" ht="15" x14ac:dyDescent="0.25">
      <c r="A1288" s="70"/>
      <c r="B1288" s="70"/>
      <c r="C1288" s="71"/>
      <c r="D1288" s="71"/>
      <c r="E1288" s="71"/>
      <c r="F1288" s="71"/>
      <c r="G1288" s="71"/>
      <c r="H1288" s="71"/>
      <c r="I1288" s="71"/>
      <c r="J1288" s="71"/>
      <c r="K1288" s="71"/>
      <c r="L1288" s="71"/>
      <c r="M1288" s="71"/>
      <c r="N1288" s="19"/>
      <c r="O1288" s="13"/>
      <c r="P1288" s="13"/>
      <c r="Q1288" s="13"/>
      <c r="R1288" s="13"/>
      <c r="S1288" s="13"/>
      <c r="T1288" s="13"/>
      <c r="U1288" s="13"/>
      <c r="V1288" s="13"/>
      <c r="W1288" s="13"/>
      <c r="AY1288" s="10"/>
      <c r="AZ1288" s="10"/>
    </row>
    <row r="1289" spans="1:52" ht="15" x14ac:dyDescent="0.25">
      <c r="A1289" s="70"/>
      <c r="B1289" s="70"/>
      <c r="C1289" s="71"/>
      <c r="D1289" s="71"/>
      <c r="E1289" s="71"/>
      <c r="F1289" s="71"/>
      <c r="G1289" s="71"/>
      <c r="H1289" s="71"/>
      <c r="I1289" s="71"/>
      <c r="J1289" s="71"/>
      <c r="K1289" s="71"/>
      <c r="L1289" s="71"/>
      <c r="M1289" s="71"/>
      <c r="N1289" s="19"/>
      <c r="O1289" s="13"/>
      <c r="P1289" s="13"/>
      <c r="Q1289" s="13"/>
      <c r="R1289" s="13"/>
      <c r="S1289" s="13"/>
      <c r="T1289" s="13"/>
      <c r="U1289" s="13"/>
      <c r="V1289" s="13"/>
      <c r="W1289" s="13"/>
      <c r="AY1289" s="10"/>
      <c r="AZ1289" s="10"/>
    </row>
    <row r="1290" spans="1:52" ht="15" x14ac:dyDescent="0.25">
      <c r="A1290" s="70"/>
      <c r="B1290" s="70"/>
      <c r="C1290" s="71"/>
      <c r="D1290" s="71"/>
      <c r="E1290" s="71"/>
      <c r="F1290" s="71"/>
      <c r="G1290" s="71"/>
      <c r="H1290" s="71"/>
      <c r="I1290" s="71"/>
      <c r="J1290" s="71"/>
      <c r="K1290" s="71"/>
      <c r="L1290" s="71"/>
      <c r="M1290" s="71"/>
      <c r="N1290" s="19"/>
      <c r="O1290" s="13"/>
      <c r="P1290" s="13"/>
      <c r="Q1290" s="13"/>
      <c r="R1290" s="13"/>
      <c r="S1290" s="13"/>
      <c r="T1290" s="13"/>
      <c r="U1290" s="13"/>
      <c r="V1290" s="13"/>
      <c r="W1290" s="13"/>
      <c r="AY1290" s="10"/>
      <c r="AZ1290" s="10"/>
    </row>
    <row r="1291" spans="1:52" ht="15" x14ac:dyDescent="0.25">
      <c r="A1291" s="70"/>
      <c r="B1291" s="70"/>
      <c r="C1291" s="71"/>
      <c r="D1291" s="71"/>
      <c r="E1291" s="71"/>
      <c r="F1291" s="71"/>
      <c r="G1291" s="71"/>
      <c r="H1291" s="71"/>
      <c r="I1291" s="71"/>
      <c r="J1291" s="71"/>
      <c r="K1291" s="71"/>
      <c r="L1291" s="71"/>
      <c r="M1291" s="71"/>
      <c r="N1291" s="19"/>
      <c r="O1291" s="13"/>
      <c r="P1291" s="13"/>
      <c r="Q1291" s="13"/>
      <c r="R1291" s="13"/>
      <c r="S1291" s="13"/>
      <c r="T1291" s="13"/>
      <c r="U1291" s="13"/>
      <c r="V1291" s="13"/>
      <c r="W1291" s="13"/>
      <c r="AY1291" s="10"/>
      <c r="AZ1291" s="10"/>
    </row>
    <row r="1292" spans="1:52" ht="15" x14ac:dyDescent="0.25">
      <c r="A1292" s="70"/>
      <c r="B1292" s="70"/>
      <c r="C1292" s="71"/>
      <c r="D1292" s="71"/>
      <c r="E1292" s="71"/>
      <c r="F1292" s="71"/>
      <c r="G1292" s="71"/>
      <c r="H1292" s="71"/>
      <c r="I1292" s="71"/>
      <c r="J1292" s="71"/>
      <c r="K1292" s="71"/>
      <c r="L1292" s="71"/>
      <c r="M1292" s="71"/>
      <c r="N1292" s="19"/>
      <c r="O1292" s="13"/>
      <c r="P1292" s="13"/>
      <c r="Q1292" s="13"/>
      <c r="R1292" s="13"/>
      <c r="S1292" s="13"/>
      <c r="T1292" s="13"/>
      <c r="U1292" s="13"/>
      <c r="V1292" s="13"/>
      <c r="W1292" s="13"/>
      <c r="AY1292" s="10"/>
      <c r="AZ1292" s="10"/>
    </row>
    <row r="1293" spans="1:52" ht="15" x14ac:dyDescent="0.25">
      <c r="A1293" s="70"/>
      <c r="B1293" s="70"/>
      <c r="C1293" s="71"/>
      <c r="D1293" s="71"/>
      <c r="E1293" s="71"/>
      <c r="F1293" s="71"/>
      <c r="G1293" s="71"/>
      <c r="H1293" s="71"/>
      <c r="I1293" s="71"/>
      <c r="J1293" s="71"/>
      <c r="K1293" s="71"/>
      <c r="L1293" s="71"/>
      <c r="M1293" s="71"/>
      <c r="N1293" s="19"/>
      <c r="O1293" s="13"/>
      <c r="P1293" s="13"/>
      <c r="Q1293" s="13"/>
      <c r="R1293" s="13"/>
      <c r="S1293" s="13"/>
      <c r="T1293" s="13"/>
      <c r="U1293" s="13"/>
      <c r="V1293" s="13"/>
      <c r="W1293" s="13"/>
      <c r="AY1293" s="10"/>
      <c r="AZ1293" s="10"/>
    </row>
    <row r="1294" spans="1:52" ht="15" x14ac:dyDescent="0.25">
      <c r="A1294" s="70"/>
      <c r="B1294" s="70"/>
      <c r="C1294" s="71"/>
      <c r="D1294" s="71"/>
      <c r="E1294" s="71"/>
      <c r="F1294" s="71"/>
      <c r="G1294" s="71"/>
      <c r="H1294" s="71"/>
      <c r="I1294" s="71"/>
      <c r="J1294" s="71"/>
      <c r="K1294" s="71"/>
      <c r="L1294" s="71"/>
      <c r="M1294" s="71"/>
      <c r="N1294" s="19"/>
      <c r="O1294" s="13"/>
      <c r="P1294" s="13"/>
      <c r="Q1294" s="13"/>
      <c r="R1294" s="13"/>
      <c r="S1294" s="13"/>
      <c r="T1294" s="13"/>
      <c r="U1294" s="13"/>
      <c r="V1294" s="13"/>
      <c r="W1294" s="13"/>
      <c r="AY1294" s="10"/>
      <c r="AZ1294" s="10"/>
    </row>
    <row r="1295" spans="1:52" ht="15" x14ac:dyDescent="0.25">
      <c r="A1295" s="70"/>
      <c r="B1295" s="70"/>
      <c r="C1295" s="71"/>
      <c r="D1295" s="71"/>
      <c r="E1295" s="71"/>
      <c r="F1295" s="71"/>
      <c r="G1295" s="71"/>
      <c r="H1295" s="71"/>
      <c r="I1295" s="71"/>
      <c r="J1295" s="71"/>
      <c r="K1295" s="71"/>
      <c r="L1295" s="71"/>
      <c r="M1295" s="71"/>
      <c r="N1295" s="19"/>
      <c r="O1295" s="13"/>
      <c r="P1295" s="13"/>
      <c r="Q1295" s="13"/>
      <c r="R1295" s="13"/>
      <c r="S1295" s="13"/>
      <c r="T1295" s="13"/>
      <c r="U1295" s="13"/>
      <c r="V1295" s="13"/>
      <c r="W1295" s="13"/>
      <c r="AY1295" s="10"/>
      <c r="AZ1295" s="10"/>
    </row>
    <row r="1296" spans="1:52" ht="15" x14ac:dyDescent="0.25">
      <c r="A1296" s="70"/>
      <c r="B1296" s="70"/>
      <c r="C1296" s="71"/>
      <c r="D1296" s="71"/>
      <c r="E1296" s="71"/>
      <c r="F1296" s="71"/>
      <c r="G1296" s="71"/>
      <c r="H1296" s="71"/>
      <c r="I1296" s="71"/>
      <c r="J1296" s="71"/>
      <c r="K1296" s="71"/>
      <c r="L1296" s="71"/>
      <c r="M1296" s="71"/>
      <c r="N1296" s="19"/>
      <c r="O1296" s="13"/>
      <c r="P1296" s="13"/>
      <c r="Q1296" s="13"/>
      <c r="R1296" s="13"/>
      <c r="S1296" s="13"/>
      <c r="T1296" s="13"/>
      <c r="U1296" s="13"/>
      <c r="V1296" s="13"/>
      <c r="W1296" s="13"/>
      <c r="AY1296" s="10"/>
      <c r="AZ1296" s="10"/>
    </row>
    <row r="1297" spans="1:52" ht="15" x14ac:dyDescent="0.25">
      <c r="A1297" s="70"/>
      <c r="B1297" s="70"/>
      <c r="C1297" s="71"/>
      <c r="D1297" s="71"/>
      <c r="E1297" s="71"/>
      <c r="F1297" s="71"/>
      <c r="G1297" s="71"/>
      <c r="H1297" s="71"/>
      <c r="I1297" s="71"/>
      <c r="J1297" s="71"/>
      <c r="K1297" s="71"/>
      <c r="L1297" s="71"/>
      <c r="M1297" s="71"/>
      <c r="N1297" s="19"/>
      <c r="O1297" s="13"/>
      <c r="P1297" s="13"/>
      <c r="Q1297" s="13"/>
      <c r="R1297" s="13"/>
      <c r="S1297" s="13"/>
      <c r="T1297" s="13"/>
      <c r="U1297" s="13"/>
      <c r="V1297" s="13"/>
      <c r="W1297" s="13"/>
      <c r="AY1297" s="10"/>
      <c r="AZ1297" s="10"/>
    </row>
    <row r="1298" spans="1:52" ht="15" x14ac:dyDescent="0.25">
      <c r="A1298" s="70"/>
      <c r="B1298" s="70"/>
      <c r="C1298" s="71"/>
      <c r="D1298" s="71"/>
      <c r="E1298" s="71"/>
      <c r="F1298" s="71"/>
      <c r="G1298" s="71"/>
      <c r="H1298" s="71"/>
      <c r="I1298" s="71"/>
      <c r="J1298" s="71"/>
      <c r="K1298" s="71"/>
      <c r="L1298" s="71"/>
      <c r="M1298" s="71"/>
      <c r="N1298" s="19"/>
      <c r="O1298" s="13"/>
      <c r="P1298" s="13"/>
      <c r="Q1298" s="13"/>
      <c r="R1298" s="13"/>
      <c r="S1298" s="13"/>
      <c r="T1298" s="13"/>
      <c r="U1298" s="13"/>
      <c r="V1298" s="13"/>
      <c r="W1298" s="13"/>
      <c r="AY1298" s="10"/>
      <c r="AZ1298" s="10"/>
    </row>
    <row r="1299" spans="1:52" ht="15" x14ac:dyDescent="0.25">
      <c r="A1299" s="70"/>
      <c r="B1299" s="70"/>
      <c r="C1299" s="71"/>
      <c r="D1299" s="71"/>
      <c r="E1299" s="71"/>
      <c r="F1299" s="71"/>
      <c r="G1299" s="71"/>
      <c r="H1299" s="71"/>
      <c r="I1299" s="71"/>
      <c r="J1299" s="71"/>
      <c r="K1299" s="71"/>
      <c r="L1299" s="71"/>
      <c r="M1299" s="71"/>
      <c r="N1299" s="19"/>
      <c r="O1299" s="13"/>
      <c r="P1299" s="13"/>
      <c r="Q1299" s="13"/>
      <c r="R1299" s="13"/>
      <c r="S1299" s="13"/>
      <c r="T1299" s="13"/>
      <c r="U1299" s="13"/>
      <c r="V1299" s="13"/>
      <c r="W1299" s="13"/>
      <c r="AY1299" s="10"/>
      <c r="AZ1299" s="10"/>
    </row>
    <row r="1300" spans="1:52" ht="15" x14ac:dyDescent="0.25">
      <c r="A1300" s="70"/>
      <c r="B1300" s="70"/>
      <c r="C1300" s="71"/>
      <c r="D1300" s="71"/>
      <c r="E1300" s="71"/>
      <c r="F1300" s="71"/>
      <c r="G1300" s="71"/>
      <c r="H1300" s="71"/>
      <c r="I1300" s="71"/>
      <c r="J1300" s="71"/>
      <c r="K1300" s="71"/>
      <c r="L1300" s="71"/>
      <c r="M1300" s="71"/>
      <c r="N1300" s="19"/>
      <c r="O1300" s="13"/>
      <c r="P1300" s="13"/>
      <c r="Q1300" s="13"/>
      <c r="R1300" s="13"/>
      <c r="S1300" s="13"/>
      <c r="T1300" s="13"/>
      <c r="U1300" s="13"/>
      <c r="V1300" s="13"/>
      <c r="W1300" s="13"/>
      <c r="AY1300" s="10"/>
      <c r="AZ1300" s="10"/>
    </row>
    <row r="1301" spans="1:52" ht="15" x14ac:dyDescent="0.25">
      <c r="A1301" s="70"/>
      <c r="B1301" s="70"/>
      <c r="C1301" s="71"/>
      <c r="D1301" s="71"/>
      <c r="E1301" s="71"/>
      <c r="F1301" s="71"/>
      <c r="G1301" s="71"/>
      <c r="H1301" s="71"/>
      <c r="I1301" s="71"/>
      <c r="J1301" s="71"/>
      <c r="K1301" s="71"/>
      <c r="L1301" s="71"/>
      <c r="M1301" s="71"/>
      <c r="N1301" s="19"/>
      <c r="O1301" s="13"/>
      <c r="P1301" s="13"/>
      <c r="Q1301" s="13"/>
      <c r="R1301" s="13"/>
      <c r="S1301" s="13"/>
      <c r="T1301" s="13"/>
      <c r="U1301" s="13"/>
      <c r="V1301" s="13"/>
      <c r="W1301" s="13"/>
      <c r="AY1301" s="10"/>
      <c r="AZ1301" s="10"/>
    </row>
    <row r="1302" spans="1:52" ht="15" x14ac:dyDescent="0.25">
      <c r="A1302" s="70"/>
      <c r="B1302" s="70"/>
      <c r="C1302" s="71"/>
      <c r="D1302" s="71"/>
      <c r="E1302" s="71"/>
      <c r="F1302" s="71"/>
      <c r="G1302" s="71"/>
      <c r="H1302" s="71"/>
      <c r="I1302" s="71"/>
      <c r="J1302" s="71"/>
      <c r="K1302" s="71"/>
      <c r="L1302" s="71"/>
      <c r="M1302" s="71"/>
      <c r="N1302" s="19"/>
      <c r="O1302" s="13"/>
      <c r="P1302" s="13"/>
      <c r="Q1302" s="13"/>
      <c r="R1302" s="13"/>
      <c r="S1302" s="13"/>
      <c r="T1302" s="13"/>
      <c r="U1302" s="13"/>
      <c r="V1302" s="13"/>
      <c r="W1302" s="13"/>
      <c r="AY1302" s="10"/>
      <c r="AZ1302" s="10"/>
    </row>
    <row r="1303" spans="1:52" ht="15" x14ac:dyDescent="0.25">
      <c r="A1303" s="70"/>
      <c r="B1303" s="70"/>
      <c r="C1303" s="71"/>
      <c r="D1303" s="71"/>
      <c r="E1303" s="71"/>
      <c r="F1303" s="71"/>
      <c r="G1303" s="71"/>
      <c r="H1303" s="71"/>
      <c r="I1303" s="71"/>
      <c r="J1303" s="71"/>
      <c r="K1303" s="71"/>
      <c r="L1303" s="71"/>
      <c r="M1303" s="71"/>
      <c r="N1303" s="19"/>
      <c r="O1303" s="13"/>
      <c r="P1303" s="13"/>
      <c r="Q1303" s="13"/>
      <c r="R1303" s="13"/>
      <c r="S1303" s="13"/>
      <c r="T1303" s="13"/>
      <c r="U1303" s="13"/>
      <c r="V1303" s="13"/>
      <c r="W1303" s="13"/>
      <c r="AY1303" s="10"/>
      <c r="AZ1303" s="10"/>
    </row>
    <row r="1304" spans="1:52" ht="15" x14ac:dyDescent="0.25">
      <c r="A1304" s="70"/>
      <c r="B1304" s="70"/>
      <c r="C1304" s="71"/>
      <c r="D1304" s="71"/>
      <c r="E1304" s="71"/>
      <c r="F1304" s="71"/>
      <c r="G1304" s="71"/>
      <c r="H1304" s="71"/>
      <c r="I1304" s="71"/>
      <c r="J1304" s="71"/>
      <c r="K1304" s="71"/>
      <c r="L1304" s="71"/>
      <c r="M1304" s="71"/>
      <c r="N1304" s="19"/>
      <c r="O1304" s="13"/>
      <c r="P1304" s="13"/>
      <c r="Q1304" s="13"/>
      <c r="R1304" s="13"/>
      <c r="S1304" s="13"/>
      <c r="T1304" s="13"/>
      <c r="U1304" s="13"/>
      <c r="V1304" s="13"/>
      <c r="W1304" s="13"/>
      <c r="AY1304" s="10"/>
      <c r="AZ1304" s="10"/>
    </row>
    <row r="1305" spans="1:52" ht="15" x14ac:dyDescent="0.25">
      <c r="A1305" s="70"/>
      <c r="B1305" s="70"/>
      <c r="C1305" s="71"/>
      <c r="D1305" s="71"/>
      <c r="E1305" s="71"/>
      <c r="F1305" s="71"/>
      <c r="G1305" s="71"/>
      <c r="H1305" s="71"/>
      <c r="I1305" s="71"/>
      <c r="J1305" s="71"/>
      <c r="K1305" s="71"/>
      <c r="L1305" s="71"/>
      <c r="M1305" s="71"/>
      <c r="N1305" s="19"/>
      <c r="O1305" s="13"/>
      <c r="P1305" s="13"/>
      <c r="Q1305" s="13"/>
      <c r="R1305" s="13"/>
      <c r="S1305" s="13"/>
      <c r="T1305" s="13"/>
      <c r="U1305" s="13"/>
      <c r="V1305" s="13"/>
      <c r="W1305" s="13"/>
      <c r="AY1305" s="10"/>
      <c r="AZ1305" s="10"/>
    </row>
    <row r="1306" spans="1:52" ht="15" x14ac:dyDescent="0.25">
      <c r="A1306" s="70"/>
      <c r="B1306" s="70"/>
      <c r="C1306" s="71"/>
      <c r="D1306" s="71"/>
      <c r="E1306" s="71"/>
      <c r="F1306" s="71"/>
      <c r="G1306" s="71"/>
      <c r="H1306" s="71"/>
      <c r="I1306" s="71"/>
      <c r="J1306" s="71"/>
      <c r="K1306" s="71"/>
      <c r="L1306" s="71"/>
      <c r="M1306" s="71"/>
      <c r="N1306" s="19"/>
      <c r="O1306" s="13"/>
      <c r="P1306" s="13"/>
      <c r="Q1306" s="13"/>
      <c r="R1306" s="13"/>
      <c r="S1306" s="13"/>
      <c r="T1306" s="13"/>
      <c r="U1306" s="13"/>
      <c r="V1306" s="13"/>
      <c r="W1306" s="13"/>
      <c r="AY1306" s="10"/>
      <c r="AZ1306" s="10"/>
    </row>
    <row r="1307" spans="1:52" ht="15" x14ac:dyDescent="0.25">
      <c r="A1307" s="70"/>
      <c r="B1307" s="70"/>
      <c r="C1307" s="71"/>
      <c r="D1307" s="71"/>
      <c r="E1307" s="71"/>
      <c r="F1307" s="71"/>
      <c r="G1307" s="71"/>
      <c r="H1307" s="71"/>
      <c r="I1307" s="71"/>
      <c r="J1307" s="71"/>
      <c r="K1307" s="71"/>
      <c r="L1307" s="71"/>
      <c r="M1307" s="71"/>
      <c r="N1307" s="19"/>
      <c r="O1307" s="13"/>
      <c r="P1307" s="13"/>
      <c r="Q1307" s="13"/>
      <c r="R1307" s="13"/>
      <c r="S1307" s="13"/>
      <c r="T1307" s="13"/>
      <c r="U1307" s="13"/>
      <c r="V1307" s="13"/>
      <c r="W1307" s="13"/>
      <c r="AY1307" s="10"/>
      <c r="AZ1307" s="10"/>
    </row>
    <row r="1308" spans="1:52" ht="15" x14ac:dyDescent="0.25">
      <c r="A1308" s="70"/>
      <c r="B1308" s="70"/>
      <c r="C1308" s="71"/>
      <c r="D1308" s="71"/>
      <c r="E1308" s="71"/>
      <c r="F1308" s="71"/>
      <c r="G1308" s="71"/>
      <c r="H1308" s="71"/>
      <c r="I1308" s="71"/>
      <c r="J1308" s="71"/>
      <c r="K1308" s="71"/>
      <c r="L1308" s="71"/>
      <c r="M1308" s="71"/>
      <c r="N1308" s="19"/>
      <c r="O1308" s="13"/>
      <c r="P1308" s="13"/>
      <c r="Q1308" s="13"/>
      <c r="R1308" s="13"/>
      <c r="S1308" s="13"/>
      <c r="T1308" s="13"/>
      <c r="U1308" s="13"/>
      <c r="V1308" s="13"/>
      <c r="W1308" s="13"/>
      <c r="AY1308" s="10"/>
      <c r="AZ1308" s="10"/>
    </row>
    <row r="1309" spans="1:52" ht="15" x14ac:dyDescent="0.25">
      <c r="A1309" s="70"/>
      <c r="B1309" s="70"/>
      <c r="C1309" s="71"/>
      <c r="D1309" s="71"/>
      <c r="E1309" s="71"/>
      <c r="F1309" s="71"/>
      <c r="G1309" s="71"/>
      <c r="H1309" s="71"/>
      <c r="I1309" s="71"/>
      <c r="J1309" s="71"/>
      <c r="K1309" s="71"/>
      <c r="L1309" s="71"/>
      <c r="M1309" s="71"/>
      <c r="N1309" s="19"/>
      <c r="O1309" s="13"/>
      <c r="P1309" s="13"/>
      <c r="Q1309" s="13"/>
      <c r="R1309" s="13"/>
      <c r="S1309" s="13"/>
      <c r="T1309" s="13"/>
      <c r="U1309" s="13"/>
      <c r="V1309" s="13"/>
      <c r="W1309" s="13"/>
      <c r="AY1309" s="10"/>
      <c r="AZ1309" s="10"/>
    </row>
    <row r="1310" spans="1:52" ht="15" x14ac:dyDescent="0.25">
      <c r="A1310" s="70"/>
      <c r="B1310" s="70"/>
      <c r="C1310" s="71"/>
      <c r="D1310" s="71"/>
      <c r="E1310" s="71"/>
      <c r="F1310" s="71"/>
      <c r="G1310" s="71"/>
      <c r="H1310" s="71"/>
      <c r="I1310" s="71"/>
      <c r="J1310" s="71"/>
      <c r="K1310" s="71"/>
      <c r="L1310" s="71"/>
      <c r="M1310" s="71"/>
      <c r="N1310" s="19"/>
      <c r="O1310" s="13"/>
      <c r="P1310" s="13"/>
      <c r="Q1310" s="13"/>
      <c r="R1310" s="13"/>
      <c r="S1310" s="13"/>
      <c r="T1310" s="13"/>
      <c r="U1310" s="13"/>
      <c r="V1310" s="13"/>
      <c r="W1310" s="13"/>
      <c r="AY1310" s="10"/>
      <c r="AZ1310" s="10"/>
    </row>
    <row r="1311" spans="1:52" ht="15" x14ac:dyDescent="0.25">
      <c r="A1311" s="70"/>
      <c r="B1311" s="70"/>
      <c r="C1311" s="71"/>
      <c r="D1311" s="71"/>
      <c r="E1311" s="71"/>
      <c r="F1311" s="71"/>
      <c r="G1311" s="71"/>
      <c r="H1311" s="71"/>
      <c r="I1311" s="71"/>
      <c r="J1311" s="71"/>
      <c r="K1311" s="71"/>
      <c r="L1311" s="71"/>
      <c r="M1311" s="71"/>
      <c r="N1311" s="19"/>
      <c r="O1311" s="13"/>
      <c r="P1311" s="13"/>
      <c r="Q1311" s="13"/>
      <c r="R1311" s="13"/>
      <c r="S1311" s="13"/>
      <c r="T1311" s="13"/>
      <c r="U1311" s="13"/>
      <c r="V1311" s="13"/>
      <c r="W1311" s="13"/>
      <c r="AY1311" s="10"/>
      <c r="AZ1311" s="10"/>
    </row>
    <row r="1312" spans="1:52" ht="15" x14ac:dyDescent="0.25">
      <c r="A1312" s="70"/>
      <c r="B1312" s="70"/>
      <c r="C1312" s="71"/>
      <c r="D1312" s="71"/>
      <c r="E1312" s="71"/>
      <c r="F1312" s="71"/>
      <c r="G1312" s="71"/>
      <c r="H1312" s="71"/>
      <c r="I1312" s="71"/>
      <c r="J1312" s="71"/>
      <c r="K1312" s="71"/>
      <c r="L1312" s="71"/>
      <c r="M1312" s="71"/>
      <c r="N1312" s="19"/>
      <c r="O1312" s="13"/>
      <c r="P1312" s="13"/>
      <c r="Q1312" s="13"/>
      <c r="R1312" s="13"/>
      <c r="S1312" s="13"/>
      <c r="T1312" s="13"/>
      <c r="U1312" s="13"/>
      <c r="V1312" s="13"/>
      <c r="W1312" s="13"/>
      <c r="AY1312" s="10"/>
      <c r="AZ1312" s="10"/>
    </row>
    <row r="1313" spans="1:52" ht="15" x14ac:dyDescent="0.25">
      <c r="A1313" s="70"/>
      <c r="B1313" s="70"/>
      <c r="C1313" s="71"/>
      <c r="D1313" s="71"/>
      <c r="E1313" s="71"/>
      <c r="F1313" s="71"/>
      <c r="G1313" s="71"/>
      <c r="H1313" s="71"/>
      <c r="I1313" s="71"/>
      <c r="J1313" s="71"/>
      <c r="K1313" s="71"/>
      <c r="L1313" s="71"/>
      <c r="M1313" s="71"/>
      <c r="N1313" s="19"/>
      <c r="O1313" s="13"/>
      <c r="P1313" s="13"/>
      <c r="Q1313" s="13"/>
      <c r="R1313" s="13"/>
      <c r="S1313" s="13"/>
      <c r="T1313" s="13"/>
      <c r="U1313" s="13"/>
      <c r="V1313" s="13"/>
      <c r="W1313" s="13"/>
      <c r="AY1313" s="10"/>
      <c r="AZ1313" s="10"/>
    </row>
    <row r="1314" spans="1:52" ht="15" x14ac:dyDescent="0.25">
      <c r="A1314" s="70"/>
      <c r="B1314" s="70"/>
      <c r="C1314" s="71"/>
      <c r="D1314" s="71"/>
      <c r="E1314" s="71"/>
      <c r="F1314" s="71"/>
      <c r="G1314" s="71"/>
      <c r="H1314" s="71"/>
      <c r="I1314" s="71"/>
      <c r="J1314" s="71"/>
      <c r="K1314" s="71"/>
      <c r="L1314" s="71"/>
      <c r="M1314" s="71"/>
      <c r="N1314" s="19"/>
      <c r="O1314" s="13"/>
      <c r="P1314" s="13"/>
      <c r="Q1314" s="13"/>
      <c r="R1314" s="13"/>
      <c r="S1314" s="13"/>
      <c r="T1314" s="13"/>
      <c r="U1314" s="13"/>
      <c r="V1314" s="13"/>
      <c r="W1314" s="13"/>
      <c r="AY1314" s="10"/>
      <c r="AZ1314" s="10"/>
    </row>
    <row r="1315" spans="1:52" ht="15" x14ac:dyDescent="0.25">
      <c r="A1315" s="70"/>
      <c r="B1315" s="70"/>
      <c r="C1315" s="71"/>
      <c r="D1315" s="71"/>
      <c r="E1315" s="71"/>
      <c r="F1315" s="71"/>
      <c r="G1315" s="71"/>
      <c r="H1315" s="71"/>
      <c r="I1315" s="71"/>
      <c r="J1315" s="71"/>
      <c r="K1315" s="71"/>
      <c r="L1315" s="71"/>
      <c r="M1315" s="71"/>
      <c r="N1315" s="19"/>
      <c r="O1315" s="13"/>
      <c r="P1315" s="13"/>
      <c r="Q1315" s="13"/>
      <c r="R1315" s="13"/>
      <c r="S1315" s="13"/>
      <c r="T1315" s="13"/>
      <c r="U1315" s="13"/>
      <c r="V1315" s="13"/>
      <c r="W1315" s="13"/>
      <c r="AY1315" s="10"/>
      <c r="AZ1315" s="10"/>
    </row>
    <row r="1316" spans="1:52" ht="15" x14ac:dyDescent="0.25">
      <c r="A1316" s="70"/>
      <c r="B1316" s="70"/>
      <c r="C1316" s="71"/>
      <c r="D1316" s="71"/>
      <c r="E1316" s="71"/>
      <c r="F1316" s="71"/>
      <c r="G1316" s="71"/>
      <c r="H1316" s="71"/>
      <c r="I1316" s="71"/>
      <c r="J1316" s="71"/>
      <c r="K1316" s="71"/>
      <c r="L1316" s="71"/>
      <c r="M1316" s="71"/>
      <c r="N1316" s="19"/>
      <c r="O1316" s="13"/>
      <c r="P1316" s="13"/>
      <c r="Q1316" s="13"/>
      <c r="R1316" s="13"/>
      <c r="S1316" s="13"/>
      <c r="T1316" s="13"/>
      <c r="U1316" s="13"/>
      <c r="V1316" s="13"/>
      <c r="W1316" s="13"/>
      <c r="AY1316" s="10"/>
      <c r="AZ1316" s="10"/>
    </row>
    <row r="1317" spans="1:52" ht="15" x14ac:dyDescent="0.25">
      <c r="A1317" s="70"/>
      <c r="B1317" s="70"/>
      <c r="C1317" s="71"/>
      <c r="D1317" s="71"/>
      <c r="E1317" s="71"/>
      <c r="F1317" s="71"/>
      <c r="G1317" s="71"/>
      <c r="H1317" s="71"/>
      <c r="I1317" s="71"/>
      <c r="J1317" s="71"/>
      <c r="K1317" s="71"/>
      <c r="L1317" s="71"/>
      <c r="M1317" s="71"/>
      <c r="N1317" s="19"/>
      <c r="O1317" s="13"/>
      <c r="P1317" s="13"/>
      <c r="Q1317" s="13"/>
      <c r="R1317" s="13"/>
      <c r="S1317" s="13"/>
      <c r="T1317" s="13"/>
      <c r="U1317" s="13"/>
      <c r="V1317" s="13"/>
      <c r="W1317" s="13"/>
      <c r="AY1317" s="10"/>
      <c r="AZ1317" s="10"/>
    </row>
    <row r="1318" spans="1:52" ht="15" x14ac:dyDescent="0.25">
      <c r="A1318" s="70"/>
      <c r="B1318" s="70"/>
      <c r="C1318" s="71"/>
      <c r="D1318" s="71"/>
      <c r="E1318" s="71"/>
      <c r="F1318" s="71"/>
      <c r="G1318" s="71"/>
      <c r="H1318" s="71"/>
      <c r="I1318" s="71"/>
      <c r="J1318" s="71"/>
      <c r="K1318" s="71"/>
      <c r="L1318" s="71"/>
      <c r="M1318" s="71"/>
      <c r="N1318" s="19"/>
      <c r="O1318" s="13"/>
      <c r="P1318" s="13"/>
      <c r="Q1318" s="13"/>
      <c r="R1318" s="13"/>
      <c r="S1318" s="13"/>
      <c r="T1318" s="13"/>
      <c r="U1318" s="13"/>
      <c r="V1318" s="13"/>
      <c r="W1318" s="13"/>
      <c r="AY1318" s="10"/>
      <c r="AZ1318" s="10"/>
    </row>
    <row r="1319" spans="1:52" ht="15" x14ac:dyDescent="0.25">
      <c r="A1319" s="70"/>
      <c r="B1319" s="70"/>
      <c r="C1319" s="71"/>
      <c r="D1319" s="71"/>
      <c r="E1319" s="71"/>
      <c r="F1319" s="71"/>
      <c r="G1319" s="71"/>
      <c r="H1319" s="71"/>
      <c r="I1319" s="71"/>
      <c r="J1319" s="71"/>
      <c r="K1319" s="71"/>
      <c r="L1319" s="71"/>
      <c r="M1319" s="71"/>
      <c r="N1319" s="19"/>
      <c r="O1319" s="13"/>
      <c r="P1319" s="13"/>
      <c r="Q1319" s="13"/>
      <c r="R1319" s="13"/>
      <c r="S1319" s="13"/>
      <c r="T1319" s="13"/>
      <c r="U1319" s="13"/>
      <c r="V1319" s="13"/>
      <c r="W1319" s="13"/>
      <c r="AY1319" s="10"/>
      <c r="AZ1319" s="10"/>
    </row>
    <row r="1320" spans="1:52" ht="15" x14ac:dyDescent="0.25">
      <c r="A1320" s="70"/>
      <c r="B1320" s="70"/>
      <c r="C1320" s="71"/>
      <c r="D1320" s="71"/>
      <c r="E1320" s="71"/>
      <c r="F1320" s="71"/>
      <c r="G1320" s="71"/>
      <c r="H1320" s="71"/>
      <c r="I1320" s="71"/>
      <c r="J1320" s="71"/>
      <c r="K1320" s="71"/>
      <c r="L1320" s="71"/>
      <c r="M1320" s="71"/>
      <c r="N1320" s="19"/>
      <c r="O1320" s="13"/>
      <c r="P1320" s="13"/>
      <c r="Q1320" s="13"/>
      <c r="R1320" s="13"/>
      <c r="S1320" s="13"/>
      <c r="T1320" s="13"/>
      <c r="U1320" s="13"/>
      <c r="V1320" s="13"/>
      <c r="W1320" s="13"/>
      <c r="AY1320" s="10"/>
      <c r="AZ1320" s="10"/>
    </row>
    <row r="1321" spans="1:52" ht="15" x14ac:dyDescent="0.25">
      <c r="A1321" s="70"/>
      <c r="B1321" s="70"/>
      <c r="C1321" s="71"/>
      <c r="D1321" s="71"/>
      <c r="E1321" s="71"/>
      <c r="F1321" s="71"/>
      <c r="G1321" s="71"/>
      <c r="H1321" s="71"/>
      <c r="I1321" s="71"/>
      <c r="J1321" s="71"/>
      <c r="K1321" s="71"/>
      <c r="L1321" s="71"/>
      <c r="M1321" s="71"/>
      <c r="N1321" s="19"/>
      <c r="O1321" s="13"/>
      <c r="P1321" s="13"/>
      <c r="Q1321" s="13"/>
      <c r="R1321" s="13"/>
      <c r="S1321" s="13"/>
      <c r="T1321" s="13"/>
      <c r="U1321" s="13"/>
      <c r="V1321" s="13"/>
      <c r="W1321" s="13"/>
      <c r="AY1321" s="10"/>
      <c r="AZ1321" s="10"/>
    </row>
    <row r="1322" spans="1:52" ht="15" x14ac:dyDescent="0.25">
      <c r="A1322" s="70"/>
      <c r="B1322" s="70"/>
      <c r="C1322" s="71"/>
      <c r="D1322" s="71"/>
      <c r="E1322" s="71"/>
      <c r="F1322" s="71"/>
      <c r="G1322" s="71"/>
      <c r="H1322" s="71"/>
      <c r="I1322" s="71"/>
      <c r="J1322" s="71"/>
      <c r="K1322" s="71"/>
      <c r="L1322" s="71"/>
      <c r="M1322" s="71"/>
      <c r="N1322" s="19"/>
      <c r="O1322" s="13"/>
      <c r="P1322" s="13"/>
      <c r="Q1322" s="13"/>
      <c r="R1322" s="13"/>
      <c r="S1322" s="13"/>
      <c r="T1322" s="13"/>
      <c r="U1322" s="13"/>
      <c r="V1322" s="13"/>
      <c r="W1322" s="13"/>
      <c r="AY1322" s="10"/>
      <c r="AZ1322" s="10"/>
    </row>
    <row r="1323" spans="1:52" ht="15" x14ac:dyDescent="0.25">
      <c r="A1323" s="70"/>
      <c r="B1323" s="70"/>
      <c r="C1323" s="71"/>
      <c r="D1323" s="71"/>
      <c r="E1323" s="71"/>
      <c r="F1323" s="71"/>
      <c r="G1323" s="71"/>
      <c r="H1323" s="71"/>
      <c r="I1323" s="71"/>
      <c r="J1323" s="71"/>
      <c r="K1323" s="71"/>
      <c r="L1323" s="71"/>
      <c r="M1323" s="71"/>
      <c r="N1323" s="19"/>
      <c r="O1323" s="13"/>
      <c r="P1323" s="13"/>
      <c r="Q1323" s="13"/>
      <c r="R1323" s="13"/>
      <c r="S1323" s="13"/>
      <c r="T1323" s="13"/>
      <c r="U1323" s="13"/>
      <c r="V1323" s="13"/>
      <c r="W1323" s="13"/>
      <c r="AY1323" s="10"/>
      <c r="AZ1323" s="10"/>
    </row>
    <row r="1324" spans="1:52" ht="15" x14ac:dyDescent="0.25">
      <c r="A1324" s="70"/>
      <c r="B1324" s="70"/>
      <c r="C1324" s="71"/>
      <c r="D1324" s="71"/>
      <c r="E1324" s="71"/>
      <c r="F1324" s="71"/>
      <c r="G1324" s="71"/>
      <c r="H1324" s="71"/>
      <c r="I1324" s="71"/>
      <c r="J1324" s="71"/>
      <c r="K1324" s="71"/>
      <c r="L1324" s="71"/>
      <c r="M1324" s="71"/>
      <c r="N1324" s="19"/>
      <c r="O1324" s="13"/>
      <c r="P1324" s="13"/>
      <c r="Q1324" s="13"/>
      <c r="R1324" s="13"/>
      <c r="S1324" s="13"/>
      <c r="T1324" s="13"/>
      <c r="U1324" s="13"/>
      <c r="V1324" s="13"/>
      <c r="W1324" s="13"/>
      <c r="AY1324" s="10"/>
      <c r="AZ1324" s="10"/>
    </row>
    <row r="1325" spans="1:52" ht="15" x14ac:dyDescent="0.25">
      <c r="A1325" s="70"/>
      <c r="B1325" s="70"/>
      <c r="C1325" s="71"/>
      <c r="D1325" s="71"/>
      <c r="E1325" s="71"/>
      <c r="F1325" s="71"/>
      <c r="G1325" s="71"/>
      <c r="H1325" s="71"/>
      <c r="I1325" s="71"/>
      <c r="J1325" s="71"/>
      <c r="K1325" s="71"/>
      <c r="L1325" s="71"/>
      <c r="M1325" s="71"/>
      <c r="N1325" s="19"/>
      <c r="O1325" s="13"/>
      <c r="P1325" s="13"/>
      <c r="Q1325" s="13"/>
      <c r="R1325" s="13"/>
      <c r="S1325" s="13"/>
      <c r="T1325" s="13"/>
      <c r="U1325" s="13"/>
      <c r="V1325" s="13"/>
      <c r="W1325" s="13"/>
      <c r="AY1325" s="10"/>
      <c r="AZ1325" s="10"/>
    </row>
    <row r="1326" spans="1:52" ht="15" x14ac:dyDescent="0.25">
      <c r="A1326" s="70"/>
      <c r="B1326" s="70"/>
      <c r="C1326" s="71"/>
      <c r="D1326" s="71"/>
      <c r="E1326" s="71"/>
      <c r="F1326" s="71"/>
      <c r="G1326" s="71"/>
      <c r="H1326" s="71"/>
      <c r="I1326" s="71"/>
      <c r="J1326" s="71"/>
      <c r="K1326" s="71"/>
      <c r="L1326" s="71"/>
      <c r="M1326" s="71"/>
      <c r="N1326" s="19"/>
      <c r="O1326" s="13"/>
      <c r="P1326" s="13"/>
      <c r="Q1326" s="13"/>
      <c r="R1326" s="13"/>
      <c r="S1326" s="13"/>
      <c r="T1326" s="13"/>
      <c r="U1326" s="13"/>
      <c r="V1326" s="13"/>
      <c r="W1326" s="13"/>
      <c r="AY1326" s="10"/>
      <c r="AZ1326" s="10"/>
    </row>
    <row r="1327" spans="1:52" ht="15" x14ac:dyDescent="0.25">
      <c r="A1327" s="70"/>
      <c r="B1327" s="70"/>
      <c r="C1327" s="71"/>
      <c r="D1327" s="71"/>
      <c r="E1327" s="71"/>
      <c r="F1327" s="71"/>
      <c r="G1327" s="71"/>
      <c r="H1327" s="71"/>
      <c r="I1327" s="71"/>
      <c r="J1327" s="71"/>
      <c r="K1327" s="71"/>
      <c r="L1327" s="71"/>
      <c r="M1327" s="71"/>
      <c r="N1327" s="19"/>
      <c r="O1327" s="13"/>
      <c r="P1327" s="13"/>
      <c r="Q1327" s="13"/>
      <c r="R1327" s="13"/>
      <c r="S1327" s="13"/>
      <c r="T1327" s="13"/>
      <c r="U1327" s="13"/>
      <c r="V1327" s="13"/>
      <c r="W1327" s="13"/>
      <c r="AY1327" s="10"/>
      <c r="AZ1327" s="10"/>
    </row>
    <row r="1328" spans="1:52" ht="15" x14ac:dyDescent="0.25">
      <c r="A1328" s="70"/>
      <c r="B1328" s="70"/>
      <c r="C1328" s="71"/>
      <c r="D1328" s="71"/>
      <c r="E1328" s="71"/>
      <c r="F1328" s="71"/>
      <c r="G1328" s="71"/>
      <c r="H1328" s="71"/>
      <c r="I1328" s="71"/>
      <c r="J1328" s="71"/>
      <c r="K1328" s="71"/>
      <c r="L1328" s="71"/>
      <c r="M1328" s="71"/>
      <c r="N1328" s="19"/>
      <c r="O1328" s="13"/>
      <c r="P1328" s="13"/>
      <c r="Q1328" s="13"/>
      <c r="R1328" s="13"/>
      <c r="S1328" s="13"/>
      <c r="T1328" s="13"/>
      <c r="U1328" s="13"/>
      <c r="V1328" s="13"/>
      <c r="W1328" s="13"/>
      <c r="AY1328" s="10"/>
      <c r="AZ1328" s="10"/>
    </row>
    <row r="1329" spans="1:52" ht="15" x14ac:dyDescent="0.25">
      <c r="A1329" s="70"/>
      <c r="B1329" s="70"/>
      <c r="C1329" s="71"/>
      <c r="D1329" s="71"/>
      <c r="E1329" s="71"/>
      <c r="F1329" s="71"/>
      <c r="G1329" s="71"/>
      <c r="H1329" s="71"/>
      <c r="I1329" s="71"/>
      <c r="J1329" s="71"/>
      <c r="K1329" s="71"/>
      <c r="L1329" s="71"/>
      <c r="M1329" s="71"/>
      <c r="N1329" s="19"/>
      <c r="O1329" s="13"/>
      <c r="P1329" s="13"/>
      <c r="Q1329" s="13"/>
      <c r="R1329" s="13"/>
      <c r="S1329" s="13"/>
      <c r="T1329" s="13"/>
      <c r="U1329" s="13"/>
      <c r="V1329" s="13"/>
      <c r="W1329" s="13"/>
      <c r="AY1329" s="10"/>
      <c r="AZ1329" s="10"/>
    </row>
    <row r="1330" spans="1:52" ht="15" x14ac:dyDescent="0.25">
      <c r="A1330" s="70"/>
      <c r="B1330" s="70"/>
      <c r="C1330" s="71"/>
      <c r="D1330" s="71"/>
      <c r="E1330" s="71"/>
      <c r="F1330" s="71"/>
      <c r="G1330" s="71"/>
      <c r="H1330" s="71"/>
      <c r="I1330" s="71"/>
      <c r="J1330" s="71"/>
      <c r="K1330" s="71"/>
      <c r="L1330" s="71"/>
      <c r="M1330" s="71"/>
      <c r="N1330" s="19"/>
      <c r="O1330" s="13"/>
      <c r="P1330" s="13"/>
      <c r="Q1330" s="13"/>
      <c r="R1330" s="13"/>
      <c r="S1330" s="13"/>
      <c r="T1330" s="13"/>
      <c r="U1330" s="13"/>
      <c r="V1330" s="13"/>
      <c r="W1330" s="13"/>
      <c r="AY1330" s="10"/>
      <c r="AZ1330" s="10"/>
    </row>
    <row r="1331" spans="1:52" ht="15" x14ac:dyDescent="0.25">
      <c r="A1331" s="70"/>
      <c r="B1331" s="70"/>
      <c r="C1331" s="71"/>
      <c r="D1331" s="71"/>
      <c r="E1331" s="71"/>
      <c r="F1331" s="71"/>
      <c r="G1331" s="71"/>
      <c r="H1331" s="71"/>
      <c r="I1331" s="71"/>
      <c r="J1331" s="71"/>
      <c r="K1331" s="71"/>
      <c r="L1331" s="71"/>
      <c r="M1331" s="71"/>
      <c r="N1331" s="19"/>
      <c r="O1331" s="13"/>
      <c r="P1331" s="13"/>
      <c r="Q1331" s="13"/>
      <c r="R1331" s="13"/>
      <c r="S1331" s="13"/>
      <c r="T1331" s="13"/>
      <c r="U1331" s="13"/>
      <c r="V1331" s="13"/>
      <c r="W1331" s="13"/>
      <c r="AY1331" s="10"/>
      <c r="AZ1331" s="10"/>
    </row>
    <row r="1332" spans="1:52" ht="15" x14ac:dyDescent="0.25">
      <c r="A1332" s="70"/>
      <c r="B1332" s="70"/>
      <c r="C1332" s="71"/>
      <c r="D1332" s="71"/>
      <c r="E1332" s="71"/>
      <c r="F1332" s="71"/>
      <c r="G1332" s="71"/>
      <c r="H1332" s="71"/>
      <c r="I1332" s="71"/>
      <c r="J1332" s="71"/>
      <c r="K1332" s="71"/>
      <c r="L1332" s="71"/>
      <c r="M1332" s="71"/>
      <c r="N1332" s="19"/>
      <c r="O1332" s="13"/>
      <c r="P1332" s="13"/>
      <c r="Q1332" s="13"/>
      <c r="R1332" s="13"/>
      <c r="S1332" s="13"/>
      <c r="T1332" s="13"/>
      <c r="U1332" s="13"/>
      <c r="V1332" s="13"/>
      <c r="W1332" s="13"/>
      <c r="AY1332" s="10"/>
      <c r="AZ1332" s="10"/>
    </row>
    <row r="1333" spans="1:52" ht="15" x14ac:dyDescent="0.25">
      <c r="A1333" s="70"/>
      <c r="B1333" s="70"/>
      <c r="C1333" s="71"/>
      <c r="D1333" s="71"/>
      <c r="E1333" s="71"/>
      <c r="F1333" s="71"/>
      <c r="G1333" s="71"/>
      <c r="H1333" s="71"/>
      <c r="I1333" s="71"/>
      <c r="J1333" s="71"/>
      <c r="K1333" s="71"/>
      <c r="L1333" s="71"/>
      <c r="M1333" s="71"/>
      <c r="N1333" s="19"/>
      <c r="O1333" s="13"/>
      <c r="P1333" s="13"/>
      <c r="Q1333" s="13"/>
      <c r="R1333" s="13"/>
      <c r="S1333" s="13"/>
      <c r="T1333" s="13"/>
      <c r="U1333" s="13"/>
      <c r="V1333" s="13"/>
      <c r="W1333" s="13"/>
      <c r="AY1333" s="10"/>
      <c r="AZ1333" s="10"/>
    </row>
    <row r="1334" spans="1:52" ht="15" x14ac:dyDescent="0.25">
      <c r="A1334" s="70"/>
      <c r="B1334" s="70"/>
      <c r="C1334" s="71"/>
      <c r="D1334" s="71"/>
      <c r="E1334" s="71"/>
      <c r="F1334" s="71"/>
      <c r="G1334" s="71"/>
      <c r="H1334" s="71"/>
      <c r="I1334" s="71"/>
      <c r="J1334" s="71"/>
      <c r="K1334" s="71"/>
      <c r="L1334" s="71"/>
      <c r="M1334" s="71"/>
      <c r="N1334" s="19"/>
      <c r="O1334" s="13"/>
      <c r="P1334" s="13"/>
      <c r="Q1334" s="13"/>
      <c r="R1334" s="13"/>
      <c r="S1334" s="13"/>
      <c r="T1334" s="13"/>
      <c r="U1334" s="13"/>
      <c r="V1334" s="13"/>
      <c r="W1334" s="13"/>
      <c r="AY1334" s="10"/>
      <c r="AZ1334" s="10"/>
    </row>
    <row r="1335" spans="1:52" ht="15" x14ac:dyDescent="0.25">
      <c r="A1335" s="70"/>
      <c r="B1335" s="70"/>
      <c r="C1335" s="71"/>
      <c r="D1335" s="71"/>
      <c r="E1335" s="71"/>
      <c r="F1335" s="71"/>
      <c r="G1335" s="71"/>
      <c r="H1335" s="71"/>
      <c r="I1335" s="71"/>
      <c r="J1335" s="71"/>
      <c r="K1335" s="71"/>
      <c r="L1335" s="71"/>
      <c r="M1335" s="71"/>
      <c r="N1335" s="19"/>
      <c r="O1335" s="13"/>
      <c r="P1335" s="13"/>
      <c r="Q1335" s="13"/>
      <c r="R1335" s="13"/>
      <c r="S1335" s="13"/>
      <c r="T1335" s="13"/>
      <c r="U1335" s="13"/>
      <c r="V1335" s="13"/>
      <c r="W1335" s="13"/>
      <c r="AY1335" s="10"/>
      <c r="AZ1335" s="10"/>
    </row>
    <row r="1336" spans="1:52" ht="15" x14ac:dyDescent="0.25">
      <c r="A1336" s="70"/>
      <c r="B1336" s="70"/>
      <c r="C1336" s="71"/>
      <c r="D1336" s="71"/>
      <c r="E1336" s="71"/>
      <c r="F1336" s="71"/>
      <c r="G1336" s="71"/>
      <c r="H1336" s="71"/>
      <c r="I1336" s="71"/>
      <c r="J1336" s="71"/>
      <c r="K1336" s="71"/>
      <c r="L1336" s="71"/>
      <c r="M1336" s="71"/>
      <c r="N1336" s="19"/>
      <c r="O1336" s="13"/>
      <c r="P1336" s="13"/>
      <c r="Q1336" s="13"/>
      <c r="R1336" s="13"/>
      <c r="S1336" s="13"/>
      <c r="T1336" s="13"/>
      <c r="U1336" s="13"/>
      <c r="V1336" s="13"/>
      <c r="W1336" s="13"/>
      <c r="AY1336" s="10"/>
      <c r="AZ1336" s="10"/>
    </row>
    <row r="1337" spans="1:52" ht="15" x14ac:dyDescent="0.25">
      <c r="A1337" s="70"/>
      <c r="B1337" s="70"/>
      <c r="C1337" s="71"/>
      <c r="D1337" s="71"/>
      <c r="E1337" s="71"/>
      <c r="F1337" s="71"/>
      <c r="G1337" s="71"/>
      <c r="H1337" s="71"/>
      <c r="I1337" s="71"/>
      <c r="J1337" s="71"/>
      <c r="K1337" s="71"/>
      <c r="L1337" s="71"/>
      <c r="M1337" s="71"/>
      <c r="N1337" s="19"/>
      <c r="O1337" s="13"/>
      <c r="P1337" s="13"/>
      <c r="Q1337" s="13"/>
      <c r="R1337" s="13"/>
      <c r="S1337" s="13"/>
      <c r="T1337" s="13"/>
      <c r="U1337" s="13"/>
      <c r="V1337" s="13"/>
      <c r="W1337" s="13"/>
      <c r="AY1337" s="10"/>
      <c r="AZ1337" s="10"/>
    </row>
    <row r="1338" spans="1:52" ht="15" x14ac:dyDescent="0.25">
      <c r="A1338" s="70"/>
      <c r="B1338" s="70"/>
      <c r="C1338" s="71"/>
      <c r="D1338" s="71"/>
      <c r="E1338" s="71"/>
      <c r="F1338" s="71"/>
      <c r="G1338" s="71"/>
      <c r="H1338" s="71"/>
      <c r="I1338" s="71"/>
      <c r="J1338" s="71"/>
      <c r="K1338" s="71"/>
      <c r="L1338" s="71"/>
      <c r="M1338" s="71"/>
      <c r="N1338" s="19"/>
      <c r="O1338" s="13"/>
      <c r="P1338" s="13"/>
      <c r="Q1338" s="13"/>
      <c r="R1338" s="13"/>
      <c r="S1338" s="13"/>
      <c r="T1338" s="13"/>
      <c r="U1338" s="13"/>
      <c r="V1338" s="13"/>
      <c r="W1338" s="13"/>
      <c r="AY1338" s="10"/>
      <c r="AZ1338" s="10"/>
    </row>
    <row r="1339" spans="1:52" ht="15" x14ac:dyDescent="0.25">
      <c r="A1339" s="70"/>
      <c r="B1339" s="70"/>
      <c r="C1339" s="71"/>
      <c r="D1339" s="71"/>
      <c r="E1339" s="71"/>
      <c r="F1339" s="71"/>
      <c r="G1339" s="71"/>
      <c r="H1339" s="71"/>
      <c r="I1339" s="71"/>
      <c r="J1339" s="71"/>
      <c r="K1339" s="71"/>
      <c r="L1339" s="71"/>
      <c r="M1339" s="71"/>
      <c r="N1339" s="19"/>
      <c r="O1339" s="13"/>
      <c r="P1339" s="13"/>
      <c r="Q1339" s="13"/>
      <c r="R1339" s="13"/>
      <c r="S1339" s="13"/>
      <c r="T1339" s="13"/>
      <c r="U1339" s="13"/>
      <c r="V1339" s="13"/>
      <c r="W1339" s="13"/>
      <c r="AY1339" s="10"/>
      <c r="AZ1339" s="10"/>
    </row>
    <row r="1340" spans="1:52" ht="15" x14ac:dyDescent="0.25">
      <c r="A1340" s="70"/>
      <c r="B1340" s="70"/>
      <c r="C1340" s="71"/>
      <c r="D1340" s="71"/>
      <c r="E1340" s="71"/>
      <c r="F1340" s="71"/>
      <c r="G1340" s="71"/>
      <c r="H1340" s="71"/>
      <c r="I1340" s="71"/>
      <c r="J1340" s="71"/>
      <c r="K1340" s="71"/>
      <c r="L1340" s="71"/>
      <c r="M1340" s="71"/>
      <c r="N1340" s="19"/>
      <c r="O1340" s="13"/>
      <c r="P1340" s="13"/>
      <c r="Q1340" s="13"/>
      <c r="R1340" s="13"/>
      <c r="S1340" s="13"/>
      <c r="T1340" s="13"/>
      <c r="U1340" s="13"/>
      <c r="V1340" s="13"/>
      <c r="W1340" s="13"/>
      <c r="AY1340" s="10"/>
      <c r="AZ1340" s="10"/>
    </row>
    <row r="1341" spans="1:52" ht="15" x14ac:dyDescent="0.25">
      <c r="A1341" s="70"/>
      <c r="B1341" s="70"/>
      <c r="C1341" s="71"/>
      <c r="D1341" s="71"/>
      <c r="E1341" s="71"/>
      <c r="F1341" s="71"/>
      <c r="G1341" s="71"/>
      <c r="H1341" s="71"/>
      <c r="I1341" s="71"/>
      <c r="J1341" s="71"/>
      <c r="K1341" s="71"/>
      <c r="L1341" s="71"/>
      <c r="M1341" s="71"/>
      <c r="N1341" s="19"/>
      <c r="O1341" s="13"/>
      <c r="P1341" s="13"/>
      <c r="Q1341" s="13"/>
      <c r="R1341" s="13"/>
      <c r="S1341" s="13"/>
      <c r="T1341" s="13"/>
      <c r="U1341" s="13"/>
      <c r="V1341" s="13"/>
      <c r="W1341" s="13"/>
      <c r="AY1341" s="10"/>
      <c r="AZ1341" s="10"/>
    </row>
    <row r="1342" spans="1:52" ht="15" x14ac:dyDescent="0.25">
      <c r="A1342" s="70"/>
      <c r="B1342" s="70"/>
      <c r="C1342" s="71"/>
      <c r="D1342" s="71"/>
      <c r="E1342" s="71"/>
      <c r="F1342" s="71"/>
      <c r="G1342" s="71"/>
      <c r="H1342" s="71"/>
      <c r="I1342" s="71"/>
      <c r="J1342" s="71"/>
      <c r="K1342" s="71"/>
      <c r="L1342" s="71"/>
      <c r="M1342" s="71"/>
      <c r="N1342" s="19"/>
      <c r="O1342" s="13"/>
      <c r="P1342" s="13"/>
      <c r="Q1342" s="13"/>
      <c r="R1342" s="13"/>
      <c r="S1342" s="13"/>
      <c r="T1342" s="13"/>
      <c r="U1342" s="13"/>
      <c r="V1342" s="13"/>
      <c r="W1342" s="13"/>
      <c r="AY1342" s="10"/>
      <c r="AZ1342" s="10"/>
    </row>
    <row r="1343" spans="1:52" ht="15" x14ac:dyDescent="0.25">
      <c r="A1343" s="70"/>
      <c r="B1343" s="70"/>
      <c r="C1343" s="71"/>
      <c r="D1343" s="71"/>
      <c r="E1343" s="71"/>
      <c r="F1343" s="71"/>
      <c r="G1343" s="71"/>
      <c r="H1343" s="71"/>
      <c r="I1343" s="71"/>
      <c r="J1343" s="71"/>
      <c r="K1343" s="71"/>
      <c r="L1343" s="71"/>
      <c r="M1343" s="71"/>
      <c r="N1343" s="19"/>
      <c r="O1343" s="13"/>
      <c r="P1343" s="13"/>
      <c r="Q1343" s="13"/>
      <c r="R1343" s="13"/>
      <c r="S1343" s="13"/>
      <c r="T1343" s="13"/>
      <c r="U1343" s="13"/>
      <c r="V1343" s="13"/>
      <c r="W1343" s="13"/>
      <c r="AY1343" s="10"/>
      <c r="AZ1343" s="10"/>
    </row>
    <row r="1344" spans="1:52" ht="15" x14ac:dyDescent="0.25">
      <c r="A1344" s="70"/>
      <c r="B1344" s="70"/>
      <c r="C1344" s="71"/>
      <c r="D1344" s="71"/>
      <c r="E1344" s="71"/>
      <c r="F1344" s="71"/>
      <c r="G1344" s="71"/>
      <c r="H1344" s="71"/>
      <c r="I1344" s="71"/>
      <c r="J1344" s="71"/>
      <c r="K1344" s="71"/>
      <c r="L1344" s="71"/>
      <c r="M1344" s="71"/>
      <c r="N1344" s="19"/>
      <c r="O1344" s="13"/>
      <c r="P1344" s="13"/>
      <c r="Q1344" s="13"/>
      <c r="R1344" s="13"/>
      <c r="S1344" s="13"/>
      <c r="T1344" s="13"/>
      <c r="U1344" s="13"/>
      <c r="V1344" s="13"/>
      <c r="W1344" s="13"/>
      <c r="AY1344" s="10"/>
      <c r="AZ1344" s="10"/>
    </row>
    <row r="1345" spans="1:52" ht="15" x14ac:dyDescent="0.25">
      <c r="A1345" s="70"/>
      <c r="B1345" s="70"/>
      <c r="C1345" s="71"/>
      <c r="D1345" s="71"/>
      <c r="E1345" s="71"/>
      <c r="F1345" s="71"/>
      <c r="G1345" s="71"/>
      <c r="H1345" s="71"/>
      <c r="I1345" s="71"/>
      <c r="J1345" s="71"/>
      <c r="K1345" s="71"/>
      <c r="L1345" s="71"/>
      <c r="M1345" s="71"/>
      <c r="N1345" s="19"/>
      <c r="O1345" s="13"/>
      <c r="P1345" s="13"/>
      <c r="Q1345" s="13"/>
      <c r="R1345" s="13"/>
      <c r="S1345" s="13"/>
      <c r="T1345" s="13"/>
      <c r="U1345" s="13"/>
      <c r="V1345" s="13"/>
      <c r="W1345" s="13"/>
      <c r="AY1345" s="10"/>
      <c r="AZ1345" s="10"/>
    </row>
    <row r="1346" spans="1:52" ht="15" x14ac:dyDescent="0.25">
      <c r="A1346" s="70"/>
      <c r="B1346" s="70"/>
      <c r="C1346" s="71"/>
      <c r="D1346" s="71"/>
      <c r="E1346" s="71"/>
      <c r="F1346" s="71"/>
      <c r="G1346" s="71"/>
      <c r="H1346" s="71"/>
      <c r="I1346" s="71"/>
      <c r="J1346" s="71"/>
      <c r="K1346" s="71"/>
      <c r="L1346" s="71"/>
      <c r="M1346" s="71"/>
      <c r="N1346" s="19"/>
      <c r="O1346" s="13"/>
      <c r="P1346" s="13"/>
      <c r="Q1346" s="13"/>
      <c r="R1346" s="13"/>
      <c r="S1346" s="13"/>
      <c r="T1346" s="13"/>
      <c r="U1346" s="13"/>
      <c r="V1346" s="13"/>
      <c r="W1346" s="13"/>
      <c r="AY1346" s="10"/>
      <c r="AZ1346" s="10"/>
    </row>
    <row r="1347" spans="1:52" ht="15" x14ac:dyDescent="0.25">
      <c r="A1347" s="70"/>
      <c r="B1347" s="70"/>
      <c r="C1347" s="71"/>
      <c r="D1347" s="71"/>
      <c r="E1347" s="71"/>
      <c r="F1347" s="71"/>
      <c r="G1347" s="71"/>
      <c r="H1347" s="71"/>
      <c r="I1347" s="71"/>
      <c r="J1347" s="71"/>
      <c r="K1347" s="71"/>
      <c r="L1347" s="71"/>
      <c r="M1347" s="71"/>
      <c r="N1347" s="19"/>
      <c r="O1347" s="13"/>
      <c r="P1347" s="13"/>
      <c r="Q1347" s="13"/>
      <c r="R1347" s="13"/>
      <c r="S1347" s="13"/>
      <c r="T1347" s="13"/>
      <c r="U1347" s="13"/>
      <c r="V1347" s="13"/>
      <c r="W1347" s="13"/>
      <c r="AY1347" s="10"/>
      <c r="AZ1347" s="10"/>
    </row>
    <row r="1348" spans="1:52" ht="15" x14ac:dyDescent="0.25">
      <c r="A1348" s="70"/>
      <c r="B1348" s="70"/>
      <c r="C1348" s="71"/>
      <c r="D1348" s="71"/>
      <c r="E1348" s="71"/>
      <c r="F1348" s="71"/>
      <c r="G1348" s="71"/>
      <c r="H1348" s="71"/>
      <c r="I1348" s="71"/>
      <c r="J1348" s="71"/>
      <c r="K1348" s="71"/>
      <c r="L1348" s="71"/>
      <c r="M1348" s="71"/>
      <c r="N1348" s="19"/>
      <c r="O1348" s="13"/>
      <c r="P1348" s="13"/>
      <c r="Q1348" s="13"/>
      <c r="R1348" s="13"/>
      <c r="S1348" s="13"/>
      <c r="T1348" s="13"/>
      <c r="U1348" s="13"/>
      <c r="V1348" s="13"/>
      <c r="W1348" s="13"/>
      <c r="AY1348" s="10"/>
      <c r="AZ1348" s="10"/>
    </row>
    <row r="1349" spans="1:52" ht="15" x14ac:dyDescent="0.25">
      <c r="A1349" s="70"/>
      <c r="B1349" s="70"/>
      <c r="C1349" s="71"/>
      <c r="D1349" s="71"/>
      <c r="E1349" s="71"/>
      <c r="F1349" s="71"/>
      <c r="G1349" s="71"/>
      <c r="H1349" s="71"/>
      <c r="I1349" s="71"/>
      <c r="J1349" s="71"/>
      <c r="K1349" s="71"/>
      <c r="L1349" s="71"/>
      <c r="M1349" s="71"/>
      <c r="N1349" s="19"/>
      <c r="O1349" s="13"/>
      <c r="P1349" s="13"/>
      <c r="Q1349" s="13"/>
      <c r="R1349" s="13"/>
      <c r="S1349" s="13"/>
      <c r="T1349" s="13"/>
      <c r="U1349" s="13"/>
      <c r="V1349" s="13"/>
      <c r="W1349" s="13"/>
      <c r="AY1349" s="10"/>
      <c r="AZ1349" s="10"/>
    </row>
    <row r="1350" spans="1:52" ht="15" x14ac:dyDescent="0.25">
      <c r="A1350" s="70"/>
      <c r="B1350" s="70"/>
      <c r="C1350" s="71"/>
      <c r="D1350" s="71"/>
      <c r="E1350" s="71"/>
      <c r="F1350" s="71"/>
      <c r="G1350" s="71"/>
      <c r="H1350" s="71"/>
      <c r="I1350" s="71"/>
      <c r="J1350" s="71"/>
      <c r="K1350" s="71"/>
      <c r="L1350" s="71"/>
      <c r="M1350" s="71"/>
      <c r="N1350" s="19"/>
      <c r="O1350" s="13"/>
      <c r="P1350" s="13"/>
      <c r="Q1350" s="13"/>
      <c r="R1350" s="13"/>
      <c r="S1350" s="13"/>
      <c r="T1350" s="13"/>
      <c r="U1350" s="13"/>
      <c r="V1350" s="13"/>
      <c r="W1350" s="13"/>
      <c r="AY1350" s="10"/>
      <c r="AZ1350" s="10"/>
    </row>
    <row r="1351" spans="1:52" ht="15" x14ac:dyDescent="0.25">
      <c r="A1351" s="70"/>
      <c r="B1351" s="70"/>
      <c r="C1351" s="71"/>
      <c r="D1351" s="71"/>
      <c r="E1351" s="71"/>
      <c r="F1351" s="71"/>
      <c r="G1351" s="71"/>
      <c r="H1351" s="71"/>
      <c r="I1351" s="71"/>
      <c r="J1351" s="71"/>
      <c r="K1351" s="71"/>
      <c r="L1351" s="71"/>
      <c r="M1351" s="71"/>
      <c r="N1351" s="19"/>
      <c r="O1351" s="13"/>
      <c r="P1351" s="13"/>
      <c r="Q1351" s="13"/>
      <c r="R1351" s="13"/>
      <c r="S1351" s="13"/>
      <c r="T1351" s="13"/>
      <c r="U1351" s="13"/>
      <c r="V1351" s="13"/>
      <c r="W1351" s="13"/>
      <c r="AY1351" s="10"/>
      <c r="AZ1351" s="10"/>
    </row>
    <row r="1352" spans="1:52" ht="15" x14ac:dyDescent="0.25">
      <c r="A1352" s="70"/>
      <c r="B1352" s="70"/>
      <c r="C1352" s="71"/>
      <c r="D1352" s="71"/>
      <c r="E1352" s="71"/>
      <c r="F1352" s="71"/>
      <c r="G1352" s="71"/>
      <c r="H1352" s="71"/>
      <c r="I1352" s="71"/>
      <c r="J1352" s="71"/>
      <c r="K1352" s="71"/>
      <c r="L1352" s="71"/>
      <c r="M1352" s="71"/>
      <c r="N1352" s="19"/>
      <c r="O1352" s="13"/>
      <c r="P1352" s="13"/>
      <c r="Q1352" s="13"/>
      <c r="R1352" s="13"/>
      <c r="S1352" s="13"/>
      <c r="T1352" s="13"/>
      <c r="U1352" s="13"/>
      <c r="V1352" s="13"/>
      <c r="W1352" s="13"/>
      <c r="AY1352" s="10"/>
      <c r="AZ1352" s="10"/>
    </row>
    <row r="1353" spans="1:52" ht="15" x14ac:dyDescent="0.25">
      <c r="A1353" s="70"/>
      <c r="B1353" s="70"/>
      <c r="C1353" s="71"/>
      <c r="D1353" s="71"/>
      <c r="E1353" s="71"/>
      <c r="F1353" s="71"/>
      <c r="G1353" s="71"/>
      <c r="H1353" s="71"/>
      <c r="I1353" s="71"/>
      <c r="J1353" s="71"/>
      <c r="K1353" s="71"/>
      <c r="L1353" s="71"/>
      <c r="M1353" s="71"/>
      <c r="N1353" s="19"/>
      <c r="O1353" s="13"/>
      <c r="P1353" s="13"/>
      <c r="Q1353" s="13"/>
      <c r="R1353" s="13"/>
      <c r="S1353" s="13"/>
      <c r="T1353" s="13"/>
      <c r="U1353" s="13"/>
      <c r="V1353" s="13"/>
      <c r="W1353" s="13"/>
      <c r="AY1353" s="10"/>
      <c r="AZ1353" s="10"/>
    </row>
    <row r="1354" spans="1:52" ht="15" x14ac:dyDescent="0.25">
      <c r="A1354" s="70"/>
      <c r="B1354" s="70"/>
      <c r="C1354" s="71"/>
      <c r="D1354" s="71"/>
      <c r="E1354" s="71"/>
      <c r="F1354" s="71"/>
      <c r="G1354" s="71"/>
      <c r="H1354" s="71"/>
      <c r="I1354" s="71"/>
      <c r="J1354" s="71"/>
      <c r="K1354" s="71"/>
      <c r="L1354" s="71"/>
      <c r="M1354" s="71"/>
      <c r="N1354" s="19"/>
      <c r="O1354" s="13"/>
      <c r="P1354" s="13"/>
      <c r="Q1354" s="13"/>
      <c r="R1354" s="13"/>
      <c r="S1354" s="13"/>
      <c r="T1354" s="13"/>
      <c r="U1354" s="13"/>
      <c r="V1354" s="13"/>
      <c r="W1354" s="13"/>
      <c r="AY1354" s="10"/>
      <c r="AZ1354" s="10"/>
    </row>
    <row r="1355" spans="1:52" ht="15" x14ac:dyDescent="0.25">
      <c r="A1355" s="70"/>
      <c r="B1355" s="70"/>
      <c r="C1355" s="71"/>
      <c r="D1355" s="71"/>
      <c r="E1355" s="71"/>
      <c r="F1355" s="71"/>
      <c r="G1355" s="71"/>
      <c r="H1355" s="71"/>
      <c r="I1355" s="71"/>
      <c r="J1355" s="71"/>
      <c r="K1355" s="71"/>
      <c r="L1355" s="71"/>
      <c r="M1355" s="71"/>
      <c r="N1355" s="19"/>
      <c r="O1355" s="13"/>
      <c r="P1355" s="13"/>
      <c r="Q1355" s="13"/>
      <c r="R1355" s="13"/>
      <c r="S1355" s="13"/>
      <c r="T1355" s="13"/>
      <c r="U1355" s="13"/>
      <c r="V1355" s="13"/>
      <c r="W1355" s="13"/>
      <c r="AY1355" s="10"/>
      <c r="AZ1355" s="10"/>
    </row>
    <row r="1356" spans="1:52" ht="15" x14ac:dyDescent="0.25">
      <c r="A1356" s="70"/>
      <c r="B1356" s="70"/>
      <c r="C1356" s="71"/>
      <c r="D1356" s="71"/>
      <c r="E1356" s="71"/>
      <c r="F1356" s="71"/>
      <c r="G1356" s="71"/>
      <c r="H1356" s="71"/>
      <c r="I1356" s="71"/>
      <c r="J1356" s="71"/>
      <c r="K1356" s="71"/>
      <c r="L1356" s="71"/>
      <c r="M1356" s="71"/>
      <c r="N1356" s="19"/>
      <c r="O1356" s="13"/>
      <c r="P1356" s="13"/>
      <c r="Q1356" s="13"/>
      <c r="R1356" s="13"/>
      <c r="S1356" s="13"/>
      <c r="T1356" s="13"/>
      <c r="U1356" s="13"/>
      <c r="V1356" s="13"/>
      <c r="W1356" s="13"/>
      <c r="AY1356" s="10"/>
      <c r="AZ1356" s="10"/>
    </row>
    <row r="1357" spans="1:52" ht="15" x14ac:dyDescent="0.25">
      <c r="A1357" s="70"/>
      <c r="B1357" s="70"/>
      <c r="C1357" s="71"/>
      <c r="D1357" s="71"/>
      <c r="E1357" s="71"/>
      <c r="F1357" s="71"/>
      <c r="G1357" s="71"/>
      <c r="H1357" s="71"/>
      <c r="I1357" s="71"/>
      <c r="J1357" s="71"/>
      <c r="K1357" s="71"/>
      <c r="L1357" s="71"/>
      <c r="M1357" s="71"/>
      <c r="N1357" s="19"/>
      <c r="O1357" s="13"/>
      <c r="P1357" s="13"/>
      <c r="Q1357" s="13"/>
      <c r="R1357" s="13"/>
      <c r="S1357" s="13"/>
      <c r="T1357" s="13"/>
      <c r="U1357" s="13"/>
      <c r="V1357" s="13"/>
      <c r="W1357" s="13"/>
      <c r="AY1357" s="10"/>
      <c r="AZ1357" s="10"/>
    </row>
    <row r="1358" spans="1:52" ht="15" x14ac:dyDescent="0.25">
      <c r="A1358" s="70"/>
      <c r="B1358" s="70"/>
      <c r="C1358" s="71"/>
      <c r="D1358" s="71"/>
      <c r="E1358" s="71"/>
      <c r="F1358" s="71"/>
      <c r="G1358" s="71"/>
      <c r="H1358" s="71"/>
      <c r="I1358" s="71"/>
      <c r="J1358" s="71"/>
      <c r="K1358" s="71"/>
      <c r="L1358" s="71"/>
      <c r="M1358" s="71"/>
      <c r="N1358" s="19"/>
      <c r="O1358" s="13"/>
      <c r="P1358" s="13"/>
      <c r="Q1358" s="13"/>
      <c r="R1358" s="13"/>
      <c r="S1358" s="13"/>
      <c r="T1358" s="13"/>
      <c r="U1358" s="13"/>
      <c r="V1358" s="13"/>
      <c r="W1358" s="13"/>
      <c r="AY1358" s="10"/>
      <c r="AZ1358" s="10"/>
    </row>
    <row r="1359" spans="1:52" ht="15" x14ac:dyDescent="0.25">
      <c r="A1359" s="70"/>
      <c r="B1359" s="70"/>
      <c r="C1359" s="71"/>
      <c r="D1359" s="71"/>
      <c r="E1359" s="71"/>
      <c r="F1359" s="71"/>
      <c r="G1359" s="71"/>
      <c r="H1359" s="71"/>
      <c r="I1359" s="71"/>
      <c r="J1359" s="71"/>
      <c r="K1359" s="71"/>
      <c r="L1359" s="71"/>
      <c r="M1359" s="71"/>
      <c r="N1359" s="19"/>
      <c r="O1359" s="13"/>
      <c r="P1359" s="13"/>
      <c r="Q1359" s="13"/>
      <c r="R1359" s="13"/>
      <c r="S1359" s="13"/>
      <c r="T1359" s="13"/>
      <c r="U1359" s="13"/>
      <c r="V1359" s="13"/>
      <c r="W1359" s="13"/>
      <c r="AY1359" s="10"/>
      <c r="AZ1359" s="10"/>
    </row>
    <row r="1360" spans="1:52" ht="15" x14ac:dyDescent="0.25">
      <c r="A1360" s="70"/>
      <c r="B1360" s="70"/>
      <c r="C1360" s="71"/>
      <c r="D1360" s="71"/>
      <c r="E1360" s="71"/>
      <c r="F1360" s="71"/>
      <c r="G1360" s="71"/>
      <c r="H1360" s="71"/>
      <c r="I1360" s="71"/>
      <c r="J1360" s="71"/>
      <c r="K1360" s="71"/>
      <c r="L1360" s="71"/>
      <c r="M1360" s="71"/>
      <c r="N1360" s="19"/>
      <c r="O1360" s="13"/>
      <c r="P1360" s="13"/>
      <c r="Q1360" s="13"/>
      <c r="R1360" s="13"/>
      <c r="S1360" s="13"/>
      <c r="T1360" s="13"/>
      <c r="U1360" s="13"/>
      <c r="V1360" s="13"/>
      <c r="W1360" s="13"/>
      <c r="AY1360" s="10"/>
      <c r="AZ1360" s="10"/>
    </row>
    <row r="1361" spans="1:52" ht="15" x14ac:dyDescent="0.25">
      <c r="A1361" s="70"/>
      <c r="B1361" s="70"/>
      <c r="C1361" s="71"/>
      <c r="D1361" s="71"/>
      <c r="E1361" s="71"/>
      <c r="F1361" s="71"/>
      <c r="G1361" s="71"/>
      <c r="H1361" s="71"/>
      <c r="I1361" s="71"/>
      <c r="J1361" s="71"/>
      <c r="K1361" s="71"/>
      <c r="L1361" s="71"/>
      <c r="M1361" s="71"/>
      <c r="N1361" s="19"/>
      <c r="O1361" s="13"/>
      <c r="P1361" s="13"/>
      <c r="Q1361" s="13"/>
      <c r="R1361" s="13"/>
      <c r="S1361" s="13"/>
      <c r="T1361" s="13"/>
      <c r="U1361" s="13"/>
      <c r="V1361" s="13"/>
      <c r="W1361" s="13"/>
      <c r="AY1361" s="10"/>
      <c r="AZ1361" s="10"/>
    </row>
    <row r="1362" spans="1:52" ht="15" x14ac:dyDescent="0.25">
      <c r="A1362" s="70"/>
      <c r="B1362" s="70"/>
      <c r="C1362" s="71"/>
      <c r="D1362" s="71"/>
      <c r="E1362" s="71"/>
      <c r="F1362" s="71"/>
      <c r="G1362" s="71"/>
      <c r="H1362" s="71"/>
      <c r="I1362" s="71"/>
      <c r="J1362" s="71"/>
      <c r="K1362" s="71"/>
      <c r="L1362" s="71"/>
      <c r="M1362" s="71"/>
      <c r="N1362" s="19"/>
      <c r="O1362" s="13"/>
      <c r="P1362" s="13"/>
      <c r="Q1362" s="13"/>
      <c r="R1362" s="13"/>
      <c r="S1362" s="13"/>
      <c r="T1362" s="13"/>
      <c r="U1362" s="13"/>
      <c r="V1362" s="13"/>
      <c r="W1362" s="13"/>
      <c r="AY1362" s="10"/>
      <c r="AZ1362" s="10"/>
    </row>
    <row r="1363" spans="1:52" ht="15" x14ac:dyDescent="0.25">
      <c r="A1363" s="70"/>
      <c r="B1363" s="70"/>
      <c r="C1363" s="71"/>
      <c r="D1363" s="71"/>
      <c r="E1363" s="71"/>
      <c r="F1363" s="71"/>
      <c r="G1363" s="71"/>
      <c r="H1363" s="71"/>
      <c r="I1363" s="71"/>
      <c r="J1363" s="71"/>
      <c r="K1363" s="71"/>
      <c r="L1363" s="71"/>
      <c r="M1363" s="71"/>
      <c r="N1363" s="19"/>
      <c r="O1363" s="13"/>
      <c r="P1363" s="13"/>
      <c r="Q1363" s="13"/>
      <c r="R1363" s="13"/>
      <c r="S1363" s="13"/>
      <c r="T1363" s="13"/>
      <c r="U1363" s="13"/>
      <c r="V1363" s="13"/>
      <c r="W1363" s="13"/>
      <c r="AY1363" s="10"/>
      <c r="AZ1363" s="10"/>
    </row>
    <row r="1364" spans="1:52" ht="15" x14ac:dyDescent="0.25">
      <c r="A1364" s="70"/>
      <c r="B1364" s="70"/>
      <c r="C1364" s="71"/>
      <c r="D1364" s="71"/>
      <c r="E1364" s="71"/>
      <c r="F1364" s="71"/>
      <c r="G1364" s="71"/>
      <c r="H1364" s="71"/>
      <c r="I1364" s="71"/>
      <c r="J1364" s="71"/>
      <c r="K1364" s="71"/>
      <c r="L1364" s="71"/>
      <c r="M1364" s="71"/>
      <c r="N1364" s="19"/>
      <c r="O1364" s="13"/>
      <c r="P1364" s="13"/>
      <c r="Q1364" s="13"/>
      <c r="R1364" s="13"/>
      <c r="S1364" s="13"/>
      <c r="T1364" s="13"/>
      <c r="U1364" s="13"/>
      <c r="V1364" s="13"/>
      <c r="W1364" s="13"/>
      <c r="AY1364" s="10"/>
      <c r="AZ1364" s="10"/>
    </row>
    <row r="1365" spans="1:52" ht="15" x14ac:dyDescent="0.25">
      <c r="A1365" s="70"/>
      <c r="B1365" s="70"/>
      <c r="C1365" s="71"/>
      <c r="D1365" s="71"/>
      <c r="E1365" s="71"/>
      <c r="F1365" s="71"/>
      <c r="G1365" s="71"/>
      <c r="H1365" s="71"/>
      <c r="I1365" s="71"/>
      <c r="J1365" s="71"/>
      <c r="K1365" s="71"/>
      <c r="L1365" s="71"/>
      <c r="M1365" s="71"/>
      <c r="N1365" s="19"/>
      <c r="O1365" s="13"/>
      <c r="P1365" s="13"/>
      <c r="Q1365" s="13"/>
      <c r="R1365" s="13"/>
      <c r="S1365" s="13"/>
      <c r="T1365" s="13"/>
      <c r="U1365" s="13"/>
      <c r="V1365" s="13"/>
      <c r="W1365" s="13"/>
      <c r="AY1365" s="10"/>
      <c r="AZ1365" s="10"/>
    </row>
    <row r="1366" spans="1:52" ht="15" x14ac:dyDescent="0.25">
      <c r="A1366" s="70"/>
      <c r="B1366" s="70"/>
      <c r="C1366" s="71"/>
      <c r="D1366" s="71"/>
      <c r="E1366" s="71"/>
      <c r="F1366" s="71"/>
      <c r="G1366" s="71"/>
      <c r="H1366" s="71"/>
      <c r="I1366" s="71"/>
      <c r="J1366" s="71"/>
      <c r="K1366" s="71"/>
      <c r="L1366" s="71"/>
      <c r="M1366" s="71"/>
      <c r="N1366" s="11"/>
      <c r="O1366" s="13"/>
      <c r="P1366" s="13"/>
      <c r="Q1366" s="13"/>
      <c r="R1366" s="13"/>
      <c r="S1366" s="13"/>
      <c r="T1366" s="13"/>
      <c r="U1366" s="13"/>
      <c r="V1366" s="13"/>
      <c r="W1366" s="13"/>
      <c r="AY1366" s="10"/>
      <c r="AZ1366" s="10"/>
    </row>
    <row r="1367" spans="1:52" ht="15" x14ac:dyDescent="0.25">
      <c r="A1367" s="11"/>
      <c r="B1367" s="11"/>
      <c r="C1367" s="19"/>
      <c r="D1367" s="19"/>
      <c r="E1367" s="19"/>
      <c r="F1367" s="19"/>
      <c r="G1367" s="19"/>
      <c r="H1367" s="11"/>
      <c r="I1367" s="11"/>
      <c r="J1367" s="11"/>
      <c r="K1367" s="11"/>
      <c r="L1367" s="11"/>
      <c r="M1367" s="11"/>
      <c r="N1367" s="11"/>
      <c r="O1367" s="13"/>
      <c r="P1367" s="13"/>
      <c r="Q1367" s="13"/>
      <c r="R1367" s="13"/>
      <c r="S1367" s="13"/>
      <c r="T1367" s="13"/>
      <c r="U1367" s="13"/>
      <c r="V1367" s="13"/>
      <c r="W1367" s="13"/>
      <c r="AY1367" s="10"/>
      <c r="AZ1367" s="10"/>
    </row>
    <row r="1368" spans="1:52" ht="15" x14ac:dyDescent="0.25">
      <c r="A1368" s="11"/>
      <c r="B1368" s="11"/>
      <c r="C1368" s="11"/>
      <c r="D1368" s="11"/>
      <c r="E1368" s="11"/>
      <c r="F1368" s="11"/>
      <c r="G1368" s="11"/>
      <c r="H1368" s="11"/>
      <c r="I1368" s="11"/>
      <c r="J1368" s="11"/>
      <c r="K1368" s="11"/>
      <c r="L1368" s="11"/>
      <c r="M1368" s="11"/>
      <c r="N1368" s="19"/>
      <c r="O1368" s="13"/>
      <c r="P1368" s="13"/>
      <c r="Q1368" s="13"/>
      <c r="R1368" s="13"/>
      <c r="S1368" s="13"/>
      <c r="T1368" s="13"/>
      <c r="U1368" s="13"/>
      <c r="V1368" s="13"/>
      <c r="W1368" s="13"/>
      <c r="AY1368" s="10"/>
      <c r="AZ1368" s="10"/>
    </row>
    <row r="1369" spans="1:52" ht="15" x14ac:dyDescent="0.25">
      <c r="A1369" s="11"/>
      <c r="B1369" s="11"/>
      <c r="C1369" s="11"/>
      <c r="D1369" s="11"/>
      <c r="E1369" s="11"/>
      <c r="F1369" s="11"/>
      <c r="G1369" s="11"/>
      <c r="H1369" s="19"/>
      <c r="I1369" s="19"/>
      <c r="J1369" s="19"/>
      <c r="K1369" s="19"/>
      <c r="L1369" s="19"/>
      <c r="M1369" s="19"/>
      <c r="N1369" s="19"/>
      <c r="O1369" s="13"/>
      <c r="P1369" s="13"/>
      <c r="Q1369" s="13"/>
      <c r="R1369" s="13"/>
      <c r="S1369" s="13"/>
      <c r="T1369" s="13"/>
      <c r="U1369" s="13"/>
      <c r="V1369" s="13"/>
      <c r="W1369" s="13"/>
      <c r="AY1369" s="10"/>
      <c r="AZ1369" s="10"/>
    </row>
    <row r="1370" spans="1:52" ht="15" x14ac:dyDescent="0.25">
      <c r="A1370" s="11"/>
      <c r="B1370" s="11"/>
      <c r="C1370" s="19"/>
      <c r="D1370" s="19"/>
      <c r="E1370" s="19"/>
      <c r="F1370" s="19"/>
      <c r="G1370" s="19"/>
      <c r="H1370" s="19"/>
      <c r="I1370" s="19"/>
      <c r="J1370" s="19"/>
      <c r="K1370" s="19"/>
      <c r="L1370" s="19"/>
      <c r="M1370" s="19"/>
      <c r="N1370" s="19"/>
      <c r="O1370" s="13"/>
      <c r="P1370" s="13"/>
      <c r="Q1370" s="13"/>
      <c r="R1370" s="13"/>
      <c r="S1370" s="13"/>
      <c r="T1370" s="13"/>
      <c r="U1370" s="13"/>
      <c r="V1370" s="13"/>
      <c r="W1370" s="13"/>
      <c r="AY1370" s="10"/>
      <c r="AZ1370" s="10"/>
    </row>
    <row r="1371" spans="1:52" ht="15" x14ac:dyDescent="0.25">
      <c r="A1371" s="11"/>
      <c r="B1371" s="11"/>
      <c r="C1371" s="19"/>
      <c r="D1371" s="19"/>
      <c r="E1371" s="19"/>
      <c r="F1371" s="19"/>
      <c r="G1371" s="19"/>
      <c r="H1371" s="19"/>
      <c r="I1371" s="19"/>
      <c r="J1371" s="19"/>
      <c r="K1371" s="19"/>
      <c r="L1371" s="19"/>
      <c r="M1371" s="19"/>
      <c r="N1371" s="19"/>
      <c r="O1371" s="13"/>
      <c r="P1371" s="13"/>
      <c r="Q1371" s="13"/>
      <c r="R1371" s="13"/>
      <c r="S1371" s="13"/>
      <c r="T1371" s="13"/>
      <c r="U1371" s="13"/>
      <c r="V1371" s="13"/>
      <c r="W1371" s="13"/>
      <c r="AY1371" s="10"/>
      <c r="AZ1371" s="10"/>
    </row>
    <row r="1372" spans="1:52" ht="15" x14ac:dyDescent="0.25">
      <c r="A1372" s="11"/>
      <c r="B1372" s="11"/>
      <c r="C1372" s="19"/>
      <c r="D1372" s="19"/>
      <c r="E1372" s="19"/>
      <c r="F1372" s="19"/>
      <c r="G1372" s="19"/>
      <c r="H1372" s="19"/>
      <c r="I1372" s="19"/>
      <c r="J1372" s="19"/>
      <c r="K1372" s="19"/>
      <c r="L1372" s="19"/>
      <c r="M1372" s="19"/>
      <c r="N1372" s="19"/>
      <c r="O1372" s="13"/>
      <c r="P1372" s="13"/>
      <c r="Q1372" s="13"/>
      <c r="R1372" s="13"/>
      <c r="S1372" s="13"/>
      <c r="T1372" s="13"/>
      <c r="U1372" s="13"/>
      <c r="V1372" s="13"/>
      <c r="W1372" s="13"/>
      <c r="AY1372" s="10"/>
      <c r="AZ1372" s="10"/>
    </row>
    <row r="1373" spans="1:52" ht="15" x14ac:dyDescent="0.25">
      <c r="A1373" s="11"/>
      <c r="B1373" s="11"/>
      <c r="C1373" s="19"/>
      <c r="D1373" s="19"/>
      <c r="E1373" s="19"/>
      <c r="F1373" s="19"/>
      <c r="G1373" s="19"/>
      <c r="H1373" s="19"/>
      <c r="I1373" s="19"/>
      <c r="J1373" s="19"/>
      <c r="K1373" s="19"/>
      <c r="L1373" s="19"/>
      <c r="M1373" s="19"/>
      <c r="N1373" s="11"/>
      <c r="O1373" s="13"/>
      <c r="P1373" s="13"/>
      <c r="Q1373" s="13"/>
      <c r="R1373" s="13"/>
      <c r="S1373" s="13"/>
      <c r="T1373" s="13"/>
      <c r="U1373" s="13"/>
      <c r="V1373" s="13"/>
      <c r="W1373" s="13"/>
      <c r="AY1373" s="10"/>
      <c r="AZ1373" s="10"/>
    </row>
    <row r="1374" spans="1:52" ht="15" x14ac:dyDescent="0.25">
      <c r="A1374" s="11"/>
      <c r="C1374" s="19"/>
      <c r="D1374" s="19"/>
      <c r="E1374" s="19"/>
      <c r="F1374" s="19"/>
      <c r="G1374" s="19"/>
      <c r="H1374" s="11"/>
      <c r="I1374" s="11"/>
      <c r="J1374" s="11"/>
      <c r="K1374" s="11"/>
      <c r="L1374" s="11"/>
      <c r="M1374" s="11"/>
      <c r="O1374" s="13"/>
      <c r="P1374" s="13"/>
      <c r="Q1374" s="13"/>
      <c r="R1374" s="13"/>
      <c r="S1374" s="13"/>
      <c r="T1374" s="13"/>
      <c r="U1374" s="13"/>
      <c r="V1374" s="13"/>
      <c r="W1374" s="13"/>
      <c r="AY1374" s="10"/>
      <c r="AZ1374" s="10"/>
    </row>
    <row r="1375" spans="1:52" ht="15" x14ac:dyDescent="0.25">
      <c r="A1375" s="11"/>
      <c r="C1375" s="11"/>
      <c r="D1375" s="11"/>
      <c r="E1375" s="11"/>
      <c r="F1375" s="11"/>
      <c r="G1375" s="11"/>
      <c r="O1375" s="13"/>
      <c r="P1375" s="13"/>
      <c r="Q1375" s="13"/>
      <c r="R1375" s="13"/>
      <c r="S1375" s="13"/>
      <c r="T1375" s="13"/>
      <c r="U1375" s="13"/>
      <c r="V1375" s="13"/>
      <c r="W1375" s="13"/>
      <c r="AY1375" s="10"/>
      <c r="AZ1375" s="10"/>
    </row>
    <row r="1376" spans="1:52" ht="15" x14ac:dyDescent="0.25">
      <c r="A1376" s="11"/>
      <c r="O1376" s="13"/>
      <c r="P1376" s="13"/>
      <c r="Q1376" s="13"/>
      <c r="R1376" s="13"/>
      <c r="S1376" s="13"/>
      <c r="T1376" s="13"/>
      <c r="U1376" s="13"/>
      <c r="V1376" s="13"/>
      <c r="W1376" s="13"/>
      <c r="AY1376" s="10"/>
      <c r="AZ1376" s="10"/>
    </row>
    <row r="1377" spans="1:52" ht="15" x14ac:dyDescent="0.25">
      <c r="A1377" s="11"/>
      <c r="O1377" s="13"/>
      <c r="P1377" s="13"/>
      <c r="Q1377" s="13"/>
      <c r="R1377" s="13"/>
      <c r="S1377" s="13"/>
      <c r="T1377" s="13"/>
      <c r="U1377" s="13"/>
      <c r="V1377" s="13"/>
      <c r="W1377" s="13"/>
      <c r="AY1377" s="10"/>
      <c r="AZ1377" s="10"/>
    </row>
    <row r="1378" spans="1:52" ht="15" x14ac:dyDescent="0.25">
      <c r="A1378" s="11"/>
      <c r="O1378" s="13"/>
      <c r="P1378" s="13"/>
      <c r="Q1378" s="13"/>
      <c r="R1378" s="13"/>
      <c r="S1378" s="13"/>
      <c r="T1378" s="13"/>
      <c r="U1378" s="13"/>
      <c r="V1378" s="13"/>
      <c r="W1378" s="13"/>
      <c r="AY1378" s="10"/>
      <c r="AZ1378" s="10"/>
    </row>
    <row r="1379" spans="1:52" ht="15" x14ac:dyDescent="0.25">
      <c r="A1379" s="11"/>
      <c r="O1379" s="13"/>
      <c r="P1379" s="13"/>
      <c r="Q1379" s="13"/>
      <c r="R1379" s="13"/>
      <c r="S1379" s="13"/>
      <c r="T1379" s="13"/>
      <c r="U1379" s="13"/>
      <c r="V1379" s="13"/>
      <c r="W1379" s="13"/>
      <c r="AY1379" s="10"/>
      <c r="AZ1379" s="10"/>
    </row>
    <row r="1380" spans="1:52" ht="15" x14ac:dyDescent="0.25">
      <c r="A1380" s="11"/>
      <c r="O1380" s="13"/>
      <c r="P1380" s="13"/>
      <c r="Q1380" s="13"/>
      <c r="R1380" s="13"/>
      <c r="S1380" s="13"/>
      <c r="T1380" s="13"/>
      <c r="U1380" s="13"/>
      <c r="V1380" s="13"/>
      <c r="W1380" s="13"/>
      <c r="AY1380" s="10"/>
      <c r="AZ1380" s="10"/>
    </row>
    <row r="1381" spans="1:52" ht="15" x14ac:dyDescent="0.25">
      <c r="A1381" s="11"/>
      <c r="O1381" s="13"/>
      <c r="P1381" s="13"/>
      <c r="Q1381" s="13"/>
      <c r="R1381" s="13"/>
      <c r="S1381" s="13"/>
      <c r="T1381" s="13"/>
      <c r="U1381" s="13"/>
      <c r="V1381" s="13"/>
      <c r="W1381" s="13"/>
      <c r="AY1381" s="10"/>
      <c r="AZ1381" s="10"/>
    </row>
    <row r="1382" spans="1:52" ht="15" x14ac:dyDescent="0.25">
      <c r="A1382" s="11"/>
      <c r="O1382" s="13"/>
      <c r="P1382" s="13"/>
      <c r="Q1382" s="13"/>
      <c r="R1382" s="13"/>
      <c r="S1382" s="13"/>
      <c r="T1382" s="13"/>
      <c r="U1382" s="13"/>
      <c r="V1382" s="13"/>
      <c r="W1382" s="13"/>
      <c r="AY1382" s="10"/>
      <c r="AZ1382" s="10"/>
    </row>
    <row r="1383" spans="1:52" ht="15" x14ac:dyDescent="0.25">
      <c r="A1383" s="11"/>
      <c r="O1383" s="13"/>
      <c r="P1383" s="13"/>
      <c r="Q1383" s="13"/>
      <c r="R1383" s="13"/>
      <c r="S1383" s="13"/>
      <c r="T1383" s="13"/>
      <c r="U1383" s="13"/>
      <c r="V1383" s="13"/>
      <c r="W1383" s="13"/>
      <c r="AY1383" s="10"/>
      <c r="AZ1383" s="10"/>
    </row>
    <row r="1384" spans="1:52" ht="15" x14ac:dyDescent="0.25">
      <c r="A1384" s="11"/>
      <c r="O1384" s="13"/>
      <c r="P1384" s="13"/>
      <c r="Q1384" s="13"/>
      <c r="R1384" s="13"/>
      <c r="S1384" s="13"/>
      <c r="T1384" s="13"/>
      <c r="U1384" s="13"/>
      <c r="V1384" s="13"/>
      <c r="W1384" s="13"/>
      <c r="AY1384" s="10"/>
      <c r="AZ1384" s="10"/>
    </row>
    <row r="1385" spans="1:52" ht="15" x14ac:dyDescent="0.25">
      <c r="A1385" s="11"/>
      <c r="O1385" s="13"/>
      <c r="P1385" s="13"/>
      <c r="Q1385" s="13"/>
      <c r="R1385" s="13"/>
      <c r="S1385" s="13"/>
      <c r="T1385" s="13"/>
      <c r="U1385" s="13"/>
      <c r="V1385" s="13"/>
      <c r="W1385" s="13"/>
      <c r="AY1385" s="10"/>
      <c r="AZ1385" s="10"/>
    </row>
    <row r="1386" spans="1:52" ht="15" x14ac:dyDescent="0.25">
      <c r="A1386" s="11"/>
      <c r="O1386" s="13"/>
      <c r="P1386" s="13"/>
      <c r="Q1386" s="13"/>
      <c r="R1386" s="13"/>
      <c r="S1386" s="13"/>
      <c r="T1386" s="13"/>
      <c r="U1386" s="13"/>
      <c r="V1386" s="13"/>
      <c r="W1386" s="13"/>
      <c r="AY1386" s="10"/>
      <c r="AZ1386" s="10"/>
    </row>
    <row r="1387" spans="1:52" ht="15" x14ac:dyDescent="0.25">
      <c r="A1387" s="11"/>
      <c r="O1387" s="13"/>
      <c r="P1387" s="13"/>
      <c r="Q1387" s="13"/>
      <c r="R1387" s="13"/>
      <c r="S1387" s="13"/>
      <c r="T1387" s="13"/>
      <c r="U1387" s="13"/>
      <c r="V1387" s="13"/>
      <c r="W1387" s="13"/>
      <c r="AY1387" s="10"/>
      <c r="AZ1387" s="10"/>
    </row>
    <row r="1388" spans="1:52" ht="15" x14ac:dyDescent="0.25">
      <c r="A1388" s="11"/>
      <c r="O1388" s="13"/>
      <c r="P1388" s="13"/>
      <c r="Q1388" s="13"/>
      <c r="R1388" s="13"/>
      <c r="S1388" s="13"/>
      <c r="T1388" s="13"/>
      <c r="U1388" s="13"/>
      <c r="V1388" s="13"/>
      <c r="W1388" s="13"/>
      <c r="AY1388" s="10"/>
      <c r="AZ1388" s="10"/>
    </row>
    <row r="1389" spans="1:52" ht="15" x14ac:dyDescent="0.25">
      <c r="A1389" s="11"/>
      <c r="O1389" s="13"/>
      <c r="P1389" s="13"/>
      <c r="Q1389" s="13"/>
      <c r="R1389" s="13"/>
      <c r="S1389" s="13"/>
      <c r="T1389" s="13"/>
      <c r="U1389" s="13"/>
      <c r="V1389" s="13"/>
      <c r="W1389" s="13"/>
      <c r="AY1389" s="10"/>
      <c r="AZ1389" s="10"/>
    </row>
    <row r="1390" spans="1:52" ht="15" x14ac:dyDescent="0.25">
      <c r="A1390" s="11"/>
      <c r="O1390" s="13"/>
      <c r="P1390" s="13"/>
      <c r="Q1390" s="13"/>
      <c r="R1390" s="13"/>
      <c r="S1390" s="13"/>
      <c r="T1390" s="13"/>
      <c r="U1390" s="13"/>
      <c r="V1390" s="13"/>
      <c r="W1390" s="13"/>
      <c r="AY1390" s="10"/>
      <c r="AZ1390" s="10"/>
    </row>
    <row r="1391" spans="1:52" ht="15" x14ac:dyDescent="0.25">
      <c r="A1391" s="11"/>
      <c r="O1391" s="13"/>
      <c r="P1391" s="13"/>
      <c r="Q1391" s="13"/>
      <c r="R1391" s="13"/>
      <c r="S1391" s="13"/>
      <c r="T1391" s="13"/>
      <c r="U1391" s="13"/>
      <c r="V1391" s="13"/>
      <c r="W1391" s="13"/>
      <c r="AY1391" s="10"/>
      <c r="AZ1391" s="10"/>
    </row>
    <row r="1392" spans="1:52" ht="15" x14ac:dyDescent="0.25">
      <c r="A1392" s="11"/>
      <c r="O1392" s="13"/>
      <c r="P1392" s="13"/>
      <c r="Q1392" s="13"/>
      <c r="R1392" s="13"/>
      <c r="S1392" s="13"/>
      <c r="T1392" s="13"/>
      <c r="U1392" s="13"/>
      <c r="V1392" s="13"/>
      <c r="W1392" s="13"/>
      <c r="AY1392" s="10"/>
      <c r="AZ1392" s="10"/>
    </row>
    <row r="1393" spans="1:52" ht="15" x14ac:dyDescent="0.25">
      <c r="A1393" s="11"/>
      <c r="O1393" s="13"/>
      <c r="P1393" s="13"/>
      <c r="Q1393" s="13"/>
      <c r="R1393" s="13"/>
      <c r="S1393" s="13"/>
      <c r="T1393" s="13"/>
      <c r="U1393" s="13"/>
      <c r="V1393" s="13"/>
      <c r="W1393" s="13"/>
      <c r="AY1393" s="10"/>
      <c r="AZ1393" s="10"/>
    </row>
    <row r="1394" spans="1:52" ht="15" x14ac:dyDescent="0.25">
      <c r="A1394" s="11"/>
      <c r="O1394" s="13"/>
      <c r="P1394" s="13"/>
      <c r="Q1394" s="13"/>
      <c r="R1394" s="13"/>
      <c r="S1394" s="13"/>
      <c r="T1394" s="13"/>
      <c r="U1394" s="13"/>
      <c r="V1394" s="13"/>
      <c r="W1394" s="13"/>
      <c r="AY1394" s="10"/>
      <c r="AZ1394" s="10"/>
    </row>
    <row r="1395" spans="1:52" ht="15" x14ac:dyDescent="0.25">
      <c r="A1395" s="11"/>
      <c r="O1395" s="13"/>
      <c r="P1395" s="13"/>
      <c r="Q1395" s="13"/>
      <c r="R1395" s="13"/>
      <c r="S1395" s="13"/>
      <c r="T1395" s="13"/>
      <c r="U1395" s="13"/>
      <c r="V1395" s="13"/>
      <c r="W1395" s="13"/>
      <c r="AY1395" s="10"/>
      <c r="AZ1395" s="10"/>
    </row>
    <row r="1396" spans="1:52" ht="15" x14ac:dyDescent="0.25">
      <c r="A1396" s="11"/>
      <c r="O1396" s="13"/>
      <c r="P1396" s="13"/>
      <c r="Q1396" s="13"/>
      <c r="R1396" s="13"/>
      <c r="S1396" s="13"/>
      <c r="T1396" s="13"/>
      <c r="U1396" s="13"/>
      <c r="V1396" s="13"/>
      <c r="W1396" s="13"/>
      <c r="AY1396" s="10"/>
      <c r="AZ1396" s="10"/>
    </row>
    <row r="1397" spans="1:52" ht="15" x14ac:dyDescent="0.25">
      <c r="A1397" s="11"/>
      <c r="O1397" s="13"/>
      <c r="P1397" s="13"/>
      <c r="Q1397" s="13"/>
      <c r="R1397" s="13"/>
      <c r="S1397" s="13"/>
      <c r="T1397" s="13"/>
      <c r="U1397" s="13"/>
      <c r="V1397" s="13"/>
      <c r="W1397" s="13"/>
      <c r="AY1397" s="10"/>
      <c r="AZ1397" s="10"/>
    </row>
    <row r="1398" spans="1:52" ht="15" x14ac:dyDescent="0.25">
      <c r="A1398" s="11"/>
      <c r="O1398" s="13"/>
      <c r="P1398" s="13"/>
      <c r="Q1398" s="13"/>
      <c r="R1398" s="13"/>
      <c r="S1398" s="13"/>
      <c r="T1398" s="13"/>
      <c r="U1398" s="13"/>
      <c r="V1398" s="13"/>
      <c r="W1398" s="13"/>
      <c r="AY1398" s="10"/>
      <c r="AZ1398" s="10"/>
    </row>
    <row r="1399" spans="1:52" ht="15" x14ac:dyDescent="0.25">
      <c r="A1399" s="11"/>
      <c r="O1399" s="13"/>
      <c r="P1399" s="13"/>
      <c r="Q1399" s="13"/>
      <c r="R1399" s="13"/>
      <c r="S1399" s="13"/>
      <c r="T1399" s="13"/>
      <c r="U1399" s="13"/>
      <c r="V1399" s="13"/>
      <c r="W1399" s="13"/>
      <c r="AY1399" s="10"/>
      <c r="AZ1399" s="10"/>
    </row>
    <row r="1400" spans="1:52" ht="15" x14ac:dyDescent="0.25">
      <c r="A1400" s="11"/>
      <c r="O1400" s="13"/>
      <c r="P1400" s="13"/>
      <c r="Q1400" s="13"/>
      <c r="R1400" s="13"/>
      <c r="S1400" s="13"/>
      <c r="T1400" s="13"/>
      <c r="U1400" s="13"/>
      <c r="V1400" s="13"/>
      <c r="W1400" s="13"/>
      <c r="AY1400" s="10"/>
      <c r="AZ1400" s="10"/>
    </row>
    <row r="1401" spans="1:52" ht="15" x14ac:dyDescent="0.25">
      <c r="A1401" s="11"/>
      <c r="O1401" s="13"/>
      <c r="P1401" s="13"/>
      <c r="Q1401" s="13"/>
      <c r="R1401" s="13"/>
      <c r="S1401" s="13"/>
      <c r="T1401" s="13"/>
      <c r="U1401" s="13"/>
      <c r="V1401" s="13"/>
      <c r="W1401" s="13"/>
      <c r="AY1401" s="10"/>
      <c r="AZ1401" s="10"/>
    </row>
    <row r="1402" spans="1:52" ht="15" x14ac:dyDescent="0.25">
      <c r="A1402" s="11"/>
      <c r="O1402" s="13"/>
      <c r="P1402" s="13"/>
      <c r="Q1402" s="13"/>
      <c r="R1402" s="13"/>
      <c r="S1402" s="13"/>
      <c r="T1402" s="13"/>
      <c r="U1402" s="13"/>
      <c r="V1402" s="13"/>
      <c r="W1402" s="13"/>
      <c r="AY1402" s="10"/>
      <c r="AZ1402" s="10"/>
    </row>
    <row r="1403" spans="1:52" ht="15" x14ac:dyDescent="0.25">
      <c r="A1403" s="11"/>
      <c r="O1403" s="13"/>
      <c r="P1403" s="13"/>
      <c r="Q1403" s="13"/>
      <c r="R1403" s="13"/>
      <c r="S1403" s="13"/>
      <c r="T1403" s="13"/>
      <c r="U1403" s="13"/>
      <c r="V1403" s="13"/>
      <c r="W1403" s="13"/>
      <c r="AY1403" s="10"/>
      <c r="AZ1403" s="10"/>
    </row>
    <row r="1404" spans="1:52" ht="15" x14ac:dyDescent="0.25">
      <c r="A1404" s="11"/>
      <c r="O1404" s="13"/>
      <c r="P1404" s="13"/>
      <c r="Q1404" s="13"/>
      <c r="R1404" s="13"/>
      <c r="S1404" s="13"/>
      <c r="T1404" s="13"/>
      <c r="U1404" s="13"/>
      <c r="V1404" s="13"/>
      <c r="W1404" s="13"/>
      <c r="AY1404" s="10"/>
      <c r="AZ1404" s="10"/>
    </row>
    <row r="1405" spans="1:52" ht="15" x14ac:dyDescent="0.25">
      <c r="A1405" s="11"/>
      <c r="O1405" s="13"/>
      <c r="P1405" s="13"/>
      <c r="Q1405" s="13"/>
      <c r="R1405" s="13"/>
      <c r="S1405" s="13"/>
      <c r="T1405" s="13"/>
      <c r="U1405" s="13"/>
      <c r="V1405" s="13"/>
      <c r="W1405" s="13"/>
      <c r="AY1405" s="10"/>
      <c r="AZ1405" s="10"/>
    </row>
    <row r="1406" spans="1:52" ht="15" x14ac:dyDescent="0.25">
      <c r="A1406" s="11"/>
      <c r="O1406" s="13"/>
      <c r="P1406" s="13"/>
      <c r="Q1406" s="13"/>
      <c r="R1406" s="13"/>
      <c r="S1406" s="13"/>
      <c r="T1406" s="13"/>
      <c r="U1406" s="13"/>
      <c r="V1406" s="13"/>
      <c r="W1406" s="13"/>
      <c r="AY1406" s="10"/>
      <c r="AZ1406" s="10"/>
    </row>
    <row r="1407" spans="1:52" ht="15" x14ac:dyDescent="0.25">
      <c r="A1407" s="11"/>
      <c r="O1407" s="13"/>
      <c r="P1407" s="13"/>
      <c r="Q1407" s="13"/>
      <c r="R1407" s="13"/>
      <c r="S1407" s="13"/>
      <c r="T1407" s="13"/>
      <c r="U1407" s="13"/>
      <c r="V1407" s="13"/>
      <c r="W1407" s="13"/>
      <c r="AY1407" s="10"/>
      <c r="AZ1407" s="10"/>
    </row>
    <row r="1408" spans="1:52" ht="15" x14ac:dyDescent="0.25">
      <c r="A1408" s="11"/>
      <c r="O1408" s="13"/>
      <c r="P1408" s="13"/>
      <c r="Q1408" s="13"/>
      <c r="R1408" s="13"/>
      <c r="S1408" s="13"/>
      <c r="T1408" s="13"/>
      <c r="U1408" s="13"/>
      <c r="V1408" s="13"/>
      <c r="W1408" s="13"/>
      <c r="AY1408" s="10"/>
      <c r="AZ1408" s="10"/>
    </row>
    <row r="1409" spans="1:52" ht="15" x14ac:dyDescent="0.25">
      <c r="A1409" s="11"/>
      <c r="O1409" s="13"/>
      <c r="P1409" s="13"/>
      <c r="Q1409" s="13"/>
      <c r="R1409" s="13"/>
      <c r="S1409" s="13"/>
      <c r="T1409" s="13"/>
      <c r="U1409" s="13"/>
      <c r="V1409" s="13"/>
      <c r="W1409" s="13"/>
      <c r="AY1409" s="10"/>
      <c r="AZ1409" s="10"/>
    </row>
    <row r="1410" spans="1:52" ht="15" x14ac:dyDescent="0.25">
      <c r="A1410" s="11"/>
      <c r="O1410" s="13"/>
      <c r="P1410" s="13"/>
      <c r="Q1410" s="13"/>
      <c r="R1410" s="13"/>
      <c r="S1410" s="13"/>
      <c r="T1410" s="13"/>
      <c r="U1410" s="13"/>
      <c r="V1410" s="13"/>
      <c r="W1410" s="13"/>
      <c r="AY1410" s="10"/>
      <c r="AZ1410" s="10"/>
    </row>
    <row r="1411" spans="1:52" ht="15" x14ac:dyDescent="0.25">
      <c r="A1411" s="11"/>
      <c r="O1411" s="13"/>
      <c r="P1411" s="13"/>
      <c r="Q1411" s="13"/>
      <c r="R1411" s="13"/>
      <c r="S1411" s="13"/>
      <c r="T1411" s="13"/>
      <c r="U1411" s="13"/>
      <c r="V1411" s="13"/>
      <c r="W1411" s="13"/>
      <c r="AY1411" s="10"/>
      <c r="AZ1411" s="10"/>
    </row>
    <row r="1412" spans="1:52" ht="15" x14ac:dyDescent="0.25">
      <c r="A1412" s="11"/>
      <c r="O1412" s="13"/>
      <c r="P1412" s="13"/>
      <c r="Q1412" s="13"/>
      <c r="R1412" s="13"/>
      <c r="S1412" s="13"/>
      <c r="T1412" s="13"/>
      <c r="U1412" s="13"/>
      <c r="V1412" s="13"/>
      <c r="W1412" s="13"/>
      <c r="AY1412" s="10"/>
      <c r="AZ1412" s="10"/>
    </row>
    <row r="1413" spans="1:52" ht="15" x14ac:dyDescent="0.25">
      <c r="A1413" s="11"/>
      <c r="O1413" s="13"/>
      <c r="P1413" s="13"/>
      <c r="Q1413" s="13"/>
      <c r="R1413" s="13"/>
      <c r="S1413" s="13"/>
      <c r="T1413" s="13"/>
      <c r="U1413" s="13"/>
      <c r="V1413" s="13"/>
      <c r="W1413" s="13"/>
      <c r="AY1413" s="10"/>
      <c r="AZ1413" s="10"/>
    </row>
    <row r="1414" spans="1:52" ht="15" x14ac:dyDescent="0.25">
      <c r="A1414" s="11"/>
      <c r="O1414" s="13"/>
      <c r="P1414" s="13"/>
      <c r="Q1414" s="13"/>
      <c r="R1414" s="13"/>
      <c r="S1414" s="13"/>
      <c r="T1414" s="13"/>
      <c r="U1414" s="13"/>
      <c r="V1414" s="13"/>
      <c r="W1414" s="13"/>
      <c r="AY1414" s="10"/>
      <c r="AZ1414" s="10"/>
    </row>
    <row r="1415" spans="1:52" ht="15" x14ac:dyDescent="0.25">
      <c r="A1415" s="11"/>
      <c r="O1415" s="13"/>
      <c r="P1415" s="13"/>
      <c r="Q1415" s="13"/>
      <c r="R1415" s="13"/>
      <c r="S1415" s="13"/>
      <c r="T1415" s="13"/>
      <c r="U1415" s="13"/>
      <c r="V1415" s="13"/>
      <c r="W1415" s="13"/>
      <c r="AY1415" s="10"/>
      <c r="AZ1415" s="10"/>
    </row>
    <row r="1416" spans="1:52" ht="15" x14ac:dyDescent="0.25">
      <c r="A1416" s="11"/>
      <c r="O1416" s="13"/>
      <c r="P1416" s="13"/>
      <c r="Q1416" s="13"/>
      <c r="R1416" s="13"/>
      <c r="S1416" s="13"/>
      <c r="T1416" s="13"/>
      <c r="U1416" s="13"/>
      <c r="V1416" s="13"/>
      <c r="W1416" s="13"/>
      <c r="AY1416" s="10"/>
      <c r="AZ1416" s="10"/>
    </row>
    <row r="1417" spans="1:52" ht="15" x14ac:dyDescent="0.25">
      <c r="A1417" s="11"/>
      <c r="O1417" s="13"/>
      <c r="P1417" s="13"/>
      <c r="Q1417" s="13"/>
      <c r="R1417" s="13"/>
      <c r="S1417" s="13"/>
      <c r="T1417" s="13"/>
      <c r="U1417" s="13"/>
      <c r="V1417" s="13"/>
      <c r="W1417" s="13"/>
      <c r="AY1417" s="10"/>
      <c r="AZ1417" s="10"/>
    </row>
    <row r="1418" spans="1:52" ht="15" x14ac:dyDescent="0.25">
      <c r="A1418" s="11"/>
      <c r="O1418" s="13"/>
      <c r="P1418" s="13"/>
      <c r="Q1418" s="13"/>
      <c r="R1418" s="13"/>
      <c r="S1418" s="13"/>
      <c r="T1418" s="13"/>
      <c r="U1418" s="13"/>
      <c r="V1418" s="13"/>
      <c r="W1418" s="13"/>
      <c r="AY1418" s="10"/>
      <c r="AZ1418" s="10"/>
    </row>
    <row r="1419" spans="1:52" ht="15" x14ac:dyDescent="0.25">
      <c r="A1419" s="11"/>
      <c r="O1419" s="13"/>
      <c r="P1419" s="13"/>
      <c r="Q1419" s="13"/>
      <c r="R1419" s="13"/>
      <c r="S1419" s="13"/>
      <c r="T1419" s="13"/>
      <c r="U1419" s="13"/>
      <c r="V1419" s="13"/>
      <c r="W1419" s="13"/>
      <c r="AY1419" s="10"/>
      <c r="AZ1419" s="10"/>
    </row>
    <row r="1420" spans="1:52" ht="15" x14ac:dyDescent="0.25">
      <c r="A1420" s="11"/>
      <c r="O1420" s="13"/>
      <c r="P1420" s="13"/>
      <c r="Q1420" s="13"/>
      <c r="R1420" s="13"/>
      <c r="S1420" s="13"/>
      <c r="T1420" s="13"/>
      <c r="U1420" s="13"/>
      <c r="V1420" s="13"/>
      <c r="W1420" s="13"/>
      <c r="AY1420" s="10"/>
      <c r="AZ1420" s="10"/>
    </row>
    <row r="1421" spans="1:52" ht="15" x14ac:dyDescent="0.25">
      <c r="A1421" s="11"/>
      <c r="O1421" s="13"/>
      <c r="P1421" s="13"/>
      <c r="Q1421" s="13"/>
      <c r="R1421" s="13"/>
      <c r="S1421" s="13"/>
      <c r="T1421" s="13"/>
      <c r="U1421" s="13"/>
      <c r="V1421" s="13"/>
      <c r="W1421" s="13"/>
      <c r="AY1421" s="10"/>
      <c r="AZ1421" s="10"/>
    </row>
    <row r="1422" spans="1:52" ht="15" x14ac:dyDescent="0.25">
      <c r="A1422" s="11"/>
      <c r="O1422" s="13"/>
      <c r="P1422" s="13"/>
      <c r="Q1422" s="13"/>
      <c r="R1422" s="13"/>
      <c r="S1422" s="13"/>
      <c r="T1422" s="13"/>
      <c r="U1422" s="13"/>
      <c r="V1422" s="13"/>
      <c r="W1422" s="13"/>
      <c r="AY1422" s="10"/>
      <c r="AZ1422" s="10"/>
    </row>
    <row r="1423" spans="1:52" ht="15" x14ac:dyDescent="0.25">
      <c r="A1423" s="11"/>
      <c r="O1423" s="13"/>
      <c r="P1423" s="13"/>
      <c r="Q1423" s="13"/>
      <c r="R1423" s="13"/>
      <c r="S1423" s="13"/>
      <c r="T1423" s="13"/>
      <c r="U1423" s="13"/>
      <c r="V1423" s="13"/>
      <c r="W1423" s="13"/>
      <c r="AY1423" s="10"/>
      <c r="AZ1423" s="10"/>
    </row>
    <row r="1424" spans="1:52" ht="15" x14ac:dyDescent="0.25">
      <c r="A1424" s="11"/>
      <c r="O1424" s="13"/>
      <c r="P1424" s="13"/>
      <c r="Q1424" s="13"/>
      <c r="R1424" s="13"/>
      <c r="S1424" s="13"/>
      <c r="T1424" s="13"/>
      <c r="U1424" s="13"/>
      <c r="V1424" s="13"/>
      <c r="W1424" s="13"/>
      <c r="AY1424" s="10"/>
      <c r="AZ1424" s="10"/>
    </row>
    <row r="1425" spans="1:52" ht="15" x14ac:dyDescent="0.25">
      <c r="A1425" s="11"/>
      <c r="O1425" s="13"/>
      <c r="P1425" s="13"/>
      <c r="Q1425" s="13"/>
      <c r="R1425" s="13"/>
      <c r="S1425" s="13"/>
      <c r="T1425" s="13"/>
      <c r="U1425" s="13"/>
      <c r="V1425" s="13"/>
      <c r="W1425" s="13"/>
      <c r="AY1425" s="10"/>
      <c r="AZ1425" s="10"/>
    </row>
    <row r="1426" spans="1:52" ht="15" x14ac:dyDescent="0.25">
      <c r="A1426" s="11"/>
      <c r="O1426" s="13"/>
      <c r="P1426" s="13"/>
      <c r="Q1426" s="13"/>
      <c r="R1426" s="13"/>
      <c r="S1426" s="13"/>
      <c r="T1426" s="13"/>
      <c r="U1426" s="13"/>
      <c r="V1426" s="13"/>
      <c r="W1426" s="13"/>
      <c r="AY1426" s="10"/>
      <c r="AZ1426" s="10"/>
    </row>
    <row r="1427" spans="1:52" ht="15" x14ac:dyDescent="0.25">
      <c r="A1427" s="11"/>
      <c r="O1427" s="13"/>
      <c r="P1427" s="13"/>
      <c r="Q1427" s="13"/>
      <c r="R1427" s="13"/>
      <c r="S1427" s="13"/>
      <c r="T1427" s="13"/>
      <c r="U1427" s="13"/>
      <c r="V1427" s="13"/>
      <c r="W1427" s="13"/>
      <c r="AY1427" s="10"/>
      <c r="AZ1427" s="10"/>
    </row>
    <row r="1428" spans="1:52" ht="15" x14ac:dyDescent="0.25">
      <c r="A1428" s="11"/>
      <c r="O1428" s="13"/>
      <c r="P1428" s="13"/>
      <c r="Q1428" s="13"/>
      <c r="R1428" s="13"/>
      <c r="S1428" s="13"/>
      <c r="T1428" s="13"/>
      <c r="U1428" s="13"/>
      <c r="V1428" s="13"/>
      <c r="W1428" s="13"/>
      <c r="AY1428" s="10"/>
      <c r="AZ1428" s="10"/>
    </row>
    <row r="1429" spans="1:52" ht="15" x14ac:dyDescent="0.25">
      <c r="A1429" s="11"/>
      <c r="O1429" s="13"/>
      <c r="P1429" s="13"/>
      <c r="Q1429" s="13"/>
      <c r="R1429" s="13"/>
      <c r="S1429" s="13"/>
      <c r="T1429" s="13"/>
      <c r="U1429" s="13"/>
      <c r="V1429" s="13"/>
      <c r="W1429" s="13"/>
      <c r="AY1429" s="10"/>
      <c r="AZ1429" s="10"/>
    </row>
    <row r="1430" spans="1:52" ht="15" x14ac:dyDescent="0.25">
      <c r="A1430" s="11"/>
      <c r="O1430" s="13"/>
      <c r="P1430" s="13"/>
      <c r="Q1430" s="13"/>
      <c r="R1430" s="13"/>
      <c r="S1430" s="13"/>
      <c r="T1430" s="13"/>
      <c r="U1430" s="13"/>
      <c r="V1430" s="13"/>
      <c r="W1430" s="13"/>
      <c r="AY1430" s="10"/>
      <c r="AZ1430" s="10"/>
    </row>
    <row r="1431" spans="1:52" ht="15" x14ac:dyDescent="0.25">
      <c r="A1431" s="11"/>
      <c r="O1431" s="13"/>
      <c r="P1431" s="13"/>
      <c r="Q1431" s="13"/>
      <c r="R1431" s="13"/>
      <c r="S1431" s="13"/>
      <c r="T1431" s="13"/>
      <c r="U1431" s="13"/>
      <c r="V1431" s="13"/>
      <c r="W1431" s="13"/>
      <c r="AY1431" s="10"/>
      <c r="AZ1431" s="10"/>
    </row>
    <row r="1432" spans="1:52" ht="15" x14ac:dyDescent="0.25">
      <c r="A1432" s="11"/>
      <c r="O1432" s="13"/>
      <c r="P1432" s="13"/>
      <c r="Q1432" s="13"/>
      <c r="R1432" s="13"/>
      <c r="S1432" s="13"/>
      <c r="T1432" s="13"/>
      <c r="U1432" s="13"/>
      <c r="V1432" s="13"/>
      <c r="W1432" s="13"/>
      <c r="AY1432" s="10"/>
      <c r="AZ1432" s="10"/>
    </row>
    <row r="1433" spans="1:52" ht="15" x14ac:dyDescent="0.25">
      <c r="A1433" s="11"/>
      <c r="O1433" s="13"/>
      <c r="P1433" s="13"/>
      <c r="Q1433" s="13"/>
      <c r="R1433" s="13"/>
      <c r="S1433" s="13"/>
      <c r="T1433" s="13"/>
      <c r="U1433" s="13"/>
      <c r="V1433" s="13"/>
      <c r="W1433" s="13"/>
      <c r="AY1433" s="10"/>
      <c r="AZ1433" s="10"/>
    </row>
    <row r="1434" spans="1:52" ht="15" x14ac:dyDescent="0.25">
      <c r="A1434" s="11"/>
      <c r="O1434" s="13"/>
      <c r="P1434" s="13"/>
      <c r="Q1434" s="13"/>
      <c r="R1434" s="13"/>
      <c r="S1434" s="13"/>
      <c r="T1434" s="13"/>
      <c r="U1434" s="13"/>
      <c r="V1434" s="13"/>
      <c r="W1434" s="13"/>
      <c r="AY1434" s="10"/>
      <c r="AZ1434" s="10"/>
    </row>
    <row r="1435" spans="1:52" ht="15" x14ac:dyDescent="0.25">
      <c r="A1435" s="11"/>
      <c r="O1435" s="13"/>
      <c r="P1435" s="13"/>
      <c r="Q1435" s="13"/>
      <c r="R1435" s="13"/>
      <c r="S1435" s="13"/>
      <c r="T1435" s="13"/>
      <c r="U1435" s="13"/>
      <c r="V1435" s="13"/>
      <c r="W1435" s="13"/>
      <c r="AY1435" s="10"/>
      <c r="AZ1435" s="10"/>
    </row>
    <row r="1436" spans="1:52" ht="15" x14ac:dyDescent="0.25">
      <c r="A1436" s="11"/>
      <c r="O1436" s="13"/>
      <c r="P1436" s="13"/>
      <c r="Q1436" s="13"/>
      <c r="R1436" s="13"/>
      <c r="S1436" s="13"/>
      <c r="T1436" s="13"/>
      <c r="U1436" s="13"/>
      <c r="V1436" s="13"/>
      <c r="W1436" s="13"/>
      <c r="AY1436" s="10"/>
      <c r="AZ1436" s="10"/>
    </row>
    <row r="1437" spans="1:52" ht="15" x14ac:dyDescent="0.25">
      <c r="A1437" s="11"/>
      <c r="O1437" s="13"/>
      <c r="P1437" s="13"/>
      <c r="Q1437" s="13"/>
      <c r="R1437" s="13"/>
      <c r="S1437" s="13"/>
      <c r="T1437" s="13"/>
      <c r="U1437" s="13"/>
      <c r="V1437" s="13"/>
      <c r="W1437" s="13"/>
      <c r="AY1437" s="10"/>
      <c r="AZ1437" s="10"/>
    </row>
    <row r="1438" spans="1:52" ht="15" x14ac:dyDescent="0.25">
      <c r="A1438" s="11"/>
      <c r="O1438" s="13"/>
      <c r="P1438" s="13"/>
      <c r="Q1438" s="13"/>
      <c r="R1438" s="13"/>
      <c r="S1438" s="13"/>
      <c r="T1438" s="13"/>
      <c r="U1438" s="13"/>
      <c r="V1438" s="13"/>
      <c r="W1438" s="13"/>
      <c r="AY1438" s="10"/>
      <c r="AZ1438" s="10"/>
    </row>
    <row r="1439" spans="1:52" ht="15" x14ac:dyDescent="0.25">
      <c r="A1439" s="11"/>
      <c r="O1439" s="13"/>
      <c r="P1439" s="13"/>
      <c r="Q1439" s="13"/>
      <c r="R1439" s="13"/>
      <c r="S1439" s="13"/>
      <c r="T1439" s="13"/>
      <c r="U1439" s="13"/>
      <c r="V1439" s="13"/>
      <c r="W1439" s="13"/>
      <c r="AY1439" s="10"/>
      <c r="AZ1439" s="10"/>
    </row>
    <row r="1440" spans="1:52" ht="15" x14ac:dyDescent="0.25">
      <c r="A1440" s="11"/>
      <c r="O1440" s="13"/>
      <c r="P1440" s="13"/>
      <c r="Q1440" s="13"/>
      <c r="R1440" s="13"/>
      <c r="S1440" s="13"/>
      <c r="T1440" s="13"/>
      <c r="U1440" s="13"/>
      <c r="V1440" s="13"/>
      <c r="W1440" s="13"/>
      <c r="AY1440" s="10"/>
      <c r="AZ1440" s="10"/>
    </row>
    <row r="1441" spans="1:52" ht="15" x14ac:dyDescent="0.25">
      <c r="A1441" s="11"/>
      <c r="O1441" s="13"/>
      <c r="P1441" s="13"/>
      <c r="Q1441" s="13"/>
      <c r="R1441" s="13"/>
      <c r="S1441" s="13"/>
      <c r="T1441" s="13"/>
      <c r="U1441" s="13"/>
      <c r="V1441" s="13"/>
      <c r="W1441" s="13"/>
      <c r="AY1441" s="10"/>
      <c r="AZ1441" s="10"/>
    </row>
    <row r="1442" spans="1:52" ht="15" x14ac:dyDescent="0.25">
      <c r="A1442" s="11"/>
      <c r="O1442" s="13"/>
      <c r="P1442" s="13"/>
      <c r="Q1442" s="13"/>
      <c r="R1442" s="13"/>
      <c r="S1442" s="13"/>
      <c r="T1442" s="13"/>
      <c r="U1442" s="13"/>
      <c r="V1442" s="13"/>
      <c r="W1442" s="13"/>
      <c r="AY1442" s="10"/>
      <c r="AZ1442" s="10"/>
    </row>
    <row r="1443" spans="1:52" ht="15" x14ac:dyDescent="0.25">
      <c r="A1443" s="11"/>
      <c r="O1443" s="13"/>
      <c r="P1443" s="13"/>
      <c r="Q1443" s="13"/>
      <c r="R1443" s="13"/>
      <c r="S1443" s="13"/>
      <c r="T1443" s="13"/>
      <c r="U1443" s="13"/>
      <c r="V1443" s="13"/>
      <c r="W1443" s="13"/>
      <c r="AY1443" s="10"/>
      <c r="AZ1443" s="10"/>
    </row>
    <row r="1444" spans="1:52" ht="15" x14ac:dyDescent="0.25">
      <c r="A1444" s="11"/>
      <c r="O1444" s="13"/>
      <c r="P1444" s="13"/>
      <c r="Q1444" s="13"/>
      <c r="R1444" s="13"/>
      <c r="S1444" s="13"/>
      <c r="T1444" s="13"/>
      <c r="U1444" s="13"/>
      <c r="V1444" s="13"/>
      <c r="W1444" s="13"/>
      <c r="AY1444" s="10"/>
      <c r="AZ1444" s="10"/>
    </row>
    <row r="1445" spans="1:52" ht="15" x14ac:dyDescent="0.25">
      <c r="A1445" s="11"/>
      <c r="O1445" s="13"/>
      <c r="P1445" s="13"/>
      <c r="Q1445" s="13"/>
      <c r="R1445" s="13"/>
      <c r="S1445" s="13"/>
      <c r="T1445" s="13"/>
      <c r="U1445" s="13"/>
      <c r="V1445" s="13"/>
      <c r="W1445" s="13"/>
      <c r="AY1445" s="10"/>
      <c r="AZ1445" s="10"/>
    </row>
    <row r="1446" spans="1:52" ht="15" x14ac:dyDescent="0.25">
      <c r="A1446" s="11"/>
      <c r="O1446" s="13"/>
      <c r="P1446" s="13"/>
      <c r="Q1446" s="13"/>
      <c r="R1446" s="13"/>
      <c r="S1446" s="13"/>
      <c r="T1446" s="13"/>
      <c r="U1446" s="13"/>
      <c r="V1446" s="13"/>
      <c r="W1446" s="13"/>
      <c r="AY1446" s="10"/>
      <c r="AZ1446" s="10"/>
    </row>
    <row r="1447" spans="1:52" ht="15" x14ac:dyDescent="0.25">
      <c r="A1447" s="11"/>
      <c r="O1447" s="13"/>
      <c r="P1447" s="13"/>
      <c r="Q1447" s="13"/>
      <c r="R1447" s="13"/>
      <c r="S1447" s="13"/>
      <c r="T1447" s="13"/>
      <c r="U1447" s="13"/>
      <c r="V1447" s="13"/>
      <c r="W1447" s="13"/>
      <c r="AY1447" s="10"/>
      <c r="AZ1447" s="10"/>
    </row>
    <row r="1448" spans="1:52" ht="15" x14ac:dyDescent="0.25">
      <c r="A1448" s="11"/>
      <c r="O1448" s="13"/>
      <c r="P1448" s="13"/>
      <c r="Q1448" s="13"/>
      <c r="R1448" s="13"/>
      <c r="S1448" s="13"/>
      <c r="T1448" s="13"/>
      <c r="U1448" s="13"/>
      <c r="V1448" s="13"/>
      <c r="W1448" s="13"/>
      <c r="AY1448" s="10"/>
      <c r="AZ1448" s="10"/>
    </row>
    <row r="1449" spans="1:52" ht="15" x14ac:dyDescent="0.25">
      <c r="A1449" s="11"/>
      <c r="O1449" s="13"/>
      <c r="P1449" s="13"/>
      <c r="Q1449" s="13"/>
      <c r="R1449" s="13"/>
      <c r="S1449" s="13"/>
      <c r="T1449" s="13"/>
      <c r="U1449" s="13"/>
      <c r="V1449" s="13"/>
      <c r="W1449" s="13"/>
      <c r="AY1449" s="10"/>
      <c r="AZ1449" s="10"/>
    </row>
    <row r="1450" spans="1:52" ht="15" x14ac:dyDescent="0.25">
      <c r="A1450" s="11"/>
      <c r="O1450" s="13"/>
      <c r="P1450" s="13"/>
      <c r="Q1450" s="13"/>
      <c r="R1450" s="13"/>
      <c r="S1450" s="13"/>
      <c r="T1450" s="13"/>
      <c r="U1450" s="13"/>
      <c r="V1450" s="13"/>
      <c r="W1450" s="13"/>
      <c r="AY1450" s="10"/>
      <c r="AZ1450" s="10"/>
    </row>
    <row r="1451" spans="1:52" ht="15" x14ac:dyDescent="0.25">
      <c r="A1451" s="11"/>
      <c r="O1451" s="13"/>
      <c r="P1451" s="13"/>
      <c r="Q1451" s="13"/>
      <c r="R1451" s="13"/>
      <c r="S1451" s="13"/>
      <c r="T1451" s="13"/>
      <c r="U1451" s="13"/>
      <c r="V1451" s="13"/>
      <c r="W1451" s="13"/>
      <c r="AY1451" s="10"/>
      <c r="AZ1451" s="10"/>
    </row>
    <row r="1452" spans="1:52" ht="15" x14ac:dyDescent="0.25">
      <c r="A1452" s="11"/>
      <c r="O1452" s="13"/>
      <c r="P1452" s="13"/>
      <c r="Q1452" s="13"/>
      <c r="R1452" s="13"/>
      <c r="S1452" s="13"/>
      <c r="T1452" s="13"/>
      <c r="U1452" s="13"/>
      <c r="V1452" s="13"/>
      <c r="W1452" s="13"/>
      <c r="AY1452" s="10"/>
      <c r="AZ1452" s="10"/>
    </row>
    <row r="1453" spans="1:52" ht="15" x14ac:dyDescent="0.25">
      <c r="A1453" s="11"/>
      <c r="O1453" s="13"/>
      <c r="P1453" s="13"/>
      <c r="Q1453" s="13"/>
      <c r="R1453" s="13"/>
      <c r="S1453" s="13"/>
      <c r="T1453" s="13"/>
      <c r="U1453" s="13"/>
      <c r="V1453" s="13"/>
      <c r="W1453" s="13"/>
      <c r="AY1453" s="10"/>
      <c r="AZ1453" s="10"/>
    </row>
    <row r="1454" spans="1:52" ht="15" x14ac:dyDescent="0.25">
      <c r="A1454" s="11"/>
      <c r="O1454" s="13"/>
      <c r="P1454" s="13"/>
      <c r="Q1454" s="13"/>
      <c r="R1454" s="13"/>
      <c r="S1454" s="13"/>
      <c r="T1454" s="13"/>
      <c r="U1454" s="13"/>
      <c r="V1454" s="13"/>
      <c r="W1454" s="13"/>
      <c r="AY1454" s="10"/>
      <c r="AZ1454" s="10"/>
    </row>
    <row r="1455" spans="1:52" ht="15" x14ac:dyDescent="0.25">
      <c r="A1455" s="11"/>
      <c r="O1455" s="13"/>
      <c r="P1455" s="13"/>
      <c r="Q1455" s="13"/>
      <c r="R1455" s="13"/>
      <c r="S1455" s="13"/>
      <c r="T1455" s="13"/>
      <c r="U1455" s="13"/>
      <c r="V1455" s="13"/>
      <c r="W1455" s="13"/>
      <c r="AY1455" s="10"/>
      <c r="AZ1455" s="10"/>
    </row>
    <row r="1456" spans="1:52" ht="15" x14ac:dyDescent="0.25">
      <c r="A1456" s="11"/>
      <c r="O1456" s="13"/>
      <c r="P1456" s="13"/>
      <c r="Q1456" s="13"/>
      <c r="R1456" s="13"/>
      <c r="S1456" s="13"/>
      <c r="T1456" s="13"/>
      <c r="U1456" s="13"/>
      <c r="V1456" s="13"/>
      <c r="W1456" s="13"/>
      <c r="AY1456" s="10"/>
      <c r="AZ1456" s="10"/>
    </row>
    <row r="1457" spans="1:52" ht="15" x14ac:dyDescent="0.25">
      <c r="A1457" s="11"/>
      <c r="O1457" s="13"/>
      <c r="P1457" s="13"/>
      <c r="Q1457" s="13"/>
      <c r="R1457" s="13"/>
      <c r="S1457" s="13"/>
      <c r="T1457" s="13"/>
      <c r="U1457" s="13"/>
      <c r="V1457" s="13"/>
      <c r="W1457" s="13"/>
      <c r="AY1457" s="10"/>
      <c r="AZ1457" s="10"/>
    </row>
    <row r="1458" spans="1:52" ht="15" x14ac:dyDescent="0.25">
      <c r="A1458" s="11"/>
      <c r="O1458" s="13"/>
      <c r="P1458" s="13"/>
      <c r="Q1458" s="13"/>
      <c r="R1458" s="13"/>
      <c r="S1458" s="13"/>
      <c r="T1458" s="13"/>
      <c r="U1458" s="13"/>
      <c r="V1458" s="13"/>
      <c r="W1458" s="13"/>
      <c r="AY1458" s="10"/>
      <c r="AZ1458" s="10"/>
    </row>
    <row r="1459" spans="1:52" ht="15" x14ac:dyDescent="0.25">
      <c r="A1459" s="11"/>
      <c r="O1459" s="13"/>
      <c r="P1459" s="13"/>
      <c r="Q1459" s="13"/>
      <c r="R1459" s="13"/>
      <c r="S1459" s="13"/>
      <c r="T1459" s="13"/>
      <c r="U1459" s="13"/>
      <c r="V1459" s="13"/>
      <c r="W1459" s="13"/>
      <c r="AY1459" s="10"/>
      <c r="AZ1459" s="10"/>
    </row>
    <row r="1460" spans="1:52" ht="15" x14ac:dyDescent="0.25">
      <c r="A1460" s="11"/>
      <c r="O1460" s="13"/>
      <c r="P1460" s="13"/>
      <c r="Q1460" s="13"/>
      <c r="R1460" s="13"/>
      <c r="S1460" s="13"/>
      <c r="T1460" s="13"/>
      <c r="U1460" s="13"/>
      <c r="V1460" s="13"/>
      <c r="W1460" s="13"/>
      <c r="AY1460" s="10"/>
      <c r="AZ1460" s="10"/>
    </row>
    <row r="1461" spans="1:52" ht="15" x14ac:dyDescent="0.25">
      <c r="A1461" s="11"/>
      <c r="O1461" s="13"/>
      <c r="P1461" s="13"/>
      <c r="Q1461" s="13"/>
      <c r="R1461" s="13"/>
      <c r="S1461" s="13"/>
      <c r="T1461" s="13"/>
      <c r="U1461" s="13"/>
      <c r="V1461" s="13"/>
      <c r="W1461" s="13"/>
      <c r="AY1461" s="10"/>
      <c r="AZ1461" s="10"/>
    </row>
    <row r="1462" spans="1:52" ht="15" x14ac:dyDescent="0.25">
      <c r="A1462" s="11"/>
      <c r="O1462" s="13"/>
      <c r="P1462" s="13"/>
      <c r="Q1462" s="13"/>
      <c r="R1462" s="13"/>
      <c r="S1462" s="13"/>
      <c r="T1462" s="13"/>
      <c r="U1462" s="13"/>
      <c r="V1462" s="13"/>
      <c r="W1462" s="13"/>
      <c r="AY1462" s="10"/>
      <c r="AZ1462" s="10"/>
    </row>
    <row r="1463" spans="1:52" ht="15" x14ac:dyDescent="0.25">
      <c r="A1463" s="11"/>
      <c r="O1463" s="13"/>
      <c r="P1463" s="13"/>
      <c r="Q1463" s="13"/>
      <c r="R1463" s="13"/>
      <c r="S1463" s="13"/>
      <c r="T1463" s="13"/>
      <c r="U1463" s="13"/>
      <c r="V1463" s="13"/>
      <c r="W1463" s="13"/>
      <c r="AY1463" s="10"/>
      <c r="AZ1463" s="10"/>
    </row>
    <row r="1464" spans="1:52" ht="15" x14ac:dyDescent="0.25">
      <c r="A1464" s="11"/>
      <c r="O1464" s="13"/>
      <c r="P1464" s="13"/>
      <c r="Q1464" s="13"/>
      <c r="R1464" s="13"/>
      <c r="S1464" s="13"/>
      <c r="T1464" s="13"/>
      <c r="U1464" s="13"/>
      <c r="V1464" s="13"/>
      <c r="W1464" s="13"/>
      <c r="AY1464" s="10"/>
      <c r="AZ1464" s="10"/>
    </row>
    <row r="1465" spans="1:52" ht="15" x14ac:dyDescent="0.25">
      <c r="A1465" s="11"/>
      <c r="O1465" s="13"/>
      <c r="P1465" s="13"/>
      <c r="Q1465" s="13"/>
      <c r="R1465" s="13"/>
      <c r="S1465" s="13"/>
      <c r="T1465" s="13"/>
      <c r="U1465" s="13"/>
      <c r="V1465" s="13"/>
      <c r="W1465" s="13"/>
      <c r="AY1465" s="10"/>
      <c r="AZ1465" s="10"/>
    </row>
    <row r="1466" spans="1:52" ht="15" x14ac:dyDescent="0.25">
      <c r="A1466" s="11"/>
      <c r="O1466" s="13"/>
      <c r="P1466" s="13"/>
      <c r="Q1466" s="13"/>
      <c r="R1466" s="13"/>
      <c r="S1466" s="13"/>
      <c r="T1466" s="13"/>
      <c r="U1466" s="13"/>
      <c r="V1466" s="13"/>
      <c r="W1466" s="13"/>
      <c r="AY1466" s="10"/>
      <c r="AZ1466" s="10"/>
    </row>
    <row r="1467" spans="1:52" ht="15" x14ac:dyDescent="0.25">
      <c r="A1467" s="11"/>
      <c r="O1467" s="13"/>
      <c r="P1467" s="13"/>
      <c r="Q1467" s="13"/>
      <c r="R1467" s="13"/>
      <c r="S1467" s="13"/>
      <c r="T1467" s="13"/>
      <c r="U1467" s="13"/>
      <c r="V1467" s="13"/>
      <c r="W1467" s="13"/>
      <c r="AY1467" s="10"/>
      <c r="AZ1467" s="10"/>
    </row>
    <row r="1468" spans="1:52" ht="15" x14ac:dyDescent="0.25">
      <c r="A1468" s="11"/>
      <c r="O1468" s="13"/>
      <c r="P1468" s="13"/>
      <c r="Q1468" s="13"/>
      <c r="R1468" s="13"/>
      <c r="S1468" s="13"/>
      <c r="T1468" s="13"/>
      <c r="U1468" s="13"/>
      <c r="V1468" s="13"/>
      <c r="W1468" s="13"/>
      <c r="AY1468" s="10"/>
      <c r="AZ1468" s="10"/>
    </row>
    <row r="1469" spans="1:52" ht="15" x14ac:dyDescent="0.25">
      <c r="A1469" s="11"/>
      <c r="O1469" s="13"/>
      <c r="P1469" s="13"/>
      <c r="Q1469" s="13"/>
      <c r="R1469" s="13"/>
      <c r="S1469" s="13"/>
      <c r="T1469" s="13"/>
      <c r="U1469" s="13"/>
      <c r="V1469" s="13"/>
      <c r="W1469" s="13"/>
      <c r="AY1469" s="10"/>
      <c r="AZ1469" s="10"/>
    </row>
    <row r="1470" spans="1:52" ht="15" x14ac:dyDescent="0.25">
      <c r="A1470" s="11"/>
      <c r="O1470" s="13"/>
      <c r="P1470" s="13"/>
      <c r="Q1470" s="13"/>
      <c r="R1470" s="13"/>
      <c r="S1470" s="13"/>
      <c r="T1470" s="13"/>
      <c r="U1470" s="13"/>
      <c r="V1470" s="13"/>
      <c r="W1470" s="13"/>
      <c r="AY1470" s="10"/>
      <c r="AZ1470" s="10"/>
    </row>
    <row r="1471" spans="1:52" ht="15" x14ac:dyDescent="0.25">
      <c r="A1471" s="11"/>
      <c r="O1471" s="13"/>
      <c r="P1471" s="13"/>
      <c r="Q1471" s="13"/>
      <c r="R1471" s="13"/>
      <c r="S1471" s="13"/>
      <c r="T1471" s="13"/>
      <c r="U1471" s="13"/>
      <c r="V1471" s="13"/>
      <c r="W1471" s="13"/>
      <c r="AY1471" s="10"/>
      <c r="AZ1471" s="10"/>
    </row>
    <row r="1472" spans="1:52" ht="15" x14ac:dyDescent="0.25">
      <c r="A1472" s="11"/>
      <c r="O1472" s="13"/>
      <c r="P1472" s="13"/>
      <c r="Q1472" s="13"/>
      <c r="R1472" s="13"/>
      <c r="S1472" s="13"/>
      <c r="T1472" s="13"/>
      <c r="U1472" s="13"/>
      <c r="V1472" s="13"/>
      <c r="W1472" s="13"/>
      <c r="AY1472" s="10"/>
      <c r="AZ1472" s="10"/>
    </row>
    <row r="1473" spans="1:52" ht="15" x14ac:dyDescent="0.25">
      <c r="A1473" s="11"/>
      <c r="O1473" s="13"/>
      <c r="P1473" s="13"/>
      <c r="Q1473" s="13"/>
      <c r="R1473" s="13"/>
      <c r="S1473" s="13"/>
      <c r="T1473" s="13"/>
      <c r="U1473" s="13"/>
      <c r="V1473" s="13"/>
      <c r="W1473" s="13"/>
      <c r="AY1473" s="10"/>
      <c r="AZ1473" s="10"/>
    </row>
    <row r="1474" spans="1:52" ht="15" x14ac:dyDescent="0.25">
      <c r="A1474" s="11"/>
      <c r="O1474" s="13"/>
      <c r="P1474" s="13"/>
      <c r="Q1474" s="13"/>
      <c r="R1474" s="13"/>
      <c r="S1474" s="13"/>
      <c r="T1474" s="13"/>
      <c r="U1474" s="13"/>
      <c r="V1474" s="13"/>
      <c r="W1474" s="13"/>
      <c r="AY1474" s="10"/>
      <c r="AZ1474" s="10"/>
    </row>
    <row r="1475" spans="1:52" ht="15" x14ac:dyDescent="0.25">
      <c r="A1475" s="11"/>
      <c r="O1475" s="13"/>
      <c r="P1475" s="13"/>
      <c r="Q1475" s="13"/>
      <c r="R1475" s="13"/>
      <c r="S1475" s="13"/>
      <c r="T1475" s="13"/>
      <c r="U1475" s="13"/>
      <c r="V1475" s="13"/>
      <c r="W1475" s="13"/>
      <c r="AY1475" s="10"/>
      <c r="AZ1475" s="10"/>
    </row>
    <row r="1476" spans="1:52" ht="15" x14ac:dyDescent="0.25">
      <c r="A1476" s="11"/>
      <c r="O1476" s="13"/>
      <c r="P1476" s="13"/>
      <c r="Q1476" s="13"/>
      <c r="R1476" s="13"/>
      <c r="S1476" s="13"/>
      <c r="T1476" s="13"/>
      <c r="U1476" s="13"/>
      <c r="V1476" s="13"/>
      <c r="W1476" s="13"/>
      <c r="AY1476" s="10"/>
      <c r="AZ1476" s="10"/>
    </row>
    <row r="1477" spans="1:52" ht="15" x14ac:dyDescent="0.25">
      <c r="A1477" s="11"/>
      <c r="O1477" s="13"/>
      <c r="P1477" s="13"/>
      <c r="Q1477" s="13"/>
      <c r="R1477" s="13"/>
      <c r="S1477" s="13"/>
      <c r="T1477" s="13"/>
      <c r="U1477" s="13"/>
      <c r="V1477" s="13"/>
      <c r="W1477" s="13"/>
      <c r="AY1477" s="10"/>
      <c r="AZ1477" s="10"/>
    </row>
    <row r="1478" spans="1:52" ht="15" x14ac:dyDescent="0.25">
      <c r="A1478" s="11"/>
      <c r="O1478" s="13"/>
      <c r="P1478" s="13"/>
      <c r="Q1478" s="13"/>
      <c r="R1478" s="13"/>
      <c r="S1478" s="13"/>
      <c r="T1478" s="13"/>
      <c r="U1478" s="13"/>
      <c r="V1478" s="13"/>
      <c r="W1478" s="13"/>
      <c r="AY1478" s="10"/>
      <c r="AZ1478" s="10"/>
    </row>
    <row r="1479" spans="1:52" ht="15" x14ac:dyDescent="0.25">
      <c r="A1479" s="11"/>
      <c r="O1479" s="13"/>
      <c r="P1479" s="13"/>
      <c r="Q1479" s="13"/>
      <c r="R1479" s="13"/>
      <c r="S1479" s="13"/>
      <c r="T1479" s="13"/>
      <c r="U1479" s="13"/>
      <c r="V1479" s="13"/>
      <c r="W1479" s="13"/>
      <c r="AY1479" s="10"/>
      <c r="AZ1479" s="10"/>
    </row>
    <row r="1480" spans="1:52" ht="15" x14ac:dyDescent="0.25">
      <c r="A1480" s="11"/>
      <c r="O1480" s="13"/>
      <c r="P1480" s="13"/>
      <c r="Q1480" s="13"/>
      <c r="R1480" s="13"/>
      <c r="S1480" s="13"/>
      <c r="T1480" s="13"/>
      <c r="U1480" s="13"/>
      <c r="V1480" s="13"/>
      <c r="W1480" s="13"/>
      <c r="AY1480" s="10"/>
      <c r="AZ1480" s="10"/>
    </row>
    <row r="1481" spans="1:52" ht="15" x14ac:dyDescent="0.25">
      <c r="A1481" s="11"/>
      <c r="O1481" s="13"/>
      <c r="P1481" s="13"/>
      <c r="Q1481" s="13"/>
      <c r="R1481" s="13"/>
      <c r="S1481" s="13"/>
      <c r="T1481" s="13"/>
      <c r="U1481" s="13"/>
      <c r="V1481" s="13"/>
      <c r="W1481" s="13"/>
      <c r="AY1481" s="10"/>
      <c r="AZ1481" s="10"/>
    </row>
    <row r="1482" spans="1:52" ht="15" x14ac:dyDescent="0.25">
      <c r="A1482" s="11"/>
      <c r="O1482" s="13"/>
      <c r="P1482" s="13"/>
      <c r="Q1482" s="13"/>
      <c r="R1482" s="13"/>
      <c r="S1482" s="13"/>
      <c r="T1482" s="13"/>
      <c r="U1482" s="13"/>
      <c r="V1482" s="13"/>
      <c r="W1482" s="13"/>
      <c r="AY1482" s="10"/>
      <c r="AZ1482" s="10"/>
    </row>
    <row r="1483" spans="1:52" ht="15" x14ac:dyDescent="0.25">
      <c r="A1483" s="11"/>
      <c r="O1483" s="13"/>
      <c r="P1483" s="13"/>
      <c r="Q1483" s="13"/>
      <c r="R1483" s="13"/>
      <c r="S1483" s="13"/>
      <c r="T1483" s="13"/>
      <c r="U1483" s="13"/>
      <c r="V1483" s="13"/>
      <c r="W1483" s="13"/>
      <c r="AY1483" s="10"/>
      <c r="AZ1483" s="10"/>
    </row>
    <row r="1484" spans="1:52" ht="15" x14ac:dyDescent="0.25">
      <c r="A1484" s="11"/>
      <c r="O1484" s="13"/>
      <c r="P1484" s="13"/>
      <c r="Q1484" s="13"/>
      <c r="R1484" s="13"/>
      <c r="S1484" s="13"/>
      <c r="T1484" s="13"/>
      <c r="U1484" s="13"/>
      <c r="V1484" s="13"/>
      <c r="W1484" s="13"/>
      <c r="AY1484" s="10"/>
      <c r="AZ1484" s="10"/>
    </row>
    <row r="1485" spans="1:52" ht="15" x14ac:dyDescent="0.25">
      <c r="A1485" s="11"/>
      <c r="O1485" s="13"/>
      <c r="P1485" s="13"/>
      <c r="Q1485" s="13"/>
      <c r="R1485" s="13"/>
      <c r="S1485" s="13"/>
      <c r="T1485" s="13"/>
      <c r="U1485" s="13"/>
      <c r="V1485" s="13"/>
      <c r="W1485" s="13"/>
      <c r="AY1485" s="10"/>
      <c r="AZ1485" s="10"/>
    </row>
    <row r="1486" spans="1:52" ht="15" x14ac:dyDescent="0.25">
      <c r="A1486" s="11"/>
      <c r="O1486" s="13"/>
      <c r="P1486" s="13"/>
      <c r="Q1486" s="13"/>
      <c r="R1486" s="13"/>
      <c r="S1486" s="13"/>
      <c r="T1486" s="13"/>
      <c r="U1486" s="13"/>
      <c r="V1486" s="13"/>
      <c r="W1486" s="13"/>
      <c r="AY1486" s="10"/>
      <c r="AZ1486" s="10"/>
    </row>
    <row r="1487" spans="1:52" ht="15" x14ac:dyDescent="0.25">
      <c r="A1487" s="11"/>
      <c r="O1487" s="13"/>
      <c r="P1487" s="13"/>
      <c r="Q1487" s="13"/>
      <c r="R1487" s="13"/>
      <c r="S1487" s="13"/>
      <c r="T1487" s="13"/>
      <c r="U1487" s="13"/>
      <c r="V1487" s="13"/>
      <c r="W1487" s="13"/>
      <c r="AY1487" s="10"/>
      <c r="AZ1487" s="10"/>
    </row>
    <row r="1488" spans="1:52" ht="15" x14ac:dyDescent="0.25">
      <c r="A1488" s="11"/>
      <c r="O1488" s="13"/>
      <c r="P1488" s="13"/>
      <c r="Q1488" s="13"/>
      <c r="R1488" s="13"/>
      <c r="S1488" s="13"/>
      <c r="T1488" s="13"/>
      <c r="U1488" s="13"/>
      <c r="V1488" s="13"/>
      <c r="W1488" s="13"/>
      <c r="AY1488" s="10"/>
      <c r="AZ1488" s="10"/>
    </row>
    <row r="1489" spans="1:52" ht="15" x14ac:dyDescent="0.25">
      <c r="A1489" s="11"/>
      <c r="O1489" s="13"/>
      <c r="P1489" s="13"/>
      <c r="Q1489" s="13"/>
      <c r="R1489" s="13"/>
      <c r="S1489" s="13"/>
      <c r="T1489" s="13"/>
      <c r="U1489" s="13"/>
      <c r="V1489" s="13"/>
      <c r="W1489" s="13"/>
      <c r="AY1489" s="10"/>
      <c r="AZ1489" s="10"/>
    </row>
    <row r="1490" spans="1:52" ht="15" x14ac:dyDescent="0.25">
      <c r="A1490" s="11"/>
      <c r="O1490" s="13"/>
      <c r="P1490" s="13"/>
      <c r="Q1490" s="13"/>
      <c r="R1490" s="13"/>
      <c r="S1490" s="13"/>
      <c r="T1490" s="13"/>
      <c r="U1490" s="13"/>
      <c r="V1490" s="13"/>
      <c r="W1490" s="13"/>
      <c r="AY1490" s="10"/>
      <c r="AZ1490" s="10"/>
    </row>
    <row r="1491" spans="1:52" ht="15" x14ac:dyDescent="0.25">
      <c r="A1491" s="11"/>
      <c r="O1491" s="13"/>
      <c r="P1491" s="13"/>
      <c r="Q1491" s="13"/>
      <c r="R1491" s="13"/>
      <c r="S1491" s="13"/>
      <c r="T1491" s="13"/>
      <c r="U1491" s="13"/>
      <c r="V1491" s="13"/>
      <c r="W1491" s="13"/>
      <c r="AY1491" s="10"/>
      <c r="AZ1491" s="10"/>
    </row>
    <row r="1492" spans="1:52" ht="15" x14ac:dyDescent="0.25">
      <c r="A1492" s="11"/>
      <c r="O1492" s="13"/>
      <c r="P1492" s="13"/>
      <c r="Q1492" s="13"/>
      <c r="R1492" s="13"/>
      <c r="S1492" s="13"/>
      <c r="T1492" s="13"/>
      <c r="U1492" s="13"/>
      <c r="V1492" s="13"/>
      <c r="W1492" s="13"/>
      <c r="AY1492" s="10"/>
      <c r="AZ1492" s="10"/>
    </row>
    <row r="1493" spans="1:52" ht="15" x14ac:dyDescent="0.25">
      <c r="A1493" s="11"/>
      <c r="O1493" s="13"/>
      <c r="P1493" s="13"/>
      <c r="Q1493" s="13"/>
      <c r="R1493" s="13"/>
      <c r="S1493" s="13"/>
      <c r="T1493" s="13"/>
      <c r="U1493" s="13"/>
      <c r="V1493" s="13"/>
      <c r="W1493" s="13"/>
      <c r="AY1493" s="10"/>
      <c r="AZ1493" s="10"/>
    </row>
    <row r="1494" spans="1:52" ht="15" x14ac:dyDescent="0.25">
      <c r="A1494" s="11"/>
      <c r="O1494" s="13"/>
      <c r="P1494" s="13"/>
      <c r="Q1494" s="13"/>
      <c r="R1494" s="13"/>
      <c r="S1494" s="13"/>
      <c r="T1494" s="13"/>
      <c r="U1494" s="13"/>
      <c r="V1494" s="13"/>
      <c r="W1494" s="13"/>
      <c r="AY1494" s="10"/>
      <c r="AZ1494" s="10"/>
    </row>
    <row r="1495" spans="1:52" ht="15" x14ac:dyDescent="0.25">
      <c r="A1495" s="11"/>
      <c r="O1495" s="13"/>
      <c r="P1495" s="13"/>
      <c r="Q1495" s="13"/>
      <c r="R1495" s="13"/>
      <c r="S1495" s="13"/>
      <c r="T1495" s="13"/>
      <c r="U1495" s="13"/>
      <c r="V1495" s="13"/>
      <c r="W1495" s="13"/>
      <c r="AY1495" s="10"/>
      <c r="AZ1495" s="10"/>
    </row>
    <row r="1496" spans="1:52" ht="15" x14ac:dyDescent="0.25">
      <c r="A1496" s="11"/>
      <c r="O1496" s="13"/>
      <c r="P1496" s="13"/>
      <c r="Q1496" s="13"/>
      <c r="R1496" s="13"/>
      <c r="S1496" s="13"/>
      <c r="T1496" s="13"/>
      <c r="U1496" s="13"/>
      <c r="V1496" s="13"/>
      <c r="W1496" s="13"/>
      <c r="AY1496" s="10"/>
      <c r="AZ1496" s="10"/>
    </row>
    <row r="1497" spans="1:52" ht="15" x14ac:dyDescent="0.25">
      <c r="A1497" s="11"/>
      <c r="O1497" s="13"/>
      <c r="P1497" s="13"/>
      <c r="Q1497" s="13"/>
      <c r="R1497" s="13"/>
      <c r="S1497" s="13"/>
      <c r="T1497" s="13"/>
      <c r="U1497" s="13"/>
      <c r="V1497" s="13"/>
      <c r="W1497" s="13"/>
      <c r="AY1497" s="10"/>
      <c r="AZ1497" s="10"/>
    </row>
    <row r="1498" spans="1:52" ht="15" x14ac:dyDescent="0.25">
      <c r="A1498" s="11"/>
      <c r="O1498" s="13"/>
      <c r="P1498" s="13"/>
      <c r="Q1498" s="13"/>
      <c r="R1498" s="13"/>
      <c r="S1498" s="13"/>
      <c r="T1498" s="13"/>
      <c r="U1498" s="13"/>
      <c r="V1498" s="13"/>
      <c r="W1498" s="13"/>
      <c r="AY1498" s="10"/>
      <c r="AZ1498" s="10"/>
    </row>
    <row r="1499" spans="1:52" ht="15" x14ac:dyDescent="0.25">
      <c r="A1499" s="11"/>
      <c r="O1499" s="13"/>
      <c r="P1499" s="13"/>
      <c r="Q1499" s="13"/>
      <c r="R1499" s="13"/>
      <c r="S1499" s="13"/>
      <c r="T1499" s="13"/>
      <c r="U1499" s="13"/>
      <c r="V1499" s="13"/>
      <c r="W1499" s="13"/>
      <c r="AY1499" s="10"/>
      <c r="AZ1499" s="10"/>
    </row>
    <row r="1500" spans="1:52" ht="15" x14ac:dyDescent="0.25">
      <c r="A1500" s="11"/>
      <c r="O1500" s="13"/>
      <c r="P1500" s="13"/>
      <c r="Q1500" s="13"/>
      <c r="R1500" s="13"/>
      <c r="S1500" s="13"/>
      <c r="T1500" s="13"/>
      <c r="U1500" s="13"/>
      <c r="V1500" s="13"/>
      <c r="W1500" s="13"/>
      <c r="AY1500" s="10"/>
      <c r="AZ1500" s="10"/>
    </row>
    <row r="1501" spans="1:52" ht="15" x14ac:dyDescent="0.25">
      <c r="A1501" s="11"/>
      <c r="O1501" s="13"/>
      <c r="P1501" s="13"/>
      <c r="Q1501" s="13"/>
      <c r="R1501" s="13"/>
      <c r="S1501" s="13"/>
      <c r="T1501" s="13"/>
      <c r="U1501" s="13"/>
      <c r="V1501" s="13"/>
      <c r="W1501" s="13"/>
      <c r="AY1501" s="10"/>
      <c r="AZ1501" s="10"/>
    </row>
    <row r="1502" spans="1:52" ht="15" x14ac:dyDescent="0.25">
      <c r="A1502" s="11"/>
      <c r="O1502" s="13"/>
      <c r="P1502" s="13"/>
      <c r="Q1502" s="13"/>
      <c r="R1502" s="13"/>
      <c r="S1502" s="13"/>
      <c r="T1502" s="13"/>
      <c r="U1502" s="13"/>
      <c r="V1502" s="13"/>
      <c r="W1502" s="13"/>
      <c r="AY1502" s="10"/>
      <c r="AZ1502" s="10"/>
    </row>
    <row r="1503" spans="1:52" ht="15" x14ac:dyDescent="0.25">
      <c r="A1503" s="11"/>
      <c r="O1503" s="13"/>
      <c r="P1503" s="13"/>
      <c r="Q1503" s="13"/>
      <c r="R1503" s="13"/>
      <c r="S1503" s="13"/>
      <c r="T1503" s="13"/>
      <c r="U1503" s="13"/>
      <c r="V1503" s="13"/>
      <c r="W1503" s="13"/>
      <c r="AY1503" s="10"/>
      <c r="AZ1503" s="10"/>
    </row>
    <row r="1504" spans="1:52" ht="15" x14ac:dyDescent="0.25">
      <c r="A1504" s="11"/>
      <c r="O1504" s="13"/>
      <c r="P1504" s="13"/>
      <c r="Q1504" s="13"/>
      <c r="R1504" s="13"/>
      <c r="S1504" s="13"/>
      <c r="T1504" s="13"/>
      <c r="U1504" s="13"/>
      <c r="V1504" s="13"/>
      <c r="W1504" s="13"/>
      <c r="AY1504" s="10"/>
      <c r="AZ1504" s="10"/>
    </row>
    <row r="1505" spans="1:52" ht="15" x14ac:dyDescent="0.25">
      <c r="A1505" s="11"/>
      <c r="O1505" s="13"/>
      <c r="P1505" s="13"/>
      <c r="Q1505" s="13"/>
      <c r="R1505" s="13"/>
      <c r="S1505" s="13"/>
      <c r="T1505" s="13"/>
      <c r="U1505" s="13"/>
      <c r="V1505" s="13"/>
      <c r="W1505" s="13"/>
      <c r="AY1505" s="10"/>
      <c r="AZ1505" s="10"/>
    </row>
    <row r="1506" spans="1:52" ht="15" x14ac:dyDescent="0.25">
      <c r="A1506" s="11"/>
      <c r="O1506" s="13"/>
      <c r="P1506" s="13"/>
      <c r="Q1506" s="13"/>
      <c r="R1506" s="13"/>
      <c r="S1506" s="13"/>
      <c r="T1506" s="13"/>
      <c r="U1506" s="13"/>
      <c r="V1506" s="13"/>
      <c r="W1506" s="13"/>
      <c r="AY1506" s="10"/>
      <c r="AZ1506" s="10"/>
    </row>
    <row r="1507" spans="1:52" ht="15" x14ac:dyDescent="0.25">
      <c r="A1507" s="11"/>
      <c r="O1507" s="13"/>
      <c r="P1507" s="13"/>
      <c r="Q1507" s="13"/>
      <c r="R1507" s="13"/>
      <c r="S1507" s="13"/>
      <c r="T1507" s="13"/>
      <c r="U1507" s="13"/>
      <c r="V1507" s="13"/>
      <c r="W1507" s="13"/>
      <c r="AY1507" s="10"/>
      <c r="AZ1507" s="10"/>
    </row>
    <row r="1508" spans="1:52" ht="15" x14ac:dyDescent="0.25">
      <c r="A1508" s="11"/>
      <c r="O1508" s="13"/>
      <c r="P1508" s="13"/>
      <c r="Q1508" s="13"/>
      <c r="R1508" s="13"/>
      <c r="S1508" s="13"/>
      <c r="T1508" s="13"/>
      <c r="U1508" s="13"/>
      <c r="V1508" s="13"/>
      <c r="W1508" s="13"/>
      <c r="AY1508" s="10"/>
      <c r="AZ1508" s="10"/>
    </row>
    <row r="1509" spans="1:52" ht="15" x14ac:dyDescent="0.25">
      <c r="A1509" s="11"/>
      <c r="O1509" s="13"/>
      <c r="P1509" s="13"/>
      <c r="Q1509" s="13"/>
      <c r="R1509" s="13"/>
      <c r="S1509" s="13"/>
      <c r="T1509" s="13"/>
      <c r="U1509" s="13"/>
      <c r="V1509" s="13"/>
      <c r="W1509" s="13"/>
      <c r="AY1509" s="10"/>
      <c r="AZ1509" s="10"/>
    </row>
    <row r="1510" spans="1:52" ht="15" x14ac:dyDescent="0.25">
      <c r="A1510" s="11"/>
      <c r="O1510" s="13"/>
      <c r="P1510" s="13"/>
      <c r="Q1510" s="13"/>
      <c r="R1510" s="13"/>
      <c r="S1510" s="13"/>
      <c r="T1510" s="13"/>
      <c r="U1510" s="13"/>
      <c r="V1510" s="13"/>
      <c r="W1510" s="13"/>
      <c r="AY1510" s="10"/>
      <c r="AZ1510" s="10"/>
    </row>
    <row r="1511" spans="1:52" ht="15" x14ac:dyDescent="0.25">
      <c r="A1511" s="11"/>
      <c r="O1511" s="13"/>
      <c r="P1511" s="13"/>
      <c r="Q1511" s="13"/>
      <c r="R1511" s="13"/>
      <c r="S1511" s="13"/>
      <c r="T1511" s="13"/>
      <c r="U1511" s="13"/>
      <c r="V1511" s="13"/>
      <c r="W1511" s="13"/>
      <c r="AY1511" s="10"/>
      <c r="AZ1511" s="10"/>
    </row>
    <row r="1512" spans="1:52" ht="15" x14ac:dyDescent="0.25">
      <c r="A1512" s="11"/>
      <c r="O1512" s="13"/>
      <c r="P1512" s="13"/>
      <c r="Q1512" s="13"/>
      <c r="R1512" s="13"/>
      <c r="S1512" s="13"/>
      <c r="T1512" s="13"/>
      <c r="U1512" s="13"/>
      <c r="V1512" s="13"/>
      <c r="W1512" s="13"/>
      <c r="AY1512" s="10"/>
      <c r="AZ1512" s="10"/>
    </row>
    <row r="1513" spans="1:52" ht="15" x14ac:dyDescent="0.25">
      <c r="A1513" s="11"/>
      <c r="O1513" s="13"/>
      <c r="P1513" s="13"/>
      <c r="Q1513" s="13"/>
      <c r="R1513" s="13"/>
      <c r="S1513" s="13"/>
      <c r="T1513" s="13"/>
      <c r="U1513" s="13"/>
      <c r="V1513" s="13"/>
      <c r="W1513" s="13"/>
      <c r="AY1513" s="10"/>
      <c r="AZ1513" s="10"/>
    </row>
    <row r="1514" spans="1:52" ht="15" x14ac:dyDescent="0.25">
      <c r="A1514" s="11"/>
      <c r="O1514" s="13"/>
      <c r="P1514" s="13"/>
      <c r="Q1514" s="13"/>
      <c r="R1514" s="13"/>
      <c r="S1514" s="13"/>
      <c r="T1514" s="13"/>
      <c r="U1514" s="13"/>
      <c r="V1514" s="13"/>
      <c r="W1514" s="13"/>
      <c r="AY1514" s="10"/>
      <c r="AZ1514" s="10"/>
    </row>
    <row r="1515" spans="1:52" ht="15" x14ac:dyDescent="0.25">
      <c r="A1515" s="11"/>
      <c r="O1515" s="13"/>
      <c r="P1515" s="13"/>
      <c r="Q1515" s="13"/>
      <c r="R1515" s="13"/>
      <c r="S1515" s="13"/>
      <c r="T1515" s="13"/>
      <c r="U1515" s="13"/>
      <c r="V1515" s="13"/>
      <c r="W1515" s="13"/>
      <c r="AY1515" s="10"/>
      <c r="AZ1515" s="10"/>
    </row>
    <row r="1516" spans="1:52" ht="15" x14ac:dyDescent="0.25">
      <c r="A1516" s="11"/>
      <c r="O1516" s="13"/>
      <c r="P1516" s="13"/>
      <c r="Q1516" s="13"/>
      <c r="R1516" s="13"/>
      <c r="S1516" s="13"/>
      <c r="T1516" s="13"/>
      <c r="U1516" s="13"/>
      <c r="V1516" s="13"/>
      <c r="W1516" s="13"/>
      <c r="AY1516" s="10"/>
      <c r="AZ1516" s="10"/>
    </row>
    <row r="1517" spans="1:52" ht="15" x14ac:dyDescent="0.25">
      <c r="A1517" s="11"/>
      <c r="O1517" s="13"/>
      <c r="P1517" s="13"/>
      <c r="Q1517" s="13"/>
      <c r="R1517" s="13"/>
      <c r="S1517" s="13"/>
      <c r="T1517" s="13"/>
      <c r="U1517" s="13"/>
      <c r="V1517" s="13"/>
      <c r="W1517" s="13"/>
      <c r="AY1517" s="10"/>
      <c r="AZ1517" s="10"/>
    </row>
    <row r="1518" spans="1:52" ht="15" x14ac:dyDescent="0.25">
      <c r="A1518" s="11"/>
      <c r="O1518" s="13"/>
      <c r="P1518" s="13"/>
      <c r="Q1518" s="13"/>
      <c r="R1518" s="13"/>
      <c r="S1518" s="13"/>
      <c r="T1518" s="13"/>
      <c r="U1518" s="13"/>
      <c r="V1518" s="13"/>
      <c r="W1518" s="13"/>
      <c r="AY1518" s="10"/>
      <c r="AZ1518" s="10"/>
    </row>
    <row r="1519" spans="1:52" ht="15" x14ac:dyDescent="0.25">
      <c r="A1519" s="11"/>
      <c r="O1519" s="13"/>
      <c r="P1519" s="13"/>
      <c r="Q1519" s="13"/>
      <c r="R1519" s="13"/>
      <c r="S1519" s="13"/>
      <c r="T1519" s="13"/>
      <c r="U1519" s="13"/>
      <c r="V1519" s="13"/>
      <c r="W1519" s="13"/>
      <c r="AY1519" s="10"/>
      <c r="AZ1519" s="10"/>
    </row>
    <row r="1520" spans="1:52" ht="15" x14ac:dyDescent="0.25">
      <c r="A1520" s="11"/>
      <c r="O1520" s="13"/>
      <c r="P1520" s="13"/>
      <c r="Q1520" s="13"/>
      <c r="R1520" s="13"/>
      <c r="S1520" s="13"/>
      <c r="T1520" s="13"/>
      <c r="U1520" s="13"/>
      <c r="V1520" s="13"/>
      <c r="W1520" s="13"/>
      <c r="AY1520" s="10"/>
      <c r="AZ1520" s="10"/>
    </row>
    <row r="1521" spans="1:52" ht="15" x14ac:dyDescent="0.25">
      <c r="A1521" s="11"/>
      <c r="O1521" s="13"/>
      <c r="P1521" s="13"/>
      <c r="Q1521" s="13"/>
      <c r="R1521" s="13"/>
      <c r="S1521" s="13"/>
      <c r="T1521" s="13"/>
      <c r="U1521" s="13"/>
      <c r="V1521" s="13"/>
      <c r="W1521" s="13"/>
      <c r="AY1521" s="10"/>
      <c r="AZ1521" s="10"/>
    </row>
    <row r="1522" spans="1:52" ht="15" x14ac:dyDescent="0.25">
      <c r="A1522" s="11"/>
      <c r="O1522" s="13"/>
      <c r="P1522" s="13"/>
      <c r="Q1522" s="13"/>
      <c r="R1522" s="13"/>
      <c r="S1522" s="13"/>
      <c r="T1522" s="13"/>
      <c r="U1522" s="13"/>
      <c r="V1522" s="13"/>
      <c r="W1522" s="13"/>
      <c r="AY1522" s="10"/>
      <c r="AZ1522" s="10"/>
    </row>
    <row r="1523" spans="1:52" ht="15" x14ac:dyDescent="0.25">
      <c r="A1523" s="11"/>
      <c r="O1523" s="13"/>
      <c r="P1523" s="13"/>
      <c r="Q1523" s="13"/>
      <c r="R1523" s="13"/>
      <c r="S1523" s="13"/>
      <c r="T1523" s="13"/>
      <c r="U1523" s="13"/>
      <c r="V1523" s="13"/>
      <c r="W1523" s="13"/>
      <c r="AY1523" s="10"/>
      <c r="AZ1523" s="10"/>
    </row>
    <row r="1524" spans="1:52" ht="15" x14ac:dyDescent="0.25">
      <c r="A1524" s="11"/>
      <c r="O1524" s="13"/>
      <c r="P1524" s="13"/>
      <c r="Q1524" s="13"/>
      <c r="R1524" s="13"/>
      <c r="S1524" s="13"/>
      <c r="T1524" s="13"/>
      <c r="U1524" s="13"/>
      <c r="V1524" s="13"/>
      <c r="W1524" s="13"/>
      <c r="AY1524" s="10"/>
      <c r="AZ1524" s="10"/>
    </row>
    <row r="1525" spans="1:52" ht="15" x14ac:dyDescent="0.25">
      <c r="A1525" s="11"/>
      <c r="O1525" s="13"/>
      <c r="P1525" s="13"/>
      <c r="Q1525" s="13"/>
      <c r="R1525" s="13"/>
      <c r="S1525" s="13"/>
      <c r="T1525" s="13"/>
      <c r="U1525" s="13"/>
      <c r="V1525" s="13"/>
      <c r="W1525" s="13"/>
      <c r="AY1525" s="10"/>
      <c r="AZ1525" s="10"/>
    </row>
    <row r="1526" spans="1:52" ht="15" x14ac:dyDescent="0.25">
      <c r="A1526" s="11"/>
      <c r="O1526" s="13"/>
      <c r="P1526" s="13"/>
      <c r="Q1526" s="13"/>
      <c r="R1526" s="13"/>
      <c r="S1526" s="13"/>
      <c r="T1526" s="13"/>
      <c r="U1526" s="13"/>
      <c r="V1526" s="13"/>
      <c r="W1526" s="13"/>
      <c r="AY1526" s="10"/>
      <c r="AZ1526" s="10"/>
    </row>
    <row r="1527" spans="1:52" ht="15" x14ac:dyDescent="0.25">
      <c r="A1527" s="11"/>
      <c r="O1527" s="13"/>
      <c r="P1527" s="13"/>
      <c r="Q1527" s="13"/>
      <c r="R1527" s="13"/>
      <c r="S1527" s="13"/>
      <c r="T1527" s="13"/>
      <c r="U1527" s="13"/>
      <c r="V1527" s="13"/>
      <c r="W1527" s="13"/>
      <c r="AY1527" s="10"/>
      <c r="AZ1527" s="10"/>
    </row>
    <row r="1528" spans="1:52" ht="15" x14ac:dyDescent="0.25">
      <c r="A1528" s="11"/>
      <c r="O1528" s="13"/>
      <c r="P1528" s="13"/>
      <c r="Q1528" s="13"/>
      <c r="R1528" s="13"/>
      <c r="S1528" s="13"/>
      <c r="T1528" s="13"/>
      <c r="U1528" s="13"/>
      <c r="V1528" s="13"/>
      <c r="W1528" s="13"/>
      <c r="AY1528" s="10"/>
      <c r="AZ1528" s="10"/>
    </row>
    <row r="1529" spans="1:52" ht="15" x14ac:dyDescent="0.25">
      <c r="A1529" s="11"/>
      <c r="O1529" s="13"/>
      <c r="P1529" s="13"/>
      <c r="Q1529" s="13"/>
      <c r="R1529" s="13"/>
      <c r="S1529" s="13"/>
      <c r="T1529" s="13"/>
      <c r="U1529" s="13"/>
      <c r="V1529" s="13"/>
      <c r="W1529" s="13"/>
      <c r="AY1529" s="10"/>
      <c r="AZ1529" s="10"/>
    </row>
    <row r="1530" spans="1:52" ht="15" x14ac:dyDescent="0.25">
      <c r="A1530" s="11"/>
      <c r="O1530" s="13"/>
      <c r="P1530" s="13"/>
      <c r="Q1530" s="13"/>
      <c r="R1530" s="13"/>
      <c r="S1530" s="13"/>
      <c r="T1530" s="13"/>
      <c r="U1530" s="13"/>
      <c r="V1530" s="13"/>
      <c r="W1530" s="13"/>
      <c r="AY1530" s="10"/>
      <c r="AZ1530" s="10"/>
    </row>
    <row r="1531" spans="1:52" ht="15" x14ac:dyDescent="0.25">
      <c r="A1531" s="11"/>
      <c r="O1531" s="13"/>
      <c r="P1531" s="13"/>
      <c r="Q1531" s="13"/>
      <c r="R1531" s="13"/>
      <c r="S1531" s="13"/>
      <c r="T1531" s="13"/>
      <c r="U1531" s="13"/>
      <c r="V1531" s="13"/>
      <c r="W1531" s="13"/>
      <c r="AY1531" s="10"/>
      <c r="AZ1531" s="10"/>
    </row>
    <row r="1532" spans="1:52" ht="15" x14ac:dyDescent="0.25">
      <c r="A1532" s="11"/>
      <c r="O1532" s="13"/>
      <c r="P1532" s="13"/>
      <c r="Q1532" s="13"/>
      <c r="R1532" s="13"/>
      <c r="S1532" s="13"/>
      <c r="T1532" s="13"/>
      <c r="U1532" s="13"/>
      <c r="V1532" s="13"/>
      <c r="W1532" s="13"/>
      <c r="AY1532" s="10"/>
      <c r="AZ1532" s="10"/>
    </row>
    <row r="1533" spans="1:52" ht="15" x14ac:dyDescent="0.25">
      <c r="A1533" s="11"/>
      <c r="O1533" s="13"/>
      <c r="P1533" s="13"/>
      <c r="Q1533" s="13"/>
      <c r="R1533" s="13"/>
      <c r="S1533" s="13"/>
      <c r="T1533" s="13"/>
      <c r="U1533" s="13"/>
      <c r="V1533" s="13"/>
      <c r="W1533" s="13"/>
      <c r="AY1533" s="10"/>
      <c r="AZ1533" s="10"/>
    </row>
    <row r="1534" spans="1:52" ht="15" x14ac:dyDescent="0.25">
      <c r="A1534" s="11"/>
      <c r="O1534" s="13"/>
      <c r="P1534" s="13"/>
      <c r="Q1534" s="13"/>
      <c r="R1534" s="13"/>
      <c r="S1534" s="13"/>
      <c r="T1534" s="13"/>
      <c r="U1534" s="13"/>
      <c r="V1534" s="13"/>
      <c r="W1534" s="13"/>
      <c r="AY1534" s="10"/>
      <c r="AZ1534" s="10"/>
    </row>
    <row r="1535" spans="1:52" ht="15" x14ac:dyDescent="0.25">
      <c r="A1535" s="11"/>
      <c r="O1535" s="13"/>
      <c r="P1535" s="13"/>
      <c r="Q1535" s="13"/>
      <c r="R1535" s="13"/>
      <c r="S1535" s="13"/>
      <c r="T1535" s="13"/>
      <c r="U1535" s="13"/>
      <c r="V1535" s="13"/>
      <c r="W1535" s="13"/>
      <c r="AY1535" s="10"/>
      <c r="AZ1535" s="10"/>
    </row>
    <row r="1536" spans="1:52" ht="15" x14ac:dyDescent="0.25">
      <c r="A1536" s="11"/>
      <c r="O1536" s="13"/>
      <c r="P1536" s="13"/>
      <c r="Q1536" s="13"/>
      <c r="R1536" s="13"/>
      <c r="S1536" s="13"/>
      <c r="T1536" s="13"/>
      <c r="U1536" s="13"/>
      <c r="V1536" s="13"/>
      <c r="W1536" s="13"/>
      <c r="AY1536" s="10"/>
      <c r="AZ1536" s="10"/>
    </row>
    <row r="1537" spans="1:52" ht="15" x14ac:dyDescent="0.25">
      <c r="A1537" s="11"/>
      <c r="O1537" s="13"/>
      <c r="P1537" s="13"/>
      <c r="Q1537" s="13"/>
      <c r="R1537" s="13"/>
      <c r="S1537" s="13"/>
      <c r="T1537" s="13"/>
      <c r="U1537" s="13"/>
      <c r="V1537" s="13"/>
      <c r="W1537" s="13"/>
      <c r="AY1537" s="10"/>
      <c r="AZ1537" s="10"/>
    </row>
    <row r="1538" spans="1:52" ht="15" x14ac:dyDescent="0.25">
      <c r="A1538" s="11"/>
      <c r="O1538" s="13"/>
      <c r="P1538" s="13"/>
      <c r="Q1538" s="13"/>
      <c r="R1538" s="13"/>
      <c r="S1538" s="13"/>
      <c r="T1538" s="13"/>
      <c r="U1538" s="13"/>
      <c r="V1538" s="13"/>
      <c r="W1538" s="13"/>
      <c r="AY1538" s="10"/>
      <c r="AZ1538" s="10"/>
    </row>
    <row r="1539" spans="1:52" ht="15" x14ac:dyDescent="0.25">
      <c r="A1539" s="11"/>
      <c r="O1539" s="13"/>
      <c r="P1539" s="13"/>
      <c r="Q1539" s="13"/>
      <c r="R1539" s="13"/>
      <c r="S1539" s="13"/>
      <c r="T1539" s="13"/>
      <c r="U1539" s="13"/>
      <c r="V1539" s="13"/>
      <c r="W1539" s="13"/>
      <c r="AY1539" s="10"/>
      <c r="AZ1539" s="10"/>
    </row>
    <row r="1540" spans="1:52" ht="15" x14ac:dyDescent="0.25">
      <c r="A1540" s="11"/>
      <c r="O1540" s="13"/>
      <c r="P1540" s="13"/>
      <c r="Q1540" s="13"/>
      <c r="R1540" s="13"/>
      <c r="S1540" s="13"/>
      <c r="T1540" s="13"/>
      <c r="U1540" s="13"/>
      <c r="V1540" s="13"/>
      <c r="W1540" s="13"/>
      <c r="AY1540" s="10"/>
      <c r="AZ1540" s="10"/>
    </row>
    <row r="1541" spans="1:52" ht="15" x14ac:dyDescent="0.25">
      <c r="A1541" s="11"/>
      <c r="O1541" s="13"/>
      <c r="P1541" s="13"/>
      <c r="Q1541" s="13"/>
      <c r="R1541" s="13"/>
      <c r="S1541" s="13"/>
      <c r="T1541" s="13"/>
      <c r="U1541" s="13"/>
      <c r="V1541" s="13"/>
      <c r="W1541" s="13"/>
      <c r="AY1541" s="10"/>
      <c r="AZ1541" s="10"/>
    </row>
    <row r="1542" spans="1:52" ht="15" x14ac:dyDescent="0.25">
      <c r="A1542" s="11"/>
      <c r="O1542" s="13"/>
      <c r="P1542" s="13"/>
      <c r="Q1542" s="13"/>
      <c r="R1542" s="13"/>
      <c r="S1542" s="13"/>
      <c r="T1542" s="13"/>
      <c r="U1542" s="13"/>
      <c r="V1542" s="13"/>
      <c r="W1542" s="13"/>
      <c r="AY1542" s="10"/>
      <c r="AZ1542" s="10"/>
    </row>
    <row r="1543" spans="1:52" ht="15" x14ac:dyDescent="0.25">
      <c r="A1543" s="11"/>
      <c r="O1543" s="13"/>
      <c r="P1543" s="13"/>
      <c r="Q1543" s="13"/>
      <c r="R1543" s="13"/>
      <c r="S1543" s="13"/>
      <c r="T1543" s="13"/>
      <c r="U1543" s="13"/>
      <c r="V1543" s="13"/>
      <c r="W1543" s="13"/>
      <c r="AY1543" s="10"/>
      <c r="AZ1543" s="10"/>
    </row>
    <row r="1544" spans="1:52" ht="15" x14ac:dyDescent="0.25">
      <c r="A1544" s="11"/>
      <c r="O1544" s="13"/>
      <c r="P1544" s="13"/>
      <c r="Q1544" s="13"/>
      <c r="R1544" s="13"/>
      <c r="S1544" s="13"/>
      <c r="T1544" s="13"/>
      <c r="U1544" s="13"/>
      <c r="V1544" s="13"/>
      <c r="W1544" s="13"/>
      <c r="AY1544" s="10"/>
      <c r="AZ1544" s="10"/>
    </row>
    <row r="1545" spans="1:52" ht="15" x14ac:dyDescent="0.25">
      <c r="A1545" s="11"/>
      <c r="O1545" s="13"/>
      <c r="P1545" s="13"/>
      <c r="Q1545" s="13"/>
      <c r="R1545" s="13"/>
      <c r="S1545" s="13"/>
      <c r="T1545" s="13"/>
      <c r="U1545" s="13"/>
      <c r="V1545" s="13"/>
      <c r="W1545" s="13"/>
      <c r="AY1545" s="10"/>
      <c r="AZ1545" s="10"/>
    </row>
    <row r="1546" spans="1:52" ht="15" x14ac:dyDescent="0.25">
      <c r="A1546" s="11"/>
      <c r="O1546" s="13"/>
      <c r="P1546" s="13"/>
      <c r="Q1546" s="13"/>
      <c r="R1546" s="13"/>
      <c r="S1546" s="13"/>
      <c r="T1546" s="13"/>
      <c r="U1546" s="13"/>
      <c r="V1546" s="13"/>
      <c r="W1546" s="13"/>
      <c r="AY1546" s="10"/>
      <c r="AZ1546" s="10"/>
    </row>
    <row r="1547" spans="1:52" ht="15" x14ac:dyDescent="0.25">
      <c r="A1547" s="11"/>
      <c r="O1547" s="13"/>
      <c r="P1547" s="13"/>
      <c r="Q1547" s="13"/>
      <c r="R1547" s="13"/>
      <c r="S1547" s="13"/>
      <c r="T1547" s="13"/>
      <c r="U1547" s="13"/>
      <c r="V1547" s="13"/>
      <c r="W1547" s="13"/>
      <c r="AY1547" s="10"/>
      <c r="AZ1547" s="10"/>
    </row>
    <row r="1548" spans="1:52" ht="15" x14ac:dyDescent="0.25">
      <c r="A1548" s="11"/>
      <c r="O1548" s="13"/>
      <c r="P1548" s="13"/>
      <c r="Q1548" s="13"/>
      <c r="R1548" s="13"/>
      <c r="S1548" s="13"/>
      <c r="T1548" s="13"/>
      <c r="U1548" s="13"/>
      <c r="V1548" s="13"/>
      <c r="W1548" s="13"/>
      <c r="AY1548" s="10"/>
      <c r="AZ1548" s="10"/>
    </row>
    <row r="1549" spans="1:52" ht="15" x14ac:dyDescent="0.25">
      <c r="A1549" s="11"/>
      <c r="O1549" s="13"/>
      <c r="P1549" s="13"/>
      <c r="Q1549" s="13"/>
      <c r="R1549" s="13"/>
      <c r="S1549" s="13"/>
      <c r="T1549" s="13"/>
      <c r="U1549" s="13"/>
      <c r="V1549" s="13"/>
      <c r="W1549" s="13"/>
      <c r="AY1549" s="10"/>
      <c r="AZ1549" s="10"/>
    </row>
    <row r="1550" spans="1:52" ht="15" x14ac:dyDescent="0.25">
      <c r="A1550" s="11"/>
      <c r="O1550" s="13"/>
      <c r="P1550" s="13"/>
      <c r="Q1550" s="13"/>
      <c r="R1550" s="13"/>
      <c r="S1550" s="13"/>
      <c r="T1550" s="13"/>
      <c r="U1550" s="13"/>
      <c r="V1550" s="13"/>
      <c r="W1550" s="13"/>
      <c r="AY1550" s="10"/>
      <c r="AZ1550" s="10"/>
    </row>
    <row r="1551" spans="1:52" ht="15" x14ac:dyDescent="0.25">
      <c r="A1551" s="11"/>
      <c r="O1551" s="13"/>
      <c r="P1551" s="13"/>
      <c r="Q1551" s="13"/>
      <c r="R1551" s="13"/>
      <c r="S1551" s="13"/>
      <c r="T1551" s="13"/>
      <c r="U1551" s="13"/>
      <c r="V1551" s="13"/>
      <c r="W1551" s="13"/>
      <c r="AY1551" s="10"/>
      <c r="AZ1551" s="10"/>
    </row>
    <row r="1552" spans="1:52" ht="15" x14ac:dyDescent="0.25">
      <c r="A1552" s="11"/>
      <c r="O1552" s="13"/>
      <c r="P1552" s="13"/>
      <c r="Q1552" s="13"/>
      <c r="R1552" s="13"/>
      <c r="S1552" s="13"/>
      <c r="T1552" s="13"/>
      <c r="U1552" s="13"/>
      <c r="V1552" s="13"/>
      <c r="W1552" s="13"/>
      <c r="AY1552" s="10"/>
      <c r="AZ1552" s="10"/>
    </row>
    <row r="1553" spans="1:52" ht="15" x14ac:dyDescent="0.25">
      <c r="A1553" s="11"/>
      <c r="B1553" s="11"/>
      <c r="N1553" s="11"/>
      <c r="O1553" s="13"/>
      <c r="P1553" s="13"/>
      <c r="Q1553" s="13"/>
      <c r="R1553" s="13"/>
      <c r="S1553" s="13"/>
      <c r="T1553" s="13"/>
      <c r="U1553" s="13"/>
      <c r="V1553" s="13"/>
      <c r="W1553" s="13"/>
      <c r="AY1553" s="10"/>
      <c r="AZ1553" s="10"/>
    </row>
    <row r="1554" spans="1:52" ht="15" x14ac:dyDescent="0.25">
      <c r="A1554" s="11"/>
      <c r="B1554" s="11"/>
      <c r="H1554" s="11"/>
      <c r="I1554" s="11"/>
      <c r="J1554" s="11"/>
      <c r="K1554" s="11"/>
      <c r="L1554" s="11"/>
      <c r="M1554" s="11"/>
      <c r="N1554" s="11"/>
      <c r="O1554" s="13"/>
      <c r="P1554" s="13"/>
      <c r="Q1554" s="13"/>
      <c r="R1554" s="13"/>
      <c r="S1554" s="13"/>
      <c r="T1554" s="13"/>
      <c r="U1554" s="13"/>
      <c r="V1554" s="13"/>
      <c r="W1554" s="13"/>
      <c r="AY1554" s="10"/>
      <c r="AZ1554" s="10"/>
    </row>
    <row r="1555" spans="1:52" ht="15" x14ac:dyDescent="0.25">
      <c r="A1555" s="11"/>
      <c r="B1555" s="11"/>
      <c r="C1555" s="11"/>
      <c r="D1555" s="11"/>
      <c r="E1555" s="11"/>
      <c r="F1555" s="11"/>
      <c r="G1555" s="11"/>
      <c r="H1555" s="11"/>
      <c r="I1555" s="11"/>
      <c r="J1555" s="11"/>
      <c r="K1555" s="11"/>
      <c r="L1555" s="11"/>
      <c r="M1555" s="11"/>
      <c r="N1555" s="11"/>
      <c r="O1555" s="13"/>
      <c r="P1555" s="13"/>
      <c r="Q1555" s="13"/>
      <c r="R1555" s="13"/>
      <c r="S1555" s="13"/>
      <c r="T1555" s="13"/>
      <c r="U1555" s="13"/>
      <c r="V1555" s="13"/>
      <c r="W1555" s="13"/>
      <c r="AY1555" s="10"/>
      <c r="AZ1555" s="10"/>
    </row>
    <row r="1556" spans="1:52" ht="15" x14ac:dyDescent="0.25">
      <c r="A1556" s="11"/>
      <c r="B1556" s="11"/>
      <c r="C1556" s="11"/>
      <c r="D1556" s="11"/>
      <c r="E1556" s="11"/>
      <c r="F1556" s="11"/>
      <c r="G1556" s="11"/>
      <c r="H1556" s="11"/>
      <c r="I1556" s="11"/>
      <c r="J1556" s="11"/>
      <c r="K1556" s="11"/>
      <c r="L1556" s="11"/>
      <c r="M1556" s="11"/>
      <c r="N1556" s="11"/>
      <c r="O1556" s="13"/>
      <c r="P1556" s="13"/>
      <c r="Q1556" s="13"/>
      <c r="R1556" s="13"/>
      <c r="S1556" s="13"/>
      <c r="T1556" s="13"/>
      <c r="U1556" s="13"/>
      <c r="V1556" s="13"/>
      <c r="W1556" s="13"/>
      <c r="AY1556" s="10"/>
      <c r="AZ1556" s="10"/>
    </row>
    <row r="1557" spans="1:52" ht="15" x14ac:dyDescent="0.25">
      <c r="A1557" s="11"/>
      <c r="B1557" s="11"/>
      <c r="C1557" s="11"/>
      <c r="D1557" s="11"/>
      <c r="E1557" s="11"/>
      <c r="F1557" s="11"/>
      <c r="G1557" s="11"/>
      <c r="H1557" s="11"/>
      <c r="I1557" s="11"/>
      <c r="J1557" s="11"/>
      <c r="K1557" s="11"/>
      <c r="L1557" s="11"/>
      <c r="M1557" s="11"/>
      <c r="N1557" s="11"/>
      <c r="O1557" s="13"/>
      <c r="P1557" s="13"/>
      <c r="Q1557" s="13"/>
      <c r="R1557" s="13"/>
      <c r="S1557" s="13"/>
      <c r="T1557" s="13"/>
      <c r="U1557" s="13"/>
      <c r="V1557" s="13"/>
      <c r="W1557" s="13"/>
      <c r="AY1557" s="10"/>
      <c r="AZ1557" s="10"/>
    </row>
    <row r="1558" spans="1:52" ht="15" x14ac:dyDescent="0.25">
      <c r="A1558" s="11"/>
      <c r="B1558" s="11"/>
      <c r="C1558" s="11"/>
      <c r="D1558" s="11"/>
      <c r="E1558" s="11"/>
      <c r="F1558" s="11"/>
      <c r="G1558" s="11"/>
      <c r="H1558" s="11"/>
      <c r="I1558" s="11"/>
      <c r="J1558" s="11"/>
      <c r="K1558" s="11"/>
      <c r="L1558" s="11"/>
      <c r="M1558" s="11"/>
      <c r="N1558" s="11"/>
      <c r="O1558" s="13"/>
      <c r="P1558" s="13"/>
      <c r="Q1558" s="13"/>
      <c r="R1558" s="13"/>
      <c r="S1558" s="13"/>
      <c r="T1558" s="13"/>
      <c r="U1558" s="13"/>
      <c r="V1558" s="13"/>
      <c r="W1558" s="13"/>
      <c r="AY1558" s="10"/>
      <c r="AZ1558" s="10"/>
    </row>
    <row r="1559" spans="1:52" ht="15" x14ac:dyDescent="0.25">
      <c r="A1559" s="11"/>
      <c r="B1559" s="11"/>
      <c r="C1559" s="11"/>
      <c r="D1559" s="11"/>
      <c r="E1559" s="11"/>
      <c r="F1559" s="11"/>
      <c r="G1559" s="11"/>
      <c r="H1559" s="11"/>
      <c r="I1559" s="11"/>
      <c r="J1559" s="11"/>
      <c r="K1559" s="11"/>
      <c r="L1559" s="11"/>
      <c r="M1559" s="11"/>
      <c r="N1559" s="11"/>
      <c r="O1559" s="13"/>
      <c r="P1559" s="13"/>
      <c r="Q1559" s="13"/>
      <c r="R1559" s="13"/>
      <c r="S1559" s="13"/>
      <c r="T1559" s="13"/>
      <c r="U1559" s="13"/>
      <c r="V1559" s="13"/>
      <c r="W1559" s="13"/>
      <c r="AY1559" s="10"/>
      <c r="AZ1559" s="10"/>
    </row>
    <row r="1560" spans="1:52" ht="15" x14ac:dyDescent="0.25">
      <c r="A1560" s="11"/>
      <c r="B1560" s="11"/>
      <c r="C1560" s="11"/>
      <c r="D1560" s="11"/>
      <c r="E1560" s="11"/>
      <c r="F1560" s="11"/>
      <c r="G1560" s="11"/>
      <c r="H1560" s="11"/>
      <c r="I1560" s="11"/>
      <c r="J1560" s="11"/>
      <c r="K1560" s="11"/>
      <c r="L1560" s="11"/>
      <c r="M1560" s="11"/>
      <c r="N1560" s="11"/>
      <c r="O1560" s="13"/>
      <c r="P1560" s="13"/>
      <c r="Q1560" s="13"/>
      <c r="R1560" s="13"/>
      <c r="S1560" s="13"/>
      <c r="T1560" s="13"/>
      <c r="U1560" s="13"/>
      <c r="V1560" s="13"/>
      <c r="W1560" s="13"/>
      <c r="AY1560" s="10"/>
      <c r="AZ1560" s="10"/>
    </row>
    <row r="1561" spans="1:52" ht="15" x14ac:dyDescent="0.25">
      <c r="A1561" s="11"/>
      <c r="B1561" s="11"/>
      <c r="C1561" s="11"/>
      <c r="D1561" s="11"/>
      <c r="E1561" s="11"/>
      <c r="F1561" s="11"/>
      <c r="G1561" s="11"/>
      <c r="H1561" s="11"/>
      <c r="I1561" s="11"/>
      <c r="J1561" s="11"/>
      <c r="K1561" s="11"/>
      <c r="L1561" s="11"/>
      <c r="M1561" s="11"/>
      <c r="N1561" s="11"/>
      <c r="O1561" s="13"/>
      <c r="P1561" s="13"/>
      <c r="Q1561" s="13"/>
      <c r="R1561" s="13"/>
      <c r="S1561" s="13"/>
      <c r="T1561" s="13"/>
      <c r="U1561" s="13"/>
      <c r="V1561" s="13"/>
      <c r="W1561" s="13"/>
      <c r="AY1561" s="10"/>
      <c r="AZ1561" s="10"/>
    </row>
    <row r="1562" spans="1:52" ht="15" x14ac:dyDescent="0.25">
      <c r="A1562" s="11"/>
      <c r="B1562" s="11"/>
      <c r="C1562" s="11"/>
      <c r="D1562" s="11"/>
      <c r="E1562" s="11"/>
      <c r="F1562" s="11"/>
      <c r="G1562" s="11"/>
      <c r="H1562" s="11"/>
      <c r="I1562" s="11"/>
      <c r="J1562" s="11"/>
      <c r="K1562" s="11"/>
      <c r="L1562" s="11"/>
      <c r="M1562" s="11"/>
      <c r="N1562" s="11"/>
      <c r="O1562" s="13"/>
      <c r="P1562" s="13"/>
      <c r="Q1562" s="13"/>
      <c r="R1562" s="13"/>
      <c r="S1562" s="13"/>
      <c r="T1562" s="13"/>
      <c r="U1562" s="13"/>
      <c r="V1562" s="13"/>
      <c r="W1562" s="13"/>
      <c r="AY1562" s="10"/>
      <c r="AZ1562" s="10"/>
    </row>
    <row r="1563" spans="1:52" ht="15" x14ac:dyDescent="0.25">
      <c r="A1563" s="11"/>
      <c r="B1563" s="11"/>
      <c r="C1563" s="11"/>
      <c r="D1563" s="11"/>
      <c r="E1563" s="11"/>
      <c r="F1563" s="11"/>
      <c r="G1563" s="11"/>
      <c r="H1563" s="11"/>
      <c r="I1563" s="11"/>
      <c r="J1563" s="11"/>
      <c r="K1563" s="11"/>
      <c r="L1563" s="11"/>
      <c r="M1563" s="11"/>
      <c r="N1563" s="11"/>
      <c r="O1563" s="13"/>
      <c r="P1563" s="13"/>
      <c r="Q1563" s="13"/>
      <c r="R1563" s="13"/>
      <c r="S1563" s="13"/>
      <c r="T1563" s="13"/>
      <c r="U1563" s="13"/>
      <c r="V1563" s="13"/>
      <c r="W1563" s="13"/>
      <c r="AY1563" s="10"/>
      <c r="AZ1563" s="10"/>
    </row>
    <row r="1564" spans="1:52" ht="15" x14ac:dyDescent="0.25">
      <c r="A1564" s="11"/>
      <c r="B1564" s="11"/>
      <c r="C1564" s="11"/>
      <c r="D1564" s="11"/>
      <c r="E1564" s="11"/>
      <c r="F1564" s="11"/>
      <c r="G1564" s="11"/>
      <c r="H1564" s="11"/>
      <c r="I1564" s="11"/>
      <c r="J1564" s="11"/>
      <c r="K1564" s="11"/>
      <c r="L1564" s="11"/>
      <c r="M1564" s="11"/>
      <c r="N1564" s="11"/>
      <c r="O1564" s="13"/>
      <c r="P1564" s="13"/>
      <c r="Q1564" s="13"/>
      <c r="R1564" s="13"/>
      <c r="S1564" s="13"/>
      <c r="T1564" s="13"/>
      <c r="U1564" s="13"/>
      <c r="V1564" s="13"/>
      <c r="W1564" s="13"/>
      <c r="AY1564" s="10"/>
      <c r="AZ1564" s="10"/>
    </row>
    <row r="1565" spans="1:52" ht="15" x14ac:dyDescent="0.25">
      <c r="A1565" s="11"/>
      <c r="B1565" s="11"/>
      <c r="C1565" s="11"/>
      <c r="D1565" s="11"/>
      <c r="E1565" s="11"/>
      <c r="F1565" s="11"/>
      <c r="G1565" s="11"/>
      <c r="H1565" s="11"/>
      <c r="I1565" s="11"/>
      <c r="J1565" s="11"/>
      <c r="K1565" s="11"/>
      <c r="L1565" s="11"/>
      <c r="M1565" s="11"/>
      <c r="N1565" s="11"/>
      <c r="O1565" s="13"/>
      <c r="P1565" s="13"/>
      <c r="Q1565" s="13"/>
      <c r="R1565" s="13"/>
      <c r="S1565" s="13"/>
      <c r="T1565" s="13"/>
      <c r="U1565" s="13"/>
      <c r="V1565" s="13"/>
      <c r="W1565" s="13"/>
      <c r="AY1565" s="10"/>
      <c r="AZ1565" s="10"/>
    </row>
    <row r="1566" spans="1:52" ht="15" x14ac:dyDescent="0.25">
      <c r="A1566" s="11"/>
      <c r="B1566" s="11"/>
      <c r="C1566" s="11"/>
      <c r="D1566" s="11"/>
      <c r="E1566" s="11"/>
      <c r="F1566" s="11"/>
      <c r="G1566" s="11"/>
      <c r="H1566" s="11"/>
      <c r="I1566" s="11"/>
      <c r="J1566" s="11"/>
      <c r="K1566" s="11"/>
      <c r="L1566" s="11"/>
      <c r="M1566" s="11"/>
      <c r="N1566" s="11"/>
      <c r="O1566" s="13"/>
      <c r="P1566" s="13"/>
      <c r="Q1566" s="13"/>
      <c r="R1566" s="13"/>
      <c r="S1566" s="13"/>
      <c r="T1566" s="13"/>
      <c r="U1566" s="13"/>
      <c r="V1566" s="13"/>
      <c r="W1566" s="13"/>
      <c r="AY1566" s="10"/>
      <c r="AZ1566" s="10"/>
    </row>
    <row r="1567" spans="1:52" ht="15" x14ac:dyDescent="0.25">
      <c r="A1567" s="11"/>
      <c r="B1567" s="11"/>
      <c r="C1567" s="11"/>
      <c r="D1567" s="11"/>
      <c r="E1567" s="11"/>
      <c r="F1567" s="11"/>
      <c r="G1567" s="11"/>
      <c r="H1567" s="11"/>
      <c r="I1567" s="11"/>
      <c r="J1567" s="11"/>
      <c r="K1567" s="11"/>
      <c r="L1567" s="11"/>
      <c r="M1567" s="11"/>
      <c r="N1567" s="11"/>
      <c r="O1567" s="13"/>
      <c r="P1567" s="13"/>
      <c r="Q1567" s="13"/>
      <c r="R1567" s="13"/>
      <c r="S1567" s="13"/>
      <c r="T1567" s="13"/>
      <c r="U1567" s="13"/>
      <c r="V1567" s="13"/>
      <c r="W1567" s="13"/>
      <c r="AY1567" s="10"/>
      <c r="AZ1567" s="10"/>
    </row>
    <row r="1568" spans="1:52" ht="15" x14ac:dyDescent="0.25">
      <c r="A1568" s="11"/>
      <c r="B1568" s="11"/>
      <c r="C1568" s="11"/>
      <c r="D1568" s="11"/>
      <c r="E1568" s="11"/>
      <c r="F1568" s="11"/>
      <c r="G1568" s="11"/>
      <c r="H1568" s="11"/>
      <c r="I1568" s="11"/>
      <c r="J1568" s="11"/>
      <c r="K1568" s="11"/>
      <c r="L1568" s="11"/>
      <c r="M1568" s="11"/>
      <c r="N1568" s="19"/>
      <c r="O1568" s="13"/>
      <c r="P1568" s="13"/>
      <c r="Q1568" s="13"/>
      <c r="R1568" s="13"/>
      <c r="S1568" s="13"/>
      <c r="T1568" s="13"/>
      <c r="U1568" s="13"/>
      <c r="V1568" s="13"/>
      <c r="W1568" s="13"/>
      <c r="AY1568" s="10"/>
      <c r="AZ1568" s="10"/>
    </row>
    <row r="1569" spans="1:52" ht="15" x14ac:dyDescent="0.25">
      <c r="A1569" s="11"/>
      <c r="B1569" s="11"/>
      <c r="C1569" s="11"/>
      <c r="D1569" s="11"/>
      <c r="E1569" s="11"/>
      <c r="F1569" s="11"/>
      <c r="G1569" s="11"/>
      <c r="H1569" s="19"/>
      <c r="I1569" s="19"/>
      <c r="J1569" s="19"/>
      <c r="K1569" s="19"/>
      <c r="L1569" s="19"/>
      <c r="M1569" s="19"/>
      <c r="N1569" s="19"/>
      <c r="O1569" s="13"/>
      <c r="P1569" s="13"/>
      <c r="Q1569" s="13"/>
      <c r="R1569" s="13"/>
      <c r="S1569" s="13"/>
      <c r="T1569" s="13"/>
      <c r="U1569" s="13"/>
      <c r="V1569" s="13"/>
      <c r="W1569" s="13"/>
      <c r="AY1569" s="10"/>
      <c r="AZ1569" s="10"/>
    </row>
    <row r="1570" spans="1:52" ht="15" x14ac:dyDescent="0.25">
      <c r="A1570" s="11"/>
      <c r="B1570" s="11"/>
      <c r="C1570" s="19"/>
      <c r="D1570" s="19"/>
      <c r="E1570" s="19"/>
      <c r="F1570" s="19"/>
      <c r="G1570" s="19"/>
      <c r="H1570" s="19"/>
      <c r="I1570" s="19"/>
      <c r="J1570" s="19"/>
      <c r="K1570" s="19"/>
      <c r="L1570" s="19"/>
      <c r="M1570" s="19"/>
      <c r="N1570" s="19"/>
      <c r="O1570" s="13"/>
      <c r="P1570" s="13"/>
      <c r="Q1570" s="13"/>
      <c r="R1570" s="13"/>
      <c r="S1570" s="13"/>
      <c r="T1570" s="13"/>
      <c r="U1570" s="13"/>
      <c r="V1570" s="13"/>
      <c r="W1570" s="13"/>
      <c r="AY1570" s="10"/>
      <c r="AZ1570" s="10"/>
    </row>
    <row r="1571" spans="1:52" ht="15" x14ac:dyDescent="0.25">
      <c r="A1571" s="11"/>
      <c r="B1571" s="11"/>
      <c r="C1571" s="19"/>
      <c r="D1571" s="19"/>
      <c r="E1571" s="19"/>
      <c r="F1571" s="19"/>
      <c r="G1571" s="19"/>
      <c r="H1571" s="19"/>
      <c r="I1571" s="19"/>
      <c r="J1571" s="19"/>
      <c r="K1571" s="19"/>
      <c r="L1571" s="19"/>
      <c r="M1571" s="19"/>
      <c r="N1571" s="19"/>
      <c r="O1571" s="13"/>
      <c r="P1571" s="13"/>
      <c r="Q1571" s="13"/>
      <c r="R1571" s="13"/>
      <c r="S1571" s="13"/>
      <c r="T1571" s="13"/>
      <c r="U1571" s="13"/>
      <c r="V1571" s="13"/>
      <c r="W1571" s="13"/>
      <c r="AY1571" s="10"/>
      <c r="AZ1571" s="10"/>
    </row>
    <row r="1572" spans="1:52" ht="15" x14ac:dyDescent="0.25">
      <c r="A1572" s="11"/>
      <c r="B1572" s="11"/>
      <c r="C1572" s="19"/>
      <c r="D1572" s="19"/>
      <c r="E1572" s="19"/>
      <c r="F1572" s="19"/>
      <c r="G1572" s="19"/>
      <c r="H1572" s="19"/>
      <c r="I1572" s="19"/>
      <c r="J1572" s="19"/>
      <c r="K1572" s="19"/>
      <c r="L1572" s="19"/>
      <c r="M1572" s="19"/>
      <c r="N1572" s="19"/>
      <c r="O1572" s="13"/>
      <c r="P1572" s="13"/>
      <c r="Q1572" s="13"/>
      <c r="R1572" s="13"/>
      <c r="S1572" s="13"/>
      <c r="T1572" s="13"/>
      <c r="U1572" s="13"/>
      <c r="V1572" s="13"/>
      <c r="W1572" s="13"/>
      <c r="AY1572" s="10"/>
      <c r="AZ1572" s="10"/>
    </row>
    <row r="1573" spans="1:52" ht="15" x14ac:dyDescent="0.25">
      <c r="A1573" s="11"/>
      <c r="B1573" s="11"/>
      <c r="C1573" s="19"/>
      <c r="D1573" s="19"/>
      <c r="E1573" s="19"/>
      <c r="F1573" s="19"/>
      <c r="G1573" s="19"/>
      <c r="H1573" s="19"/>
      <c r="I1573" s="19"/>
      <c r="J1573" s="19"/>
      <c r="K1573" s="19"/>
      <c r="L1573" s="19"/>
      <c r="M1573" s="19"/>
      <c r="N1573" s="11"/>
      <c r="O1573" s="13"/>
      <c r="P1573" s="13"/>
      <c r="Q1573" s="13"/>
      <c r="R1573" s="13"/>
      <c r="S1573" s="13"/>
      <c r="T1573" s="13"/>
      <c r="U1573" s="13"/>
      <c r="V1573" s="13"/>
      <c r="W1573" s="13"/>
      <c r="AY1573" s="10"/>
      <c r="AZ1573" s="10"/>
    </row>
    <row r="1574" spans="1:52" ht="15" x14ac:dyDescent="0.25">
      <c r="A1574" s="11"/>
      <c r="C1574" s="19"/>
      <c r="D1574" s="19"/>
      <c r="E1574" s="19"/>
      <c r="F1574" s="19"/>
      <c r="G1574" s="19"/>
      <c r="H1574" s="11"/>
      <c r="I1574" s="11"/>
      <c r="J1574" s="11"/>
      <c r="K1574" s="11"/>
      <c r="L1574" s="11"/>
      <c r="M1574" s="11"/>
      <c r="O1574" s="13"/>
      <c r="P1574" s="13"/>
      <c r="Q1574" s="13"/>
      <c r="R1574" s="13"/>
      <c r="S1574" s="13"/>
      <c r="T1574" s="13"/>
      <c r="U1574" s="13"/>
      <c r="V1574" s="13"/>
      <c r="W1574" s="13"/>
      <c r="AY1574" s="10"/>
      <c r="AZ1574" s="10"/>
    </row>
    <row r="1575" spans="1:52" ht="15" x14ac:dyDescent="0.25">
      <c r="A1575" s="11"/>
      <c r="C1575" s="11"/>
      <c r="D1575" s="11"/>
      <c r="E1575" s="11"/>
      <c r="F1575" s="11"/>
      <c r="G1575" s="11"/>
      <c r="O1575" s="13"/>
      <c r="P1575" s="13"/>
      <c r="Q1575" s="13"/>
      <c r="R1575" s="13"/>
      <c r="S1575" s="13"/>
      <c r="T1575" s="13"/>
      <c r="U1575" s="13"/>
      <c r="V1575" s="13"/>
      <c r="W1575" s="13"/>
      <c r="AY1575" s="10"/>
      <c r="AZ1575" s="10"/>
    </row>
    <row r="1576" spans="1:52" ht="15" x14ac:dyDescent="0.25">
      <c r="A1576" s="11"/>
      <c r="O1576" s="13"/>
      <c r="P1576" s="13"/>
      <c r="Q1576" s="13"/>
      <c r="R1576" s="13"/>
      <c r="S1576" s="13"/>
      <c r="T1576" s="13"/>
      <c r="U1576" s="13"/>
      <c r="V1576" s="13"/>
      <c r="W1576" s="13"/>
      <c r="AY1576" s="10"/>
      <c r="AZ1576" s="10"/>
    </row>
    <row r="1577" spans="1:52" ht="15" x14ac:dyDescent="0.25">
      <c r="A1577" s="11"/>
      <c r="O1577" s="13"/>
      <c r="P1577" s="13"/>
      <c r="Q1577" s="13"/>
      <c r="R1577" s="13"/>
      <c r="S1577" s="13"/>
      <c r="T1577" s="13"/>
      <c r="U1577" s="13"/>
      <c r="V1577" s="13"/>
      <c r="W1577" s="13"/>
      <c r="AY1577" s="10"/>
      <c r="AZ1577" s="10"/>
    </row>
    <row r="1578" spans="1:52" ht="15" x14ac:dyDescent="0.25">
      <c r="A1578" s="11"/>
      <c r="O1578" s="13"/>
      <c r="P1578" s="13"/>
      <c r="Q1578" s="13"/>
      <c r="R1578" s="13"/>
      <c r="S1578" s="13"/>
      <c r="T1578" s="13"/>
      <c r="U1578" s="13"/>
      <c r="V1578" s="13"/>
      <c r="W1578" s="13"/>
      <c r="AY1578" s="10"/>
      <c r="AZ1578" s="10"/>
    </row>
    <row r="1579" spans="1:52" ht="15" x14ac:dyDescent="0.25">
      <c r="A1579" s="11"/>
      <c r="O1579" s="13"/>
      <c r="P1579" s="13"/>
      <c r="Q1579" s="13"/>
      <c r="R1579" s="13"/>
      <c r="S1579" s="13"/>
      <c r="T1579" s="13"/>
      <c r="U1579" s="13"/>
      <c r="V1579" s="13"/>
      <c r="W1579" s="13"/>
      <c r="AY1579" s="10"/>
      <c r="AZ1579" s="10"/>
    </row>
    <row r="1580" spans="1:52" ht="15" x14ac:dyDescent="0.25">
      <c r="A1580" s="11"/>
      <c r="O1580" s="13"/>
      <c r="P1580" s="13"/>
      <c r="Q1580" s="13"/>
      <c r="R1580" s="13"/>
      <c r="S1580" s="13"/>
      <c r="T1580" s="13"/>
      <c r="U1580" s="13"/>
      <c r="V1580" s="13"/>
      <c r="W1580" s="13"/>
      <c r="AY1580" s="10"/>
      <c r="AZ1580" s="10"/>
    </row>
    <row r="1581" spans="1:52" ht="15" x14ac:dyDescent="0.25">
      <c r="A1581" s="11"/>
      <c r="O1581" s="13"/>
      <c r="P1581" s="13"/>
      <c r="Q1581" s="13"/>
      <c r="R1581" s="13"/>
      <c r="S1581" s="13"/>
      <c r="T1581" s="13"/>
      <c r="U1581" s="13"/>
      <c r="V1581" s="13"/>
      <c r="W1581" s="13"/>
      <c r="AY1581" s="10"/>
      <c r="AZ1581" s="10"/>
    </row>
    <row r="1582" spans="1:52" ht="15" x14ac:dyDescent="0.25">
      <c r="A1582" s="11"/>
      <c r="O1582" s="13"/>
      <c r="P1582" s="13"/>
      <c r="Q1582" s="13"/>
      <c r="R1582" s="13"/>
      <c r="S1582" s="13"/>
      <c r="T1582" s="13"/>
      <c r="U1582" s="13"/>
      <c r="V1582" s="13"/>
      <c r="W1582" s="13"/>
      <c r="AY1582" s="10"/>
      <c r="AZ1582" s="10"/>
    </row>
    <row r="1583" spans="1:52" ht="15" x14ac:dyDescent="0.25">
      <c r="A1583" s="11"/>
      <c r="O1583" s="13"/>
      <c r="P1583" s="13"/>
      <c r="Q1583" s="13"/>
      <c r="R1583" s="13"/>
      <c r="S1583" s="13"/>
      <c r="T1583" s="13"/>
      <c r="U1583" s="13"/>
      <c r="V1583" s="13"/>
      <c r="W1583" s="13"/>
      <c r="AY1583" s="10"/>
      <c r="AZ1583" s="10"/>
    </row>
    <row r="1584" spans="1:52" ht="15" x14ac:dyDescent="0.25">
      <c r="A1584" s="11"/>
      <c r="O1584" s="13"/>
      <c r="P1584" s="13"/>
      <c r="Q1584" s="13"/>
      <c r="R1584" s="13"/>
      <c r="S1584" s="13"/>
      <c r="T1584" s="13"/>
      <c r="U1584" s="13"/>
      <c r="V1584" s="13"/>
      <c r="W1584" s="13"/>
      <c r="AY1584" s="10"/>
      <c r="AZ1584" s="10"/>
    </row>
    <row r="1585" spans="1:52" ht="15" x14ac:dyDescent="0.25">
      <c r="A1585" s="11"/>
      <c r="O1585" s="13"/>
      <c r="P1585" s="13"/>
      <c r="Q1585" s="13"/>
      <c r="R1585" s="13"/>
      <c r="S1585" s="13"/>
      <c r="T1585" s="13"/>
      <c r="U1585" s="13"/>
      <c r="V1585" s="13"/>
      <c r="W1585" s="13"/>
      <c r="AY1585" s="10"/>
      <c r="AZ1585" s="10"/>
    </row>
    <row r="1586" spans="1:52" ht="15" x14ac:dyDescent="0.25">
      <c r="A1586" s="11"/>
      <c r="O1586" s="13"/>
      <c r="P1586" s="13"/>
      <c r="Q1586" s="13"/>
      <c r="R1586" s="13"/>
      <c r="S1586" s="13"/>
      <c r="T1586" s="13"/>
      <c r="U1586" s="13"/>
      <c r="V1586" s="13"/>
      <c r="W1586" s="13"/>
      <c r="AY1586" s="10"/>
      <c r="AZ1586" s="10"/>
    </row>
    <row r="1587" spans="1:52" ht="15" x14ac:dyDescent="0.25">
      <c r="A1587" s="11"/>
      <c r="O1587" s="13"/>
      <c r="P1587" s="13"/>
      <c r="Q1587" s="13"/>
      <c r="R1587" s="13"/>
      <c r="S1587" s="13"/>
      <c r="T1587" s="13"/>
      <c r="U1587" s="13"/>
      <c r="V1587" s="13"/>
      <c r="W1587" s="13"/>
      <c r="AY1587" s="10"/>
      <c r="AZ1587" s="10"/>
    </row>
    <row r="1588" spans="1:52" ht="15" x14ac:dyDescent="0.25">
      <c r="A1588" s="11"/>
      <c r="O1588" s="13"/>
      <c r="P1588" s="13"/>
      <c r="Q1588" s="13"/>
      <c r="R1588" s="13"/>
      <c r="S1588" s="13"/>
      <c r="T1588" s="13"/>
      <c r="U1588" s="13"/>
      <c r="V1588" s="13"/>
      <c r="W1588" s="13"/>
      <c r="AY1588" s="10"/>
      <c r="AZ1588" s="10"/>
    </row>
    <row r="1589" spans="1:52" ht="15" x14ac:dyDescent="0.25">
      <c r="A1589" s="11"/>
      <c r="O1589" s="13"/>
      <c r="P1589" s="13"/>
      <c r="Q1589" s="13"/>
      <c r="R1589" s="13"/>
      <c r="S1589" s="13"/>
      <c r="T1589" s="13"/>
      <c r="U1589" s="13"/>
      <c r="V1589" s="13"/>
      <c r="W1589" s="13"/>
      <c r="AY1589" s="10"/>
      <c r="AZ1589" s="10"/>
    </row>
    <row r="1590" spans="1:52" ht="15" x14ac:dyDescent="0.25">
      <c r="A1590" s="11"/>
      <c r="O1590" s="13"/>
      <c r="P1590" s="13"/>
      <c r="Q1590" s="13"/>
      <c r="R1590" s="13"/>
      <c r="S1590" s="13"/>
      <c r="T1590" s="13"/>
      <c r="U1590" s="13"/>
      <c r="V1590" s="13"/>
      <c r="W1590" s="13"/>
      <c r="AY1590" s="10"/>
      <c r="AZ1590" s="10"/>
    </row>
    <row r="1591" spans="1:52" ht="15" x14ac:dyDescent="0.25">
      <c r="A1591" s="11"/>
      <c r="O1591" s="13"/>
      <c r="P1591" s="13"/>
      <c r="Q1591" s="13"/>
      <c r="R1591" s="13"/>
      <c r="S1591" s="13"/>
      <c r="T1591" s="13"/>
      <c r="U1591" s="13"/>
      <c r="V1591" s="13"/>
      <c r="W1591" s="13"/>
      <c r="AY1591" s="10"/>
      <c r="AZ1591" s="10"/>
    </row>
    <row r="1592" spans="1:52" ht="15" x14ac:dyDescent="0.25">
      <c r="A1592" s="11"/>
      <c r="O1592" s="13"/>
      <c r="P1592" s="13"/>
      <c r="Q1592" s="13"/>
      <c r="R1592" s="13"/>
      <c r="S1592" s="13"/>
      <c r="T1592" s="13"/>
      <c r="U1592" s="13"/>
      <c r="V1592" s="13"/>
      <c r="W1592" s="13"/>
      <c r="AY1592" s="10"/>
      <c r="AZ1592" s="10"/>
    </row>
    <row r="1593" spans="1:52" ht="15" x14ac:dyDescent="0.25">
      <c r="A1593" s="11"/>
      <c r="O1593" s="13"/>
      <c r="P1593" s="13"/>
      <c r="Q1593" s="13"/>
      <c r="R1593" s="13"/>
      <c r="S1593" s="13"/>
      <c r="T1593" s="13"/>
      <c r="U1593" s="13"/>
      <c r="V1593" s="13"/>
      <c r="W1593" s="13"/>
      <c r="AY1593" s="10"/>
      <c r="AZ1593" s="10"/>
    </row>
    <row r="1594" spans="1:52" ht="15" x14ac:dyDescent="0.25">
      <c r="A1594" s="11"/>
      <c r="O1594" s="13"/>
      <c r="P1594" s="13"/>
      <c r="Q1594" s="13"/>
      <c r="R1594" s="13"/>
      <c r="S1594" s="13"/>
      <c r="T1594" s="13"/>
      <c r="U1594" s="13"/>
      <c r="V1594" s="13"/>
      <c r="W1594" s="13"/>
      <c r="AY1594" s="10"/>
      <c r="AZ1594" s="10"/>
    </row>
    <row r="1595" spans="1:52" ht="15" x14ac:dyDescent="0.25">
      <c r="A1595" s="11"/>
      <c r="O1595" s="13"/>
      <c r="P1595" s="13"/>
      <c r="Q1595" s="13"/>
      <c r="R1595" s="13"/>
      <c r="S1595" s="13"/>
      <c r="T1595" s="13"/>
      <c r="U1595" s="13"/>
      <c r="V1595" s="13"/>
      <c r="W1595" s="13"/>
      <c r="AY1595" s="10"/>
      <c r="AZ1595" s="10"/>
    </row>
    <row r="1596" spans="1:52" ht="15" x14ac:dyDescent="0.25">
      <c r="A1596" s="11"/>
      <c r="O1596" s="13"/>
      <c r="P1596" s="13"/>
      <c r="Q1596" s="13"/>
      <c r="R1596" s="13"/>
      <c r="S1596" s="13"/>
      <c r="T1596" s="13"/>
      <c r="U1596" s="13"/>
      <c r="V1596" s="13"/>
      <c r="W1596" s="13"/>
      <c r="AY1596" s="10"/>
      <c r="AZ1596" s="10"/>
    </row>
    <row r="1597" spans="1:52" ht="15" x14ac:dyDescent="0.25">
      <c r="A1597" s="11"/>
      <c r="O1597" s="13"/>
      <c r="P1597" s="13"/>
      <c r="Q1597" s="13"/>
      <c r="R1597" s="13"/>
      <c r="S1597" s="13"/>
      <c r="T1597" s="13"/>
      <c r="U1597" s="13"/>
      <c r="V1597" s="13"/>
      <c r="W1597" s="13"/>
      <c r="AY1597" s="10"/>
      <c r="AZ1597" s="10"/>
    </row>
    <row r="1598" spans="1:52" ht="15" x14ac:dyDescent="0.25">
      <c r="A1598" s="11"/>
      <c r="O1598" s="13"/>
      <c r="P1598" s="13"/>
      <c r="Q1598" s="13"/>
      <c r="R1598" s="13"/>
      <c r="S1598" s="13"/>
      <c r="T1598" s="13"/>
      <c r="U1598" s="13"/>
      <c r="V1598" s="13"/>
      <c r="W1598" s="13"/>
      <c r="AY1598" s="10"/>
      <c r="AZ1598" s="10"/>
    </row>
    <row r="1599" spans="1:52" ht="15" x14ac:dyDescent="0.25">
      <c r="A1599" s="11"/>
      <c r="O1599" s="13"/>
      <c r="P1599" s="13"/>
      <c r="Q1599" s="13"/>
      <c r="R1599" s="13"/>
      <c r="S1599" s="13"/>
      <c r="T1599" s="13"/>
      <c r="U1599" s="13"/>
      <c r="V1599" s="13"/>
      <c r="W1599" s="13"/>
      <c r="AY1599" s="10"/>
      <c r="AZ1599" s="10"/>
    </row>
    <row r="1600" spans="1:52" ht="15" x14ac:dyDescent="0.25">
      <c r="A1600" s="11"/>
      <c r="O1600" s="13"/>
      <c r="P1600" s="13"/>
      <c r="Q1600" s="13"/>
      <c r="R1600" s="13"/>
      <c r="S1600" s="13"/>
      <c r="T1600" s="13"/>
      <c r="U1600" s="13"/>
      <c r="V1600" s="13"/>
      <c r="W1600" s="13"/>
      <c r="AY1600" s="10"/>
      <c r="AZ1600" s="10"/>
    </row>
    <row r="1601" spans="1:52" ht="15" x14ac:dyDescent="0.25">
      <c r="A1601" s="11"/>
      <c r="O1601" s="13"/>
      <c r="P1601" s="13"/>
      <c r="Q1601" s="13"/>
      <c r="R1601" s="13"/>
      <c r="S1601" s="13"/>
      <c r="T1601" s="13"/>
      <c r="U1601" s="13"/>
      <c r="V1601" s="13"/>
      <c r="W1601" s="13"/>
      <c r="AY1601" s="10"/>
      <c r="AZ1601" s="10"/>
    </row>
    <row r="1602" spans="1:52" ht="15" x14ac:dyDescent="0.25">
      <c r="A1602" s="11"/>
      <c r="O1602" s="13"/>
      <c r="P1602" s="13"/>
      <c r="Q1602" s="13"/>
      <c r="R1602" s="13"/>
      <c r="S1602" s="13"/>
      <c r="T1602" s="13"/>
      <c r="U1602" s="13"/>
      <c r="V1602" s="13"/>
      <c r="W1602" s="13"/>
      <c r="AY1602" s="10"/>
      <c r="AZ1602" s="10"/>
    </row>
    <row r="1603" spans="1:52" ht="15" x14ac:dyDescent="0.25">
      <c r="A1603" s="11"/>
      <c r="O1603" s="13"/>
      <c r="P1603" s="13"/>
      <c r="Q1603" s="13"/>
      <c r="R1603" s="13"/>
      <c r="S1603" s="13"/>
      <c r="T1603" s="13"/>
      <c r="U1603" s="13"/>
      <c r="V1603" s="13"/>
      <c r="W1603" s="13"/>
      <c r="AY1603" s="10"/>
      <c r="AZ1603" s="10"/>
    </row>
    <row r="1604" spans="1:52" ht="15" x14ac:dyDescent="0.25">
      <c r="A1604" s="11"/>
      <c r="O1604" s="13"/>
      <c r="P1604" s="13"/>
      <c r="Q1604" s="13"/>
      <c r="R1604" s="13"/>
      <c r="S1604" s="13"/>
      <c r="T1604" s="13"/>
      <c r="U1604" s="13"/>
      <c r="V1604" s="13"/>
      <c r="W1604" s="13"/>
      <c r="AY1604" s="10"/>
      <c r="AZ1604" s="10"/>
    </row>
    <row r="1605" spans="1:52" ht="15" x14ac:dyDescent="0.25">
      <c r="A1605" s="11"/>
      <c r="O1605" s="13"/>
      <c r="P1605" s="13"/>
      <c r="Q1605" s="13"/>
      <c r="R1605" s="13"/>
      <c r="S1605" s="13"/>
      <c r="T1605" s="13"/>
      <c r="U1605" s="13"/>
      <c r="V1605" s="13"/>
      <c r="W1605" s="13"/>
      <c r="AY1605" s="10"/>
      <c r="AZ1605" s="10"/>
    </row>
    <row r="1606" spans="1:52" ht="15" x14ac:dyDescent="0.25">
      <c r="A1606" s="11"/>
      <c r="O1606" s="13"/>
      <c r="P1606" s="13"/>
      <c r="Q1606" s="13"/>
      <c r="R1606" s="13"/>
      <c r="S1606" s="13"/>
      <c r="T1606" s="13"/>
      <c r="U1606" s="13"/>
      <c r="V1606" s="13"/>
      <c r="W1606" s="13"/>
      <c r="AY1606" s="10"/>
      <c r="AZ1606" s="10"/>
    </row>
    <row r="1607" spans="1:52" ht="15" x14ac:dyDescent="0.25">
      <c r="A1607" s="11"/>
      <c r="O1607" s="13"/>
      <c r="P1607" s="13"/>
      <c r="Q1607" s="13"/>
      <c r="R1607" s="13"/>
      <c r="S1607" s="13"/>
      <c r="T1607" s="13"/>
      <c r="U1607" s="13"/>
      <c r="V1607" s="13"/>
      <c r="W1607" s="13"/>
      <c r="AY1607" s="10"/>
      <c r="AZ1607" s="10"/>
    </row>
    <row r="1608" spans="1:52" ht="15" x14ac:dyDescent="0.25">
      <c r="A1608" s="11"/>
      <c r="O1608" s="13"/>
      <c r="P1608" s="13"/>
      <c r="Q1608" s="13"/>
      <c r="R1608" s="13"/>
      <c r="S1608" s="13"/>
      <c r="T1608" s="13"/>
      <c r="U1608" s="13"/>
      <c r="V1608" s="13"/>
      <c r="W1608" s="13"/>
      <c r="AY1608" s="10"/>
      <c r="AZ1608" s="10"/>
    </row>
    <row r="1609" spans="1:52" ht="15" x14ac:dyDescent="0.25">
      <c r="A1609" s="11"/>
      <c r="O1609" s="13"/>
      <c r="P1609" s="13"/>
      <c r="Q1609" s="13"/>
      <c r="R1609" s="13"/>
      <c r="S1609" s="13"/>
      <c r="T1609" s="13"/>
      <c r="U1609" s="13"/>
      <c r="V1609" s="13"/>
      <c r="W1609" s="13"/>
      <c r="AY1609" s="10"/>
      <c r="AZ1609" s="10"/>
    </row>
    <row r="1610" spans="1:52" ht="15" x14ac:dyDescent="0.25">
      <c r="A1610" s="11"/>
      <c r="O1610" s="13"/>
      <c r="P1610" s="13"/>
      <c r="Q1610" s="13"/>
      <c r="R1610" s="13"/>
      <c r="S1610" s="13"/>
      <c r="T1610" s="13"/>
      <c r="U1610" s="13"/>
      <c r="V1610" s="13"/>
      <c r="W1610" s="13"/>
      <c r="AY1610" s="10"/>
      <c r="AZ1610" s="10"/>
    </row>
    <row r="1611" spans="1:52" ht="15" x14ac:dyDescent="0.25">
      <c r="A1611" s="11"/>
      <c r="O1611" s="13"/>
      <c r="P1611" s="13"/>
      <c r="Q1611" s="13"/>
      <c r="R1611" s="13"/>
      <c r="S1611" s="13"/>
      <c r="T1611" s="13"/>
      <c r="U1611" s="13"/>
      <c r="V1611" s="13"/>
      <c r="W1611" s="13"/>
      <c r="AY1611" s="10"/>
      <c r="AZ1611" s="10"/>
    </row>
    <row r="1612" spans="1:52" ht="15" x14ac:dyDescent="0.25">
      <c r="A1612" s="11"/>
      <c r="O1612" s="13"/>
      <c r="P1612" s="13"/>
      <c r="Q1612" s="13"/>
      <c r="R1612" s="13"/>
      <c r="S1612" s="13"/>
      <c r="T1612" s="13"/>
      <c r="U1612" s="13"/>
      <c r="V1612" s="13"/>
      <c r="W1612" s="13"/>
      <c r="AY1612" s="10"/>
      <c r="AZ1612" s="10"/>
    </row>
    <row r="1613" spans="1:52" ht="15" x14ac:dyDescent="0.25">
      <c r="A1613" s="11"/>
      <c r="O1613" s="13"/>
      <c r="P1613" s="13"/>
      <c r="Q1613" s="13"/>
      <c r="R1613" s="13"/>
      <c r="S1613" s="13"/>
      <c r="T1613" s="13"/>
      <c r="U1613" s="13"/>
      <c r="V1613" s="13"/>
      <c r="W1613" s="13"/>
      <c r="AY1613" s="10"/>
      <c r="AZ1613" s="10"/>
    </row>
    <row r="1614" spans="1:52" ht="15" x14ac:dyDescent="0.25">
      <c r="A1614" s="11"/>
      <c r="O1614" s="13"/>
      <c r="P1614" s="13"/>
      <c r="Q1614" s="13"/>
      <c r="R1614" s="13"/>
      <c r="S1614" s="13"/>
      <c r="T1614" s="13"/>
      <c r="U1614" s="13"/>
      <c r="V1614" s="13"/>
      <c r="W1614" s="13"/>
      <c r="AY1614" s="10"/>
      <c r="AZ1614" s="10"/>
    </row>
    <row r="1615" spans="1:52" ht="15" x14ac:dyDescent="0.25">
      <c r="A1615" s="11"/>
      <c r="O1615" s="13"/>
      <c r="P1615" s="13"/>
      <c r="Q1615" s="13"/>
      <c r="R1615" s="13"/>
      <c r="S1615" s="13"/>
      <c r="T1615" s="13"/>
      <c r="U1615" s="13"/>
      <c r="V1615" s="13"/>
      <c r="W1615" s="13"/>
      <c r="AY1615" s="10"/>
      <c r="AZ1615" s="10"/>
    </row>
    <row r="1616" spans="1:52" ht="15" x14ac:dyDescent="0.25">
      <c r="A1616" s="11"/>
      <c r="O1616" s="13"/>
      <c r="P1616" s="13"/>
      <c r="Q1616" s="13"/>
      <c r="R1616" s="13"/>
      <c r="S1616" s="13"/>
      <c r="T1616" s="13"/>
      <c r="U1616" s="13"/>
      <c r="V1616" s="13"/>
      <c r="W1616" s="13"/>
      <c r="AY1616" s="10"/>
      <c r="AZ1616" s="10"/>
    </row>
    <row r="1617" spans="1:52" ht="15" x14ac:dyDescent="0.25">
      <c r="A1617" s="11"/>
      <c r="O1617" s="13"/>
      <c r="P1617" s="13"/>
      <c r="Q1617" s="13"/>
      <c r="R1617" s="13"/>
      <c r="S1617" s="13"/>
      <c r="T1617" s="13"/>
      <c r="U1617" s="13"/>
      <c r="V1617" s="13"/>
      <c r="W1617" s="13"/>
      <c r="AY1617" s="10"/>
      <c r="AZ1617" s="10"/>
    </row>
    <row r="1618" spans="1:52" ht="15" x14ac:dyDescent="0.25">
      <c r="A1618" s="11"/>
      <c r="O1618" s="13"/>
      <c r="P1618" s="13"/>
      <c r="Q1618" s="13"/>
      <c r="R1618" s="13"/>
      <c r="S1618" s="13"/>
      <c r="T1618" s="13"/>
      <c r="U1618" s="13"/>
      <c r="V1618" s="13"/>
      <c r="W1618" s="13"/>
      <c r="AY1618" s="10"/>
      <c r="AZ1618" s="10"/>
    </row>
    <row r="1619" spans="1:52" ht="15" x14ac:dyDescent="0.25">
      <c r="A1619" s="11"/>
      <c r="O1619" s="13"/>
      <c r="P1619" s="13"/>
      <c r="Q1619" s="13"/>
      <c r="R1619" s="13"/>
      <c r="S1619" s="13"/>
      <c r="T1619" s="13"/>
      <c r="U1619" s="13"/>
      <c r="V1619" s="13"/>
      <c r="W1619" s="13"/>
      <c r="AY1619" s="10"/>
      <c r="AZ1619" s="10"/>
    </row>
    <row r="1620" spans="1:52" ht="15" x14ac:dyDescent="0.25">
      <c r="A1620" s="11"/>
      <c r="O1620" s="13"/>
      <c r="P1620" s="13"/>
      <c r="Q1620" s="13"/>
      <c r="R1620" s="13"/>
      <c r="S1620" s="13"/>
      <c r="T1620" s="13"/>
      <c r="U1620" s="13"/>
      <c r="V1620" s="13"/>
      <c r="W1620" s="13"/>
      <c r="AY1620" s="10"/>
      <c r="AZ1620" s="10"/>
    </row>
    <row r="1621" spans="1:52" ht="15" x14ac:dyDescent="0.25">
      <c r="A1621" s="11"/>
      <c r="O1621" s="13"/>
      <c r="P1621" s="13"/>
      <c r="Q1621" s="13"/>
      <c r="R1621" s="13"/>
      <c r="S1621" s="13"/>
      <c r="T1621" s="13"/>
      <c r="U1621" s="13"/>
      <c r="V1621" s="13"/>
      <c r="W1621" s="13"/>
      <c r="AY1621" s="10"/>
      <c r="AZ1621" s="10"/>
    </row>
    <row r="1622" spans="1:52" ht="15" x14ac:dyDescent="0.25">
      <c r="A1622" s="11"/>
      <c r="O1622" s="13"/>
      <c r="P1622" s="13"/>
      <c r="Q1622" s="13"/>
      <c r="R1622" s="13"/>
      <c r="S1622" s="13"/>
      <c r="T1622" s="13"/>
      <c r="U1622" s="13"/>
      <c r="V1622" s="13"/>
      <c r="W1622" s="13"/>
      <c r="AY1622" s="10"/>
      <c r="AZ1622" s="10"/>
    </row>
    <row r="1623" spans="1:52" ht="15" x14ac:dyDescent="0.25">
      <c r="A1623" s="11"/>
      <c r="O1623" s="13"/>
      <c r="P1623" s="13"/>
      <c r="Q1623" s="13"/>
      <c r="R1623" s="13"/>
      <c r="S1623" s="13"/>
      <c r="T1623" s="13"/>
      <c r="U1623" s="13"/>
      <c r="V1623" s="13"/>
      <c r="W1623" s="13"/>
      <c r="AY1623" s="10"/>
      <c r="AZ1623" s="10"/>
    </row>
    <row r="1624" spans="1:52" ht="15" x14ac:dyDescent="0.25">
      <c r="A1624" s="11"/>
      <c r="O1624" s="13"/>
      <c r="P1624" s="13"/>
      <c r="Q1624" s="13"/>
      <c r="R1624" s="13"/>
      <c r="S1624" s="13"/>
      <c r="T1624" s="13"/>
      <c r="U1624" s="13"/>
      <c r="V1624" s="13"/>
      <c r="W1624" s="13"/>
      <c r="AY1624" s="10"/>
      <c r="AZ1624" s="10"/>
    </row>
    <row r="1625" spans="1:52" ht="15" x14ac:dyDescent="0.25">
      <c r="A1625" s="11"/>
      <c r="O1625" s="13"/>
      <c r="P1625" s="13"/>
      <c r="Q1625" s="13"/>
      <c r="R1625" s="13"/>
      <c r="S1625" s="13"/>
      <c r="T1625" s="13"/>
      <c r="U1625" s="13"/>
      <c r="V1625" s="13"/>
      <c r="W1625" s="13"/>
      <c r="AY1625" s="10"/>
      <c r="AZ1625" s="10"/>
    </row>
    <row r="1626" spans="1:52" ht="15" x14ac:dyDescent="0.25">
      <c r="A1626" s="11"/>
      <c r="O1626" s="13"/>
      <c r="P1626" s="13"/>
      <c r="Q1626" s="13"/>
      <c r="R1626" s="13"/>
      <c r="S1626" s="13"/>
      <c r="T1626" s="13"/>
      <c r="U1626" s="13"/>
      <c r="V1626" s="13"/>
      <c r="W1626" s="13"/>
      <c r="AY1626" s="10"/>
      <c r="AZ1626" s="10"/>
    </row>
    <row r="1627" spans="1:52" ht="15" x14ac:dyDescent="0.25">
      <c r="A1627" s="11"/>
      <c r="O1627" s="13"/>
      <c r="P1627" s="13"/>
      <c r="Q1627" s="13"/>
      <c r="R1627" s="13"/>
      <c r="S1627" s="13"/>
      <c r="T1627" s="13"/>
      <c r="U1627" s="13"/>
      <c r="V1627" s="13"/>
      <c r="W1627" s="13"/>
      <c r="AY1627" s="10"/>
      <c r="AZ1627" s="10"/>
    </row>
    <row r="1628" spans="1:52" ht="15" x14ac:dyDescent="0.25">
      <c r="A1628" s="11"/>
      <c r="O1628" s="13"/>
      <c r="P1628" s="13"/>
      <c r="Q1628" s="13"/>
      <c r="R1628" s="13"/>
      <c r="S1628" s="13"/>
      <c r="T1628" s="13"/>
      <c r="U1628" s="13"/>
      <c r="V1628" s="13"/>
      <c r="W1628" s="13"/>
      <c r="AY1628" s="10"/>
      <c r="AZ1628" s="10"/>
    </row>
    <row r="1629" spans="1:52" ht="15" x14ac:dyDescent="0.25">
      <c r="A1629" s="11"/>
      <c r="O1629" s="13"/>
      <c r="P1629" s="13"/>
      <c r="Q1629" s="13"/>
      <c r="R1629" s="13"/>
      <c r="S1629" s="13"/>
      <c r="T1629" s="13"/>
      <c r="U1629" s="13"/>
      <c r="V1629" s="13"/>
      <c r="W1629" s="13"/>
      <c r="AY1629" s="10"/>
      <c r="AZ1629" s="10"/>
    </row>
    <row r="1630" spans="1:52" ht="15" x14ac:dyDescent="0.25">
      <c r="A1630" s="11"/>
      <c r="O1630" s="13"/>
      <c r="P1630" s="13"/>
      <c r="Q1630" s="13"/>
      <c r="R1630" s="13"/>
      <c r="S1630" s="13"/>
      <c r="T1630" s="13"/>
      <c r="U1630" s="13"/>
      <c r="V1630" s="13"/>
      <c r="W1630" s="13"/>
      <c r="AY1630" s="10"/>
      <c r="AZ1630" s="10"/>
    </row>
    <row r="1631" spans="1:52" ht="15" x14ac:dyDescent="0.25">
      <c r="A1631" s="11"/>
      <c r="O1631" s="13"/>
      <c r="P1631" s="13"/>
      <c r="Q1631" s="13"/>
      <c r="R1631" s="13"/>
      <c r="S1631" s="13"/>
      <c r="T1631" s="13"/>
      <c r="U1631" s="13"/>
      <c r="V1631" s="13"/>
      <c r="W1631" s="13"/>
      <c r="AY1631" s="10"/>
      <c r="AZ1631" s="10"/>
    </row>
    <row r="1632" spans="1:52" ht="15" x14ac:dyDescent="0.25">
      <c r="A1632" s="11"/>
      <c r="O1632" s="13"/>
      <c r="P1632" s="13"/>
      <c r="Q1632" s="13"/>
      <c r="R1632" s="13"/>
      <c r="S1632" s="13"/>
      <c r="T1632" s="13"/>
      <c r="U1632" s="13"/>
      <c r="V1632" s="13"/>
      <c r="W1632" s="13"/>
      <c r="AY1632" s="10"/>
      <c r="AZ1632" s="10"/>
    </row>
    <row r="1633" spans="1:52" ht="15" x14ac:dyDescent="0.25">
      <c r="A1633" s="11"/>
      <c r="O1633" s="13"/>
      <c r="P1633" s="13"/>
      <c r="Q1633" s="13"/>
      <c r="R1633" s="13"/>
      <c r="S1633" s="13"/>
      <c r="T1633" s="13"/>
      <c r="U1633" s="13"/>
      <c r="V1633" s="13"/>
      <c r="W1633" s="13"/>
      <c r="AY1633" s="10"/>
      <c r="AZ1633" s="10"/>
    </row>
    <row r="1634" spans="1:52" ht="15" x14ac:dyDescent="0.25">
      <c r="A1634" s="11"/>
    </row>
    <row r="1635" spans="1:52" ht="15" x14ac:dyDescent="0.25">
      <c r="A1635" s="11"/>
    </row>
    <row r="1636" spans="1:52" ht="15" x14ac:dyDescent="0.25">
      <c r="A1636" s="11"/>
    </row>
    <row r="1637" spans="1:52" ht="15" x14ac:dyDescent="0.25">
      <c r="A1637" s="11"/>
    </row>
    <row r="1638" spans="1:52" ht="15" x14ac:dyDescent="0.25">
      <c r="A1638" s="11"/>
    </row>
    <row r="1639" spans="1:52" ht="15" x14ac:dyDescent="0.25">
      <c r="A1639" s="11"/>
    </row>
    <row r="1640" spans="1:52" ht="15" x14ac:dyDescent="0.25">
      <c r="A1640" s="11"/>
    </row>
    <row r="1641" spans="1:52" ht="15" x14ac:dyDescent="0.25">
      <c r="A1641" s="11"/>
    </row>
    <row r="1642" spans="1:52" ht="15" x14ac:dyDescent="0.25">
      <c r="A1642" s="11"/>
    </row>
    <row r="1643" spans="1:52" ht="15" x14ac:dyDescent="0.25">
      <c r="A1643" s="11"/>
    </row>
    <row r="1644" spans="1:52" ht="15" x14ac:dyDescent="0.25">
      <c r="A1644" s="11"/>
    </row>
    <row r="1645" spans="1:52" ht="15" x14ac:dyDescent="0.25">
      <c r="A1645" s="11"/>
    </row>
    <row r="1646" spans="1:52" ht="15" x14ac:dyDescent="0.25">
      <c r="A1646" s="11"/>
    </row>
    <row r="1647" spans="1:52" ht="15" x14ac:dyDescent="0.25">
      <c r="A1647" s="11"/>
    </row>
    <row r="1648" spans="1:52" ht="15" x14ac:dyDescent="0.25">
      <c r="A1648" s="11"/>
    </row>
    <row r="1649" spans="1:1" ht="15" x14ac:dyDescent="0.25">
      <c r="A1649" s="11"/>
    </row>
    <row r="1650" spans="1:1" ht="15" x14ac:dyDescent="0.25">
      <c r="A1650" s="11"/>
    </row>
    <row r="1651" spans="1:1" ht="15" x14ac:dyDescent="0.25">
      <c r="A1651" s="11"/>
    </row>
    <row r="1652" spans="1:1" ht="15" x14ac:dyDescent="0.25">
      <c r="A1652" s="11"/>
    </row>
    <row r="1653" spans="1:1" ht="15" x14ac:dyDescent="0.25">
      <c r="A1653" s="11"/>
    </row>
    <row r="1654" spans="1:1" ht="15" x14ac:dyDescent="0.25">
      <c r="A1654" s="11"/>
    </row>
    <row r="1655" spans="1:1" ht="15" x14ac:dyDescent="0.25">
      <c r="A1655" s="11"/>
    </row>
    <row r="1656" spans="1:1" ht="15" x14ac:dyDescent="0.25">
      <c r="A1656" s="11"/>
    </row>
    <row r="1657" spans="1:1" ht="15" x14ac:dyDescent="0.25">
      <c r="A1657" s="11"/>
    </row>
    <row r="1658" spans="1:1" ht="15" x14ac:dyDescent="0.25">
      <c r="A1658" s="11"/>
    </row>
    <row r="1659" spans="1:1" ht="15" x14ac:dyDescent="0.25">
      <c r="A1659" s="11"/>
    </row>
    <row r="1660" spans="1:1" ht="15" x14ac:dyDescent="0.25">
      <c r="A1660" s="11"/>
    </row>
    <row r="1661" spans="1:1" ht="15" x14ac:dyDescent="0.25">
      <c r="A1661" s="11"/>
    </row>
    <row r="1662" spans="1:1" ht="15" x14ac:dyDescent="0.25">
      <c r="A1662" s="11"/>
    </row>
    <row r="1663" spans="1:1" ht="15" x14ac:dyDescent="0.25">
      <c r="A1663" s="11"/>
    </row>
    <row r="1664" spans="1:1" ht="15" x14ac:dyDescent="0.25">
      <c r="A1664" s="11"/>
    </row>
    <row r="1665" spans="1:1" ht="15" x14ac:dyDescent="0.25">
      <c r="A1665" s="11"/>
    </row>
    <row r="1666" spans="1:1" ht="15" x14ac:dyDescent="0.25">
      <c r="A1666" s="11"/>
    </row>
    <row r="1667" spans="1:1" ht="15" x14ac:dyDescent="0.25">
      <c r="A1667" s="11"/>
    </row>
    <row r="1668" spans="1:1" ht="15" x14ac:dyDescent="0.25">
      <c r="A1668" s="11"/>
    </row>
    <row r="1669" spans="1:1" ht="15" x14ac:dyDescent="0.25">
      <c r="A1669" s="11"/>
    </row>
    <row r="1670" spans="1:1" ht="15" x14ac:dyDescent="0.25">
      <c r="A1670" s="11"/>
    </row>
    <row r="1671" spans="1:1" ht="15" x14ac:dyDescent="0.25">
      <c r="A1671" s="11"/>
    </row>
    <row r="1672" spans="1:1" ht="15" x14ac:dyDescent="0.25">
      <c r="A1672" s="11"/>
    </row>
    <row r="1673" spans="1:1" ht="15" x14ac:dyDescent="0.25">
      <c r="A1673" s="11"/>
    </row>
    <row r="1674" spans="1:1" ht="15" x14ac:dyDescent="0.25">
      <c r="A1674" s="11"/>
    </row>
    <row r="1675" spans="1:1" ht="15" x14ac:dyDescent="0.25">
      <c r="A1675" s="11"/>
    </row>
    <row r="1676" spans="1:1" ht="15" x14ac:dyDescent="0.25">
      <c r="A1676" s="11"/>
    </row>
    <row r="1677" spans="1:1" ht="15" x14ac:dyDescent="0.25">
      <c r="A1677" s="11"/>
    </row>
    <row r="1678" spans="1:1" ht="15" x14ac:dyDescent="0.25">
      <c r="A1678" s="11"/>
    </row>
    <row r="1679" spans="1:1" ht="15" x14ac:dyDescent="0.25">
      <c r="A1679" s="11"/>
    </row>
    <row r="1680" spans="1:1" ht="15" x14ac:dyDescent="0.25">
      <c r="A1680" s="11"/>
    </row>
    <row r="1681" spans="1:1" ht="15" x14ac:dyDescent="0.25">
      <c r="A1681" s="11"/>
    </row>
    <row r="1682" spans="1:1" ht="15" x14ac:dyDescent="0.25">
      <c r="A1682" s="11"/>
    </row>
    <row r="1683" spans="1:1" ht="15" x14ac:dyDescent="0.25">
      <c r="A1683" s="11"/>
    </row>
    <row r="1684" spans="1:1" ht="15" x14ac:dyDescent="0.25">
      <c r="A1684" s="11"/>
    </row>
    <row r="1685" spans="1:1" ht="15" x14ac:dyDescent="0.25">
      <c r="A1685" s="11"/>
    </row>
    <row r="1686" spans="1:1" ht="15" x14ac:dyDescent="0.25">
      <c r="A1686" s="11"/>
    </row>
    <row r="1687" spans="1:1" ht="15" x14ac:dyDescent="0.25">
      <c r="A1687" s="11"/>
    </row>
    <row r="1688" spans="1:1" ht="15" x14ac:dyDescent="0.25">
      <c r="A1688" s="11"/>
    </row>
    <row r="1689" spans="1:1" ht="15" x14ac:dyDescent="0.25">
      <c r="A1689" s="11"/>
    </row>
    <row r="1690" spans="1:1" ht="15" x14ac:dyDescent="0.25">
      <c r="A1690" s="11"/>
    </row>
    <row r="1691" spans="1:1" ht="15" x14ac:dyDescent="0.25">
      <c r="A1691" s="11"/>
    </row>
    <row r="1692" spans="1:1" ht="15" x14ac:dyDescent="0.25">
      <c r="A1692" s="11"/>
    </row>
    <row r="1693" spans="1:1" ht="15" x14ac:dyDescent="0.25">
      <c r="A1693" s="11"/>
    </row>
    <row r="1694" spans="1:1" ht="15" x14ac:dyDescent="0.25">
      <c r="A1694" s="11"/>
    </row>
    <row r="1695" spans="1:1" ht="15" x14ac:dyDescent="0.25">
      <c r="A1695" s="11"/>
    </row>
    <row r="1696" spans="1:1" ht="15" x14ac:dyDescent="0.25">
      <c r="A1696" s="11"/>
    </row>
    <row r="1697" spans="1:1" ht="15" x14ac:dyDescent="0.25">
      <c r="A1697" s="11"/>
    </row>
    <row r="1698" spans="1:1" ht="15" x14ac:dyDescent="0.25">
      <c r="A1698" s="11"/>
    </row>
    <row r="1699" spans="1:1" ht="15" x14ac:dyDescent="0.25">
      <c r="A1699" s="11"/>
    </row>
    <row r="1700" spans="1:1" ht="15" x14ac:dyDescent="0.25">
      <c r="A1700" s="11"/>
    </row>
    <row r="1701" spans="1:1" ht="15" x14ac:dyDescent="0.25">
      <c r="A1701" s="11"/>
    </row>
    <row r="1702" spans="1:1" ht="15" x14ac:dyDescent="0.25">
      <c r="A1702" s="11"/>
    </row>
    <row r="1703" spans="1:1" ht="15" x14ac:dyDescent="0.25">
      <c r="A1703" s="11"/>
    </row>
    <row r="1704" spans="1:1" ht="15" x14ac:dyDescent="0.25">
      <c r="A1704" s="11"/>
    </row>
    <row r="1705" spans="1:1" ht="15" x14ac:dyDescent="0.25">
      <c r="A1705" s="11"/>
    </row>
    <row r="1706" spans="1:1" ht="15" x14ac:dyDescent="0.25">
      <c r="A1706" s="11"/>
    </row>
    <row r="1707" spans="1:1" ht="15" x14ac:dyDescent="0.25">
      <c r="A1707" s="11"/>
    </row>
    <row r="1708" spans="1:1" ht="15" x14ac:dyDescent="0.25">
      <c r="A1708" s="11"/>
    </row>
    <row r="1709" spans="1:1" ht="15" x14ac:dyDescent="0.25">
      <c r="A1709" s="11"/>
    </row>
    <row r="1710" spans="1:1" ht="15" x14ac:dyDescent="0.25">
      <c r="A1710" s="11"/>
    </row>
    <row r="1711" spans="1:1" ht="15" x14ac:dyDescent="0.25">
      <c r="A1711" s="11"/>
    </row>
    <row r="1712" spans="1:1" ht="15" x14ac:dyDescent="0.25">
      <c r="A1712" s="11"/>
    </row>
    <row r="1713" spans="1:1" ht="15" x14ac:dyDescent="0.25">
      <c r="A1713" s="11"/>
    </row>
    <row r="1714" spans="1:1" ht="15" x14ac:dyDescent="0.25">
      <c r="A1714" s="11"/>
    </row>
    <row r="1715" spans="1:1" ht="15" x14ac:dyDescent="0.25">
      <c r="A1715" s="11"/>
    </row>
    <row r="1716" spans="1:1" ht="15" x14ac:dyDescent="0.25">
      <c r="A1716" s="11"/>
    </row>
    <row r="1717" spans="1:1" ht="15" x14ac:dyDescent="0.25">
      <c r="A1717" s="11"/>
    </row>
    <row r="1718" spans="1:1" ht="15" x14ac:dyDescent="0.25">
      <c r="A1718" s="11"/>
    </row>
    <row r="1719" spans="1:1" ht="15" x14ac:dyDescent="0.25">
      <c r="A1719" s="11"/>
    </row>
    <row r="1720" spans="1:1" ht="15" x14ac:dyDescent="0.25">
      <c r="A1720" s="11"/>
    </row>
    <row r="1721" spans="1:1" ht="15" x14ac:dyDescent="0.25">
      <c r="A1721" s="11"/>
    </row>
    <row r="1722" spans="1:1" ht="15" x14ac:dyDescent="0.25">
      <c r="A1722" s="11"/>
    </row>
    <row r="1723" spans="1:1" ht="15" x14ac:dyDescent="0.25">
      <c r="A1723" s="11"/>
    </row>
    <row r="1724" spans="1:1" ht="15" x14ac:dyDescent="0.25">
      <c r="A1724" s="11"/>
    </row>
    <row r="1725" spans="1:1" ht="15" x14ac:dyDescent="0.25">
      <c r="A1725" s="11"/>
    </row>
    <row r="1726" spans="1:1" ht="15" x14ac:dyDescent="0.25">
      <c r="A1726" s="11"/>
    </row>
    <row r="1727" spans="1:1" ht="15" x14ac:dyDescent="0.25">
      <c r="A1727" s="11"/>
    </row>
    <row r="1728" spans="1:1" ht="15" x14ac:dyDescent="0.25">
      <c r="A1728" s="11"/>
    </row>
    <row r="1729" spans="1:1" ht="15" x14ac:dyDescent="0.25">
      <c r="A1729" s="11"/>
    </row>
    <row r="1730" spans="1:1" ht="15" x14ac:dyDescent="0.25">
      <c r="A1730" s="11"/>
    </row>
    <row r="1731" spans="1:1" ht="15" x14ac:dyDescent="0.25">
      <c r="A1731" s="11"/>
    </row>
    <row r="1732" spans="1:1" ht="15" x14ac:dyDescent="0.25">
      <c r="A1732" s="11"/>
    </row>
    <row r="1733" spans="1:1" ht="15" x14ac:dyDescent="0.25">
      <c r="A1733" s="11"/>
    </row>
    <row r="1734" spans="1:1" ht="15" x14ac:dyDescent="0.25">
      <c r="A1734" s="11"/>
    </row>
    <row r="1735" spans="1:1" ht="15" x14ac:dyDescent="0.25">
      <c r="A1735" s="11"/>
    </row>
    <row r="1736" spans="1:1" ht="15" x14ac:dyDescent="0.25">
      <c r="A1736" s="11"/>
    </row>
    <row r="1737" spans="1:1" ht="15" x14ac:dyDescent="0.25">
      <c r="A1737" s="11"/>
    </row>
    <row r="1738" spans="1:1" ht="15" x14ac:dyDescent="0.25">
      <c r="A1738" s="11"/>
    </row>
    <row r="1739" spans="1:1" ht="15" x14ac:dyDescent="0.25">
      <c r="A1739" s="11"/>
    </row>
    <row r="1740" spans="1:1" ht="15" x14ac:dyDescent="0.25">
      <c r="A1740" s="11"/>
    </row>
    <row r="1741" spans="1:1" ht="15" x14ac:dyDescent="0.25">
      <c r="A1741" s="11"/>
    </row>
    <row r="1742" spans="1:1" ht="15" x14ac:dyDescent="0.25">
      <c r="A1742" s="11"/>
    </row>
    <row r="1743" spans="1:1" ht="15" x14ac:dyDescent="0.25">
      <c r="A1743" s="11"/>
    </row>
    <row r="1744" spans="1:1" ht="15" x14ac:dyDescent="0.25">
      <c r="A1744" s="11"/>
    </row>
    <row r="1745" spans="1:1" ht="15" x14ac:dyDescent="0.25">
      <c r="A1745" s="11"/>
    </row>
    <row r="1746" spans="1:1" ht="15" x14ac:dyDescent="0.25">
      <c r="A1746" s="11"/>
    </row>
    <row r="1747" spans="1:1" ht="15" x14ac:dyDescent="0.25">
      <c r="A1747" s="11"/>
    </row>
    <row r="1748" spans="1:1" ht="15" x14ac:dyDescent="0.25">
      <c r="A1748" s="11"/>
    </row>
    <row r="1749" spans="1:1" ht="15" x14ac:dyDescent="0.25">
      <c r="A1749" s="11"/>
    </row>
    <row r="1750" spans="1:1" ht="15" x14ac:dyDescent="0.25">
      <c r="A1750" s="11"/>
    </row>
    <row r="1751" spans="1:1" ht="15" x14ac:dyDescent="0.25">
      <c r="A1751" s="11"/>
    </row>
    <row r="1752" spans="1:1" ht="15" x14ac:dyDescent="0.25">
      <c r="A1752" s="11"/>
    </row>
    <row r="1753" spans="1:1" ht="15" x14ac:dyDescent="0.25">
      <c r="A1753" s="11"/>
    </row>
    <row r="1754" spans="1:1" ht="15" x14ac:dyDescent="0.25">
      <c r="A1754" s="11"/>
    </row>
    <row r="1755" spans="1:1" ht="15" x14ac:dyDescent="0.25">
      <c r="A1755" s="11"/>
    </row>
    <row r="1756" spans="1:1" ht="15" x14ac:dyDescent="0.25">
      <c r="A1756" s="11"/>
    </row>
    <row r="1757" spans="1:1" ht="15" x14ac:dyDescent="0.25">
      <c r="A1757" s="11"/>
    </row>
    <row r="1758" spans="1:1" ht="15" x14ac:dyDescent="0.25">
      <c r="A1758" s="11"/>
    </row>
    <row r="1759" spans="1:1" ht="15" x14ac:dyDescent="0.25">
      <c r="A1759" s="11"/>
    </row>
    <row r="1760" spans="1:1" ht="15" x14ac:dyDescent="0.25">
      <c r="A1760" s="11"/>
    </row>
    <row r="1761" spans="1:1" ht="15" x14ac:dyDescent="0.25">
      <c r="A1761" s="11"/>
    </row>
    <row r="1762" spans="1:1" ht="15" x14ac:dyDescent="0.25">
      <c r="A1762" s="11"/>
    </row>
    <row r="1763" spans="1:1" ht="15" x14ac:dyDescent="0.25">
      <c r="A1763" s="11"/>
    </row>
    <row r="1764" spans="1:1" ht="15" x14ac:dyDescent="0.25">
      <c r="A1764" s="11"/>
    </row>
    <row r="1765" spans="1:1" ht="15" x14ac:dyDescent="0.25">
      <c r="A1765" s="11"/>
    </row>
    <row r="1766" spans="1:1" ht="15" x14ac:dyDescent="0.25">
      <c r="A1766" s="11"/>
    </row>
    <row r="1767" spans="1:1" ht="15" x14ac:dyDescent="0.25">
      <c r="A1767" s="11"/>
    </row>
    <row r="1768" spans="1:1" ht="15" x14ac:dyDescent="0.25">
      <c r="A1768" s="11"/>
    </row>
    <row r="1769" spans="1:1" ht="15" x14ac:dyDescent="0.25">
      <c r="A1769" s="11"/>
    </row>
    <row r="1770" spans="1:1" ht="15" x14ac:dyDescent="0.25">
      <c r="A1770" s="11"/>
    </row>
    <row r="1771" spans="1:1" ht="15" x14ac:dyDescent="0.25">
      <c r="A1771" s="11"/>
    </row>
    <row r="1772" spans="1:1" ht="15" x14ac:dyDescent="0.25">
      <c r="A1772" s="11"/>
    </row>
    <row r="1773" spans="1:1" ht="15" x14ac:dyDescent="0.25">
      <c r="A1773" s="11"/>
    </row>
    <row r="1774" spans="1:1" ht="15" x14ac:dyDescent="0.25">
      <c r="A1774" s="11"/>
    </row>
    <row r="1775" spans="1:1" ht="15" x14ac:dyDescent="0.25">
      <c r="A1775" s="11"/>
    </row>
    <row r="1776" spans="1:1" ht="15" x14ac:dyDescent="0.25">
      <c r="A1776" s="11"/>
    </row>
    <row r="1777" spans="1:1" ht="15" x14ac:dyDescent="0.25">
      <c r="A1777" s="11"/>
    </row>
    <row r="1778" spans="1:1" ht="15" x14ac:dyDescent="0.25">
      <c r="A1778" s="11"/>
    </row>
    <row r="1779" spans="1:1" ht="15" x14ac:dyDescent="0.25">
      <c r="A1779" s="11"/>
    </row>
    <row r="1780" spans="1:1" ht="15" x14ac:dyDescent="0.25">
      <c r="A1780" s="11"/>
    </row>
    <row r="1781" spans="1:1" ht="15" x14ac:dyDescent="0.25">
      <c r="A1781" s="11"/>
    </row>
    <row r="1782" spans="1:1" ht="15" x14ac:dyDescent="0.25">
      <c r="A1782" s="11"/>
    </row>
    <row r="1783" spans="1:1" ht="15" x14ac:dyDescent="0.25">
      <c r="A1783" s="11"/>
    </row>
    <row r="1784" spans="1:1" ht="15" x14ac:dyDescent="0.25">
      <c r="A1784" s="11"/>
    </row>
    <row r="1785" spans="1:1" ht="15" x14ac:dyDescent="0.25">
      <c r="A1785" s="11"/>
    </row>
    <row r="1786" spans="1:1" ht="15" x14ac:dyDescent="0.25">
      <c r="A1786" s="11"/>
    </row>
    <row r="1787" spans="1:1" ht="15" x14ac:dyDescent="0.25">
      <c r="A1787" s="11"/>
    </row>
    <row r="1788" spans="1:1" ht="15" x14ac:dyDescent="0.25">
      <c r="A1788" s="11"/>
    </row>
    <row r="1789" spans="1:1" ht="15" x14ac:dyDescent="0.25">
      <c r="A1789" s="11"/>
    </row>
    <row r="1790" spans="1:1" ht="15" x14ac:dyDescent="0.25">
      <c r="A1790" s="11"/>
    </row>
    <row r="1791" spans="1:1" ht="15" x14ac:dyDescent="0.25">
      <c r="A1791" s="11"/>
    </row>
    <row r="1792" spans="1:1" ht="15" x14ac:dyDescent="0.25">
      <c r="A1792" s="11"/>
    </row>
    <row r="1793" spans="1:1" ht="15" x14ac:dyDescent="0.25">
      <c r="A1793" s="11"/>
    </row>
    <row r="1794" spans="1:1" ht="15" x14ac:dyDescent="0.25">
      <c r="A1794" s="11"/>
    </row>
    <row r="1795" spans="1:1" ht="15" x14ac:dyDescent="0.25">
      <c r="A1795" s="11"/>
    </row>
    <row r="1796" spans="1:1" ht="15" x14ac:dyDescent="0.25">
      <c r="A1796" s="11"/>
    </row>
    <row r="1797" spans="1:1" ht="15" x14ac:dyDescent="0.25">
      <c r="A1797" s="11"/>
    </row>
    <row r="1798" spans="1:1" ht="15" x14ac:dyDescent="0.25">
      <c r="A1798" s="11"/>
    </row>
    <row r="1799" spans="1:1" ht="15" x14ac:dyDescent="0.25">
      <c r="A1799" s="11"/>
    </row>
    <row r="1800" spans="1:1" ht="15" x14ac:dyDescent="0.25">
      <c r="A1800" s="11"/>
    </row>
    <row r="1801" spans="1:1" ht="15" x14ac:dyDescent="0.25">
      <c r="A1801" s="11"/>
    </row>
    <row r="1802" spans="1:1" ht="15" x14ac:dyDescent="0.25">
      <c r="A1802" s="11"/>
    </row>
    <row r="1803" spans="1:1" ht="15" x14ac:dyDescent="0.25">
      <c r="A1803" s="11"/>
    </row>
    <row r="1804" spans="1:1" ht="15" x14ac:dyDescent="0.25">
      <c r="A1804" s="11"/>
    </row>
    <row r="1805" spans="1:1" ht="15" x14ac:dyDescent="0.25">
      <c r="A1805" s="11"/>
    </row>
    <row r="1806" spans="1:1" ht="15" x14ac:dyDescent="0.25">
      <c r="A1806" s="11"/>
    </row>
    <row r="1807" spans="1:1" ht="15" x14ac:dyDescent="0.25">
      <c r="A1807" s="11"/>
    </row>
    <row r="1808" spans="1:1" ht="15" x14ac:dyDescent="0.25">
      <c r="A1808" s="11"/>
    </row>
    <row r="1809" spans="1:1" ht="15" x14ac:dyDescent="0.25">
      <c r="A1809" s="11"/>
    </row>
    <row r="1810" spans="1:1" ht="15" x14ac:dyDescent="0.25">
      <c r="A1810" s="11"/>
    </row>
    <row r="1811" spans="1:1" ht="15" x14ac:dyDescent="0.25">
      <c r="A1811" s="11"/>
    </row>
    <row r="1812" spans="1:1" ht="15" x14ac:dyDescent="0.25">
      <c r="A1812" s="11"/>
    </row>
    <row r="1813" spans="1:1" ht="15" x14ac:dyDescent="0.25">
      <c r="A1813" s="11"/>
    </row>
    <row r="1814" spans="1:1" ht="15" x14ac:dyDescent="0.25">
      <c r="A1814" s="11"/>
    </row>
    <row r="1815" spans="1:1" ht="15" x14ac:dyDescent="0.25">
      <c r="A1815" s="11"/>
    </row>
    <row r="1816" spans="1:1" ht="15" x14ac:dyDescent="0.25">
      <c r="A1816" s="11"/>
    </row>
    <row r="1817" spans="1:1" ht="15" x14ac:dyDescent="0.25">
      <c r="A1817" s="11"/>
    </row>
    <row r="1818" spans="1:1" ht="15" x14ac:dyDescent="0.25">
      <c r="A1818" s="11"/>
    </row>
    <row r="1819" spans="1:1" ht="15" x14ac:dyDescent="0.25">
      <c r="A1819" s="11"/>
    </row>
    <row r="1820" spans="1:1" ht="15" x14ac:dyDescent="0.25">
      <c r="A1820" s="11"/>
    </row>
    <row r="1821" spans="1:1" ht="15" x14ac:dyDescent="0.25">
      <c r="A1821" s="11"/>
    </row>
    <row r="1822" spans="1:1" ht="15" x14ac:dyDescent="0.25">
      <c r="A1822" s="11"/>
    </row>
    <row r="1823" spans="1:1" ht="15" x14ac:dyDescent="0.25">
      <c r="A1823" s="11"/>
    </row>
    <row r="1824" spans="1:1" ht="15" x14ac:dyDescent="0.25">
      <c r="A1824" s="11"/>
    </row>
    <row r="1825" spans="1:1" ht="15" x14ac:dyDescent="0.25">
      <c r="A1825" s="11"/>
    </row>
    <row r="1826" spans="1:1" ht="15" x14ac:dyDescent="0.25">
      <c r="A1826" s="11"/>
    </row>
    <row r="1827" spans="1:1" ht="15" x14ac:dyDescent="0.25">
      <c r="A1827" s="11"/>
    </row>
    <row r="1828" spans="1:1" ht="15" x14ac:dyDescent="0.25">
      <c r="A1828" s="11"/>
    </row>
    <row r="1829" spans="1:1" ht="15" x14ac:dyDescent="0.25">
      <c r="A1829" s="11"/>
    </row>
    <row r="1830" spans="1:1" ht="15" x14ac:dyDescent="0.25">
      <c r="A1830" s="11"/>
    </row>
    <row r="1831" spans="1:1" ht="15" x14ac:dyDescent="0.25">
      <c r="A1831" s="11"/>
    </row>
    <row r="1832" spans="1:1" ht="15" x14ac:dyDescent="0.25">
      <c r="A1832" s="11"/>
    </row>
    <row r="1833" spans="1:1" ht="15" x14ac:dyDescent="0.25">
      <c r="A1833" s="11"/>
    </row>
    <row r="1834" spans="1:1" ht="15" x14ac:dyDescent="0.25">
      <c r="A1834" s="11"/>
    </row>
    <row r="1835" spans="1:1" ht="15" x14ac:dyDescent="0.25">
      <c r="A1835" s="11"/>
    </row>
    <row r="1836" spans="1:1" ht="15" x14ac:dyDescent="0.25">
      <c r="A1836" s="11"/>
    </row>
    <row r="1837" spans="1:1" ht="15" x14ac:dyDescent="0.25">
      <c r="A1837" s="11"/>
    </row>
    <row r="1838" spans="1:1" ht="15" x14ac:dyDescent="0.25">
      <c r="A1838" s="11"/>
    </row>
    <row r="1839" spans="1:1" ht="15" x14ac:dyDescent="0.25">
      <c r="A1839" s="11"/>
    </row>
    <row r="1840" spans="1:1" ht="15" x14ac:dyDescent="0.25">
      <c r="A1840" s="11"/>
    </row>
    <row r="1841" spans="1:1" ht="15" x14ac:dyDescent="0.25">
      <c r="A1841" s="11"/>
    </row>
    <row r="1842" spans="1:1" ht="15" x14ac:dyDescent="0.25">
      <c r="A1842" s="11"/>
    </row>
    <row r="1843" spans="1:1" ht="15" x14ac:dyDescent="0.25">
      <c r="A1843" s="11"/>
    </row>
    <row r="1844" spans="1:1" ht="15" x14ac:dyDescent="0.25">
      <c r="A1844" s="11"/>
    </row>
    <row r="1845" spans="1:1" ht="15" x14ac:dyDescent="0.25">
      <c r="A1845" s="11"/>
    </row>
    <row r="1846" spans="1:1" ht="15" x14ac:dyDescent="0.25">
      <c r="A1846" s="11"/>
    </row>
    <row r="1847" spans="1:1" ht="15" x14ac:dyDescent="0.25">
      <c r="A1847" s="11"/>
    </row>
    <row r="1848" spans="1:1" ht="15" x14ac:dyDescent="0.25">
      <c r="A1848" s="11"/>
    </row>
    <row r="1849" spans="1:1" ht="15" x14ac:dyDescent="0.25">
      <c r="A1849" s="11"/>
    </row>
    <row r="1850" spans="1:1" ht="15" x14ac:dyDescent="0.25">
      <c r="A1850" s="11"/>
    </row>
    <row r="1851" spans="1:1" ht="15" x14ac:dyDescent="0.25">
      <c r="A1851" s="11"/>
    </row>
    <row r="1852" spans="1:1" ht="15" x14ac:dyDescent="0.25">
      <c r="A1852" s="11"/>
    </row>
    <row r="1853" spans="1:1" ht="15" x14ac:dyDescent="0.25">
      <c r="A1853" s="11"/>
    </row>
    <row r="1854" spans="1:1" ht="15" x14ac:dyDescent="0.25">
      <c r="A1854" s="11"/>
    </row>
    <row r="1855" spans="1:1" ht="15" x14ac:dyDescent="0.25">
      <c r="A1855" s="11"/>
    </row>
    <row r="1856" spans="1:1" ht="15" x14ac:dyDescent="0.25">
      <c r="A1856" s="11"/>
    </row>
    <row r="1857" spans="1:14" ht="15" x14ac:dyDescent="0.25">
      <c r="A1857" s="11"/>
      <c r="B1857" s="11"/>
      <c r="N1857" s="11"/>
    </row>
    <row r="1858" spans="1:14" ht="15" x14ac:dyDescent="0.25">
      <c r="A1858" s="11"/>
      <c r="B1858" s="11"/>
      <c r="H1858" s="11"/>
      <c r="I1858" s="11"/>
      <c r="J1858" s="11"/>
      <c r="K1858" s="11"/>
      <c r="L1858" s="11"/>
      <c r="M1858" s="11"/>
      <c r="N1858" s="11"/>
    </row>
    <row r="1859" spans="1:14" ht="15" x14ac:dyDescent="0.25">
      <c r="A1859" s="11"/>
      <c r="B1859" s="11"/>
      <c r="C1859" s="11"/>
      <c r="D1859" s="11"/>
      <c r="E1859" s="11"/>
      <c r="F1859" s="11"/>
      <c r="G1859" s="11"/>
      <c r="H1859" s="11"/>
      <c r="I1859" s="11"/>
      <c r="J1859" s="11"/>
      <c r="K1859" s="11"/>
      <c r="L1859" s="11"/>
      <c r="M1859" s="11"/>
      <c r="N1859" s="11"/>
    </row>
    <row r="1860" spans="1:14" ht="15" x14ac:dyDescent="0.25">
      <c r="A1860" s="11"/>
      <c r="B1860" s="11"/>
      <c r="C1860" s="11"/>
      <c r="D1860" s="11"/>
      <c r="E1860" s="11"/>
      <c r="F1860" s="11"/>
      <c r="G1860" s="11"/>
      <c r="H1860" s="11"/>
      <c r="I1860" s="11"/>
      <c r="J1860" s="11"/>
      <c r="K1860" s="11"/>
      <c r="L1860" s="11"/>
      <c r="M1860" s="11"/>
      <c r="N1860" s="11"/>
    </row>
    <row r="1861" spans="1:14" ht="15" x14ac:dyDescent="0.25">
      <c r="A1861" s="11"/>
      <c r="B1861" s="11"/>
      <c r="C1861" s="11"/>
      <c r="D1861" s="11"/>
      <c r="E1861" s="11"/>
      <c r="F1861" s="11"/>
      <c r="G1861" s="11"/>
      <c r="H1861" s="11"/>
      <c r="I1861" s="11"/>
      <c r="J1861" s="11"/>
      <c r="K1861" s="11"/>
      <c r="L1861" s="11"/>
      <c r="M1861" s="11"/>
      <c r="N1861" s="11"/>
    </row>
    <row r="1862" spans="1:14" ht="15" x14ac:dyDescent="0.25">
      <c r="A1862" s="11"/>
      <c r="B1862" s="11"/>
      <c r="C1862" s="11"/>
      <c r="D1862" s="11"/>
      <c r="E1862" s="11"/>
      <c r="F1862" s="11"/>
      <c r="G1862" s="11"/>
      <c r="H1862" s="11"/>
      <c r="I1862" s="11"/>
      <c r="J1862" s="11"/>
      <c r="K1862" s="11"/>
      <c r="L1862" s="11"/>
      <c r="M1862" s="11"/>
      <c r="N1862" s="11"/>
    </row>
    <row r="1863" spans="1:14" ht="15" x14ac:dyDescent="0.25">
      <c r="A1863" s="11"/>
      <c r="B1863" s="11"/>
      <c r="C1863" s="11"/>
      <c r="D1863" s="11"/>
      <c r="E1863" s="11"/>
      <c r="F1863" s="11"/>
      <c r="G1863" s="11"/>
      <c r="H1863" s="11"/>
      <c r="I1863" s="11"/>
      <c r="J1863" s="11"/>
      <c r="K1863" s="11"/>
      <c r="L1863" s="11"/>
      <c r="M1863" s="11"/>
      <c r="N1863" s="11"/>
    </row>
    <row r="1864" spans="1:14" ht="15" x14ac:dyDescent="0.25">
      <c r="A1864" s="11"/>
      <c r="B1864" s="11"/>
      <c r="C1864" s="11"/>
      <c r="D1864" s="11"/>
      <c r="E1864" s="11"/>
      <c r="F1864" s="11"/>
      <c r="G1864" s="11"/>
      <c r="H1864" s="11"/>
      <c r="I1864" s="11"/>
      <c r="J1864" s="11"/>
      <c r="K1864" s="11"/>
      <c r="L1864" s="11"/>
      <c r="M1864" s="11"/>
      <c r="N1864" s="11"/>
    </row>
    <row r="1865" spans="1:14" ht="15" x14ac:dyDescent="0.25">
      <c r="A1865" s="11"/>
      <c r="B1865" s="11"/>
      <c r="C1865" s="11"/>
      <c r="D1865" s="11"/>
      <c r="E1865" s="11"/>
      <c r="F1865" s="11"/>
      <c r="G1865" s="11"/>
      <c r="H1865" s="11"/>
      <c r="I1865" s="11"/>
      <c r="J1865" s="11"/>
      <c r="K1865" s="11"/>
      <c r="L1865" s="11"/>
      <c r="M1865" s="11"/>
      <c r="N1865" s="11"/>
    </row>
    <row r="1866" spans="1:14" ht="15" x14ac:dyDescent="0.25">
      <c r="A1866" s="11"/>
      <c r="B1866" s="11"/>
      <c r="C1866" s="11"/>
      <c r="D1866" s="11"/>
      <c r="E1866" s="11"/>
      <c r="F1866" s="11"/>
      <c r="G1866" s="11"/>
      <c r="H1866" s="11"/>
      <c r="I1866" s="11"/>
      <c r="J1866" s="11"/>
      <c r="K1866" s="11"/>
      <c r="L1866" s="11"/>
      <c r="M1866" s="11"/>
      <c r="N1866" s="11"/>
    </row>
    <row r="1867" spans="1:14" ht="15" x14ac:dyDescent="0.25">
      <c r="A1867" s="11"/>
      <c r="B1867" s="11"/>
      <c r="C1867" s="11"/>
      <c r="D1867" s="11"/>
      <c r="E1867" s="11"/>
      <c r="F1867" s="11"/>
      <c r="G1867" s="11"/>
      <c r="H1867" s="11"/>
      <c r="I1867" s="11"/>
      <c r="J1867" s="11"/>
      <c r="K1867" s="11"/>
      <c r="L1867" s="11"/>
      <c r="M1867" s="11"/>
      <c r="N1867" s="11"/>
    </row>
    <row r="1868" spans="1:14" ht="15" x14ac:dyDescent="0.25">
      <c r="A1868" s="11"/>
      <c r="B1868" s="11"/>
      <c r="C1868" s="11"/>
      <c r="D1868" s="11"/>
      <c r="E1868" s="11"/>
      <c r="F1868" s="11"/>
      <c r="G1868" s="11"/>
      <c r="H1868" s="11"/>
      <c r="I1868" s="11"/>
      <c r="J1868" s="11"/>
      <c r="K1868" s="11"/>
      <c r="L1868" s="11"/>
      <c r="M1868" s="11"/>
      <c r="N1868" s="19"/>
    </row>
    <row r="1869" spans="1:14" ht="15" x14ac:dyDescent="0.25">
      <c r="A1869" s="11"/>
      <c r="B1869" s="11"/>
      <c r="C1869" s="11"/>
      <c r="D1869" s="11"/>
      <c r="E1869" s="11"/>
      <c r="F1869" s="11"/>
      <c r="G1869" s="11"/>
      <c r="H1869" s="19"/>
      <c r="I1869" s="19"/>
      <c r="J1869" s="19"/>
      <c r="K1869" s="19"/>
      <c r="L1869" s="19"/>
      <c r="M1869" s="19"/>
      <c r="N1869" s="19"/>
    </row>
    <row r="1870" spans="1:14" ht="15" x14ac:dyDescent="0.25">
      <c r="A1870" s="11"/>
      <c r="B1870" s="11"/>
      <c r="C1870" s="19"/>
      <c r="D1870" s="19"/>
      <c r="E1870" s="19"/>
      <c r="F1870" s="19"/>
      <c r="G1870" s="19"/>
      <c r="H1870" s="19"/>
      <c r="I1870" s="19"/>
      <c r="J1870" s="19"/>
      <c r="K1870" s="19"/>
      <c r="L1870" s="19"/>
      <c r="M1870" s="19"/>
      <c r="N1870" s="19"/>
    </row>
    <row r="1871" spans="1:14" ht="15" x14ac:dyDescent="0.25">
      <c r="A1871" s="11"/>
      <c r="B1871" s="11"/>
      <c r="C1871" s="19"/>
      <c r="D1871" s="19"/>
      <c r="E1871" s="19"/>
      <c r="F1871" s="19"/>
      <c r="G1871" s="19"/>
      <c r="H1871" s="19"/>
      <c r="I1871" s="19"/>
      <c r="J1871" s="19"/>
      <c r="K1871" s="19"/>
      <c r="L1871" s="19"/>
      <c r="M1871" s="19"/>
      <c r="N1871" s="19"/>
    </row>
    <row r="1872" spans="1:14" ht="15" x14ac:dyDescent="0.25">
      <c r="A1872" s="11"/>
      <c r="B1872" s="11"/>
      <c r="C1872" s="19"/>
      <c r="D1872" s="19"/>
      <c r="E1872" s="19"/>
      <c r="F1872" s="19"/>
      <c r="G1872" s="19"/>
      <c r="H1872" s="19"/>
      <c r="I1872" s="19"/>
      <c r="J1872" s="19"/>
      <c r="K1872" s="19"/>
      <c r="L1872" s="19"/>
      <c r="M1872" s="19"/>
      <c r="N1872" s="19"/>
    </row>
    <row r="1873" spans="1:14" ht="15" x14ac:dyDescent="0.25">
      <c r="A1873" s="11"/>
      <c r="B1873" s="11"/>
      <c r="C1873" s="19"/>
      <c r="D1873" s="19"/>
      <c r="E1873" s="19"/>
      <c r="F1873" s="19"/>
      <c r="G1873" s="19"/>
      <c r="H1873" s="19"/>
      <c r="I1873" s="19"/>
      <c r="J1873" s="19"/>
      <c r="K1873" s="19"/>
      <c r="L1873" s="19"/>
      <c r="M1873" s="19"/>
      <c r="N1873" s="11"/>
    </row>
    <row r="1874" spans="1:14" ht="15" x14ac:dyDescent="0.25">
      <c r="C1874" s="19"/>
      <c r="D1874" s="19"/>
      <c r="E1874" s="19"/>
      <c r="F1874" s="19"/>
      <c r="G1874" s="19"/>
      <c r="H1874" s="11"/>
      <c r="I1874" s="11"/>
      <c r="J1874" s="11"/>
      <c r="K1874" s="11"/>
      <c r="L1874" s="11"/>
      <c r="M1874" s="11"/>
    </row>
    <row r="1875" spans="1:14" ht="15" x14ac:dyDescent="0.25">
      <c r="C1875" s="11"/>
      <c r="D1875" s="11"/>
      <c r="E1875" s="11"/>
      <c r="F1875" s="11"/>
      <c r="G1875" s="11"/>
    </row>
  </sheetData>
  <sheetProtection selectLockedCells="1" selectUnlockedCells="1"/>
  <mergeCells count="4">
    <mergeCell ref="A1:B1"/>
    <mergeCell ref="H1:I1"/>
    <mergeCell ref="M1:N1"/>
    <mergeCell ref="P1:Q1"/>
  </mergeCells>
  <pageMargins left="0.78749999999999998" right="0.78749999999999998" top="1.0527777777777778" bottom="1.0527777777777778" header="0.78749999999999998" footer="0.78749999999999998"/>
  <pageSetup paperSize="9" firstPageNumber="0" orientation="portrait" horizontalDpi="300" verticalDpi="300" r:id="rId1"/>
  <headerFooter alignWithMargins="0">
    <oddHeader>&amp;C&amp;"Times New Roman,Regular"&amp;12&amp;A</oddHeader>
    <oddFooter>&amp;C&amp;"Times New Roman,Regular"&amp;12Page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Spin Button 1">
              <controlPr defaultSize="0" autoFill="0" autoLine="0" autoPict="0">
                <anchor moveWithCells="1" sizeWithCells="1">
                  <from>
                    <xdr:col>6</xdr:col>
                    <xdr:colOff>590550</xdr:colOff>
                    <xdr:row>4</xdr:row>
                    <xdr:rowOff>0</xdr:rowOff>
                  </from>
                  <to>
                    <xdr:col>6</xdr:col>
                    <xdr:colOff>1038225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Spinner 5">
              <controlPr defaultSize="0" autoFill="0" autoLine="0" autoPict="0">
                <anchor moveWithCells="1" sizeWithCells="1">
                  <from>
                    <xdr:col>6</xdr:col>
                    <xdr:colOff>590550</xdr:colOff>
                    <xdr:row>3</xdr:row>
                    <xdr:rowOff>9525</xdr:rowOff>
                  </from>
                  <to>
                    <xdr:col>6</xdr:col>
                    <xdr:colOff>1038225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Spinner 6">
              <controlPr defaultSize="0" autoFill="0" autoLine="0" autoPict="0">
                <anchor moveWithCells="1" sizeWithCells="1">
                  <from>
                    <xdr:col>6</xdr:col>
                    <xdr:colOff>590550</xdr:colOff>
                    <xdr:row>2</xdr:row>
                    <xdr:rowOff>0</xdr:rowOff>
                  </from>
                  <to>
                    <xdr:col>6</xdr:col>
                    <xdr:colOff>1038225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Spinner 7">
              <controlPr defaultSize="0" autoFill="0" autoLine="0" autoPict="0">
                <anchor moveWithCells="1" sizeWithCells="1">
                  <from>
                    <xdr:col>6</xdr:col>
                    <xdr:colOff>590550</xdr:colOff>
                    <xdr:row>1</xdr:row>
                    <xdr:rowOff>0</xdr:rowOff>
                  </from>
                  <to>
                    <xdr:col>6</xdr:col>
                    <xdr:colOff>1038225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8" name="Button 419">
              <controlPr defaultSize="0" print="0" autoFill="0" autoPict="0" macro="[0]!DELETE">
                <anchor moveWithCells="1" sizeWithCells="1">
                  <from>
                    <xdr:col>0</xdr:col>
                    <xdr:colOff>76200</xdr:colOff>
                    <xdr:row>27</xdr:row>
                    <xdr:rowOff>95250</xdr:rowOff>
                  </from>
                  <to>
                    <xdr:col>1</xdr:col>
                    <xdr:colOff>295275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" r:id="rId9" name="Button 595">
              <controlPr defaultSize="0" print="0" autoFill="0" autoPict="0" macro="[0]!LOAD_NT">
                <anchor moveWithCells="1" sizeWithCells="1">
                  <from>
                    <xdr:col>0</xdr:col>
                    <xdr:colOff>57150</xdr:colOff>
                    <xdr:row>30</xdr:row>
                    <xdr:rowOff>114300</xdr:rowOff>
                  </from>
                  <to>
                    <xdr:col>1</xdr:col>
                    <xdr:colOff>295275</xdr:colOff>
                    <xdr:row>32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10" name="Button 737">
              <controlPr defaultSize="0" print="0" autoFill="0" autoPict="0" macro="[0]!COPY_Unc">
                <anchor moveWithCells="1" sizeWithCells="1">
                  <from>
                    <xdr:col>4</xdr:col>
                    <xdr:colOff>104775</xdr:colOff>
                    <xdr:row>16</xdr:row>
                    <xdr:rowOff>76200</xdr:rowOff>
                  </from>
                  <to>
                    <xdr:col>4</xdr:col>
                    <xdr:colOff>1133475</xdr:colOff>
                    <xdr:row>18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11" name="Button 738">
              <controlPr defaultSize="0" print="0" autoFill="0" autoPict="0" macro="[0]!COPY_REE">
                <anchor moveWithCells="1" sizeWithCells="1">
                  <from>
                    <xdr:col>5</xdr:col>
                    <xdr:colOff>19050</xdr:colOff>
                    <xdr:row>16</xdr:row>
                    <xdr:rowOff>76200</xdr:rowOff>
                  </from>
                  <to>
                    <xdr:col>6</xdr:col>
                    <xdr:colOff>0</xdr:colOff>
                    <xdr:row>18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1:V14"/>
  <sheetViews>
    <sheetView workbookViewId="0">
      <selection activeCell="B2" sqref="B2"/>
    </sheetView>
  </sheetViews>
  <sheetFormatPr defaultRowHeight="12.75" x14ac:dyDescent="0.2"/>
  <cols>
    <col min="2" max="2" width="14.85546875" customWidth="1"/>
    <col min="3" max="3" width="13.28515625" customWidth="1"/>
    <col min="4" max="4" width="12.5703125" customWidth="1"/>
    <col min="7" max="7" width="11.85546875" customWidth="1"/>
    <col min="8" max="8" width="12.85546875" customWidth="1"/>
    <col min="10" max="10" width="12.7109375" customWidth="1"/>
    <col min="11" max="11" width="11.7109375" customWidth="1"/>
  </cols>
  <sheetData>
    <row r="1" spans="1:22" ht="15" x14ac:dyDescent="0.2">
      <c r="A1" s="3" t="s">
        <v>104</v>
      </c>
      <c r="B1" s="62" t="s">
        <v>105</v>
      </c>
      <c r="C1" s="78" t="s">
        <v>58</v>
      </c>
      <c r="D1" s="81" t="s">
        <v>60</v>
      </c>
      <c r="E1" s="84" t="s">
        <v>10</v>
      </c>
      <c r="F1" s="87" t="s">
        <v>94</v>
      </c>
      <c r="G1" s="81" t="s">
        <v>65</v>
      </c>
      <c r="H1" s="81" t="s">
        <v>67</v>
      </c>
      <c r="I1" s="90" t="s">
        <v>69</v>
      </c>
      <c r="J1" s="90" t="s">
        <v>55</v>
      </c>
      <c r="K1" s="90" t="s">
        <v>56</v>
      </c>
      <c r="L1" s="81" t="s">
        <v>90</v>
      </c>
      <c r="M1" s="81" t="s">
        <v>91</v>
      </c>
      <c r="N1" s="81" t="s">
        <v>92</v>
      </c>
      <c r="O1" s="81" t="s">
        <v>93</v>
      </c>
      <c r="P1" s="81" t="s">
        <v>63</v>
      </c>
      <c r="Q1" s="90" t="s">
        <v>72</v>
      </c>
      <c r="R1" s="3"/>
      <c r="S1" s="6" t="s">
        <v>4</v>
      </c>
      <c r="T1" s="6" t="s">
        <v>6</v>
      </c>
      <c r="U1" s="8" t="s">
        <v>8</v>
      </c>
      <c r="V1" s="8" t="s">
        <v>11</v>
      </c>
    </row>
    <row r="13" spans="1:22" ht="14.65" customHeight="1" x14ac:dyDescent="0.2"/>
    <row r="14" spans="1:22" s="1" customFormat="1" ht="25.9" customHeight="1" x14ac:dyDescent="0.2"/>
  </sheetData>
  <sheetProtection selectLockedCells="1" selectUnlockedCells="1"/>
  <pageMargins left="0.78749999999999998" right="0.78749999999999998" top="1.0527777777777778" bottom="1.0527777777777778" header="0.78749999999999998" footer="0.78749999999999998"/>
  <pageSetup paperSize="9" firstPageNumber="0" orientation="portrait" horizontalDpi="300" verticalDpi="300"/>
  <headerFooter alignWithMargins="0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Data</vt:lpstr>
      <vt:lpstr>Results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Federico Lugli</dc:creator>
  <cp:lastModifiedBy>Federico Lugli</cp:lastModifiedBy>
  <dcterms:created xsi:type="dcterms:W3CDTF">2018-11-14T16:01:10Z</dcterms:created>
  <dcterms:modified xsi:type="dcterms:W3CDTF">2019-01-28T16:09:29Z</dcterms:modified>
</cp:coreProperties>
</file>